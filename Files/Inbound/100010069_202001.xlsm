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90" windowHeight="7560" tabRatio="896"/>
  </bookViews>
  <sheets>
    <sheet name="JP" sheetId="14" r:id="rId1"/>
    <sheet name="Summary" sheetId="12" r:id="rId2"/>
    <sheet name="Uploadsheet" sheetId="15" state="hidden" r:id="rId3"/>
  </sheets>
  <externalReferences>
    <externalReference r:id="rId8"/>
  </externalReferences>
  <definedNames>
    <definedName name="_xlnm._FilterDatabase" localSheetId="0" hidden="1">JP!$A$3:$B$1022</definedName>
    <definedName name="Days">ROW(INDIRECT("1:31"))</definedName>
    <definedName name="JP_W1">JP!$D$6:$J$1048576</definedName>
    <definedName name="JP_W2">JP!$L$6:$R$1048576</definedName>
    <definedName name="JP_W3">JP!$T$6:$Z$1048576</definedName>
    <definedName name="JP_W4">JP!$AB$6:$AH$1048576</definedName>
    <definedName name="JP_W5">JP!$AJ$6:$AP$1048576</definedName>
    <definedName name="JP_W6">JP!$AR$6:$AX$1048576</definedName>
    <definedName name="MonthNumber" localSheetId="2">[1]Summary!$S$7</definedName>
    <definedName name="MonthNumber">Summary!$S$7</definedName>
    <definedName name="NoOfCalls_01" localSheetId="2">[1]Summary!$E$19:$F$36</definedName>
    <definedName name="NoOfCalls_01">Summary!$E$19:$F$36</definedName>
    <definedName name="NoOfCalls_02" localSheetId="2">[1]Summary!$L$19:$L$35</definedName>
    <definedName name="NoOfCalls_02">Summary!$L$19:$L$35</definedName>
    <definedName name="Period" localSheetId="2">[1]Summary!$C$5</definedName>
    <definedName name="Period">Summary!$C$5</definedName>
    <definedName name="PH_AL">JP!$D$3:$J$3</definedName>
    <definedName name="PHAL_W1">JP!$D$3:$J$3</definedName>
    <definedName name="PHAL_W2">JP!$L$3:$R$3</definedName>
    <definedName name="PHAL_W3">JP!$T$3:$Z$3</definedName>
    <definedName name="PHAL_W4">JP!$AB$3:$AH$3</definedName>
    <definedName name="PHAL_W5">JP!$AJ$3:$AP$3</definedName>
    <definedName name="PHAL_W6">JP!$AR$3:$AX$3</definedName>
    <definedName name="_xlnm.Print_Area" localSheetId="1">Summary!$B$2:$P$37</definedName>
    <definedName name="_xlnm.Print_Titles" localSheetId="1">Summary!$2:$18</definedName>
    <definedName name="YearNumber" localSheetId="2">[1]Summary!$T$5</definedName>
    <definedName name="YearNumber">Summary!$T$5</definedName>
  </definedNames>
  <calcPr calcId="144525"/>
</workbook>
</file>

<file path=xl/comments1.xml><?xml version="1.0" encoding="utf-8"?>
<comments xmlns="http://schemas.openxmlformats.org/spreadsheetml/2006/main">
  <authors>
    <author>Nickson Koh</author>
  </authors>
  <commentList>
    <comment ref="A3" authorId="0">
      <text>
        <r>
          <rPr>
            <b/>
            <sz val="8"/>
            <rFont val="Tahoma"/>
            <charset val="134"/>
          </rPr>
          <t>Help:</t>
        </r>
        <r>
          <rPr>
            <sz val="8"/>
            <rFont val="Tahoma"/>
            <charset val="134"/>
          </rPr>
          <t xml:space="preserve">
Public Holiday / Annual Leave (Days which you are unavailable for Outlet Visits)
Double-Click on the box to set the days which you are unavailable.
X          = Whole Day PH / AL / etc..
1/2       = Half Day PH / AL / etc…
{Blank} = Available
</t>
        </r>
      </text>
    </comment>
  </commentList>
</comments>
</file>

<file path=xl/comments2.xml><?xml version="1.0" encoding="utf-8"?>
<comments xmlns="http://schemas.openxmlformats.org/spreadsheetml/2006/main">
  <authors>
    <author>Nickson Koh</author>
  </authors>
  <commentList>
    <comment ref="G9" authorId="0">
      <text>
        <r>
          <rPr>
            <b/>
            <sz val="8"/>
            <rFont val="Tahoma"/>
            <charset val="134"/>
          </rPr>
          <t>Help :</t>
        </r>
        <r>
          <rPr>
            <sz val="8"/>
            <rFont val="Tahoma"/>
            <charset val="134"/>
          </rPr>
          <t xml:space="preserve">
Enter your Outlet Target.
E.g. 120</t>
        </r>
      </text>
    </comment>
    <comment ref="Q11" authorId="0">
      <text>
        <r>
          <rPr>
            <b/>
            <sz val="8"/>
            <rFont val="Tahoma"/>
            <charset val="134"/>
          </rPr>
          <t>Help:</t>
        </r>
        <r>
          <rPr>
            <sz val="8"/>
            <rFont val="Tahoma"/>
            <charset val="134"/>
          </rPr>
          <t xml:space="preserve">
Personal Notes can be used for any of your own purpose.
It will not be printed out.</t>
        </r>
      </text>
    </comment>
    <comment ref="G18" authorId="0">
      <text>
        <r>
          <rPr>
            <b/>
            <sz val="8"/>
            <rFont val="Tahoma"/>
            <charset val="134"/>
          </rPr>
          <t xml:space="preserve">Help:
</t>
        </r>
        <r>
          <rPr>
            <sz val="8"/>
            <rFont val="Tahoma"/>
            <charset val="134"/>
          </rPr>
          <t xml:space="preserve">Enter the specific PH / Leave reason if you mark the day to be unavailable.
</t>
        </r>
      </text>
    </comment>
    <comment ref="N18" authorId="0">
      <text>
        <r>
          <rPr>
            <b/>
            <sz val="8"/>
            <rFont val="Tahoma"/>
            <charset val="134"/>
          </rPr>
          <t xml:space="preserve">Help:
</t>
        </r>
        <r>
          <rPr>
            <sz val="8"/>
            <rFont val="Tahoma"/>
            <charset val="134"/>
          </rPr>
          <t xml:space="preserve">Enter the specific PH / Leave reason if you mark the day to be unavailable.
</t>
        </r>
      </text>
    </comment>
  </commentList>
</comments>
</file>

<file path=xl/connections.xml><?xml version="1.0" encoding="utf-8"?>
<connections xmlns="http://schemas.openxmlformats.org/spreadsheetml/2006/main">
  <connection id="1" odcFile="C:\NHPHUC Data\My Data Sources\apbl-svr40 PS_MLPD CustomerList.odc" name="apbl-svr40 PS_MLPD CustomerList" type="5" background="1" refreshedVersion="2" saveData="1">
    <dbPr connection="Provider=SQLOLEDB.1;Integrated Security=SSPI;Persist Security Info=True;Data Source=apbl-svr40;Use Procedure for Prepare=1;Auto Translate=True;Packet Size=4096;Workstation ID=CND8432WKK;Use Encryption for Data=False;Tag with column collation when possible=False;Initial Catalog=PS_MLPD" command="&quot;PS_MLPD&quot;.&quot;dbo&quot;.&quot;CustomerList&quot;" commandType="3"/>
  </connection>
</connections>
</file>

<file path=xl/sharedStrings.xml><?xml version="1.0" encoding="utf-8"?>
<sst xmlns="http://schemas.openxmlformats.org/spreadsheetml/2006/main" count="1238" uniqueCount="857">
  <si>
    <t>PH/AL</t>
  </si>
  <si>
    <r>
      <rPr>
        <b/>
        <sz val="9"/>
        <color theme="0"/>
        <rFont val="Calibri"/>
        <charset val="134"/>
        <scheme val="minor"/>
      </rPr>
      <t xml:space="preserve"> &gt;&gt; Instructions : </t>
    </r>
    <r>
      <rPr>
        <sz val="9"/>
        <color theme="0"/>
        <rFont val="Calibri"/>
        <charset val="134"/>
        <scheme val="minor"/>
      </rPr>
      <t>Simply Double Click to indicate your visit day</t>
    </r>
  </si>
  <si>
    <t>Cust.ID</t>
  </si>
  <si>
    <t>Cust.Name</t>
  </si>
  <si>
    <t>Visit Frequency</t>
  </si>
  <si>
    <t>Cust.Add 1</t>
  </si>
  <si>
    <t>Cust.Add 2</t>
  </si>
  <si>
    <t>Cust.PostCode</t>
  </si>
  <si>
    <t>Cust.Outlet Type</t>
  </si>
  <si>
    <t>a</t>
  </si>
  <si>
    <t>PARISHA MART</t>
  </si>
  <si>
    <t>2 UPPER ALJUNIED LANE</t>
  </si>
  <si>
    <t>#01-01</t>
  </si>
  <si>
    <t>360002</t>
  </si>
  <si>
    <t>CHIN TECK CHIANG SEAH KEE</t>
  </si>
  <si>
    <t>82 MACPHERSON LANE</t>
  </si>
  <si>
    <t>#01-19</t>
  </si>
  <si>
    <t>360082</t>
  </si>
  <si>
    <t>SRI VINAYAGA TRADING</t>
  </si>
  <si>
    <t>#01-11 MACPHERSON VIEW</t>
  </si>
  <si>
    <t>HENG BEE CO.</t>
  </si>
  <si>
    <t>377 UPPER ALJUNIED ROAD</t>
  </si>
  <si>
    <t/>
  </si>
  <si>
    <t>367862</t>
  </si>
  <si>
    <t>RS MINIMART PTE LTD</t>
  </si>
  <si>
    <t>460 MACPHERSON ROAD</t>
  </si>
  <si>
    <t>368178</t>
  </si>
  <si>
    <t>SRI LAKSHMI STORES &amp; TRADING PTE. LTD.</t>
  </si>
  <si>
    <t>514 MACPHERSON ROAD</t>
  </si>
  <si>
    <t>368210</t>
  </si>
  <si>
    <t>24 HRS PTE. LTD.</t>
  </si>
  <si>
    <t>3 IRVING ROAD</t>
  </si>
  <si>
    <t>#01-19 TAI SENG CENTRE</t>
  </si>
  <si>
    <t>369522</t>
  </si>
  <si>
    <t>LAN HUAT</t>
  </si>
  <si>
    <t>36 CIRCUIT ROAD</t>
  </si>
  <si>
    <t>#01-428</t>
  </si>
  <si>
    <t>370036</t>
  </si>
  <si>
    <t>ACTIVE SUPERMARKET</t>
  </si>
  <si>
    <t>#01-412</t>
  </si>
  <si>
    <t>LIEN SENG TRADING</t>
  </si>
  <si>
    <t>37 CIRCUIT ROAD</t>
  </si>
  <si>
    <t>#01-407</t>
  </si>
  <si>
    <t>370037</t>
  </si>
  <si>
    <t>GOOD LUCK PROVISION SHOP (CIRCUIT RD)</t>
  </si>
  <si>
    <t>#01-403</t>
  </si>
  <si>
    <t>J&amp;S TRADING</t>
  </si>
  <si>
    <t>51 CIRCUIT ROAD</t>
  </si>
  <si>
    <t>#01-809 MACPHERSON GARDEN</t>
  </si>
  <si>
    <t>370051</t>
  </si>
  <si>
    <t>U MART APEX MOON PTE. LTD.</t>
  </si>
  <si>
    <t>64 CIRCUIT ROAD</t>
  </si>
  <si>
    <t>#01-347</t>
  </si>
  <si>
    <t>370064</t>
  </si>
  <si>
    <t>ESWER MINIMART</t>
  </si>
  <si>
    <t>#01-349 MACPHERSON GARDEN</t>
  </si>
  <si>
    <t>MURUGAN TRADERS PTE LTD (CIRCUIT)</t>
  </si>
  <si>
    <t>#01-343</t>
  </si>
  <si>
    <t>SUN VS</t>
  </si>
  <si>
    <t>#01-359</t>
  </si>
  <si>
    <t>BEST ONE MINIMART</t>
  </si>
  <si>
    <t>65 CIRCUIT ROAD</t>
  </si>
  <si>
    <t>#01-365 MACPHERSON GARDEN</t>
  </si>
  <si>
    <t>370065</t>
  </si>
  <si>
    <t>*SRI KUMARAN TRADING</t>
  </si>
  <si>
    <t>71 CIRCUIT ROAD</t>
  </si>
  <si>
    <t>#01-43</t>
  </si>
  <si>
    <t>370071</t>
  </si>
  <si>
    <t>V-MART</t>
  </si>
  <si>
    <t>72 CIRCUIT ROAD</t>
  </si>
  <si>
    <t>370072</t>
  </si>
  <si>
    <t>LI FENG YUAN</t>
  </si>
  <si>
    <t>78 CIRCUIT ROAD</t>
  </si>
  <si>
    <t>#01-484</t>
  </si>
  <si>
    <t>370078</t>
  </si>
  <si>
    <t>SRI VENKATEZHWARA MINIMART</t>
  </si>
  <si>
    <t>#01-478 BALAM GARDENS</t>
  </si>
  <si>
    <t>SRI AYYAN MART</t>
  </si>
  <si>
    <t>87 CIRCUIT ROAD</t>
  </si>
  <si>
    <t>#01-981 MACPHERSON OASIS</t>
  </si>
  <si>
    <t>370087</t>
  </si>
  <si>
    <t>BEST MART @ 88</t>
  </si>
  <si>
    <t>88 CIRCUIT ROAD</t>
  </si>
  <si>
    <t>#01-969 MACPHERSON OASIS</t>
  </si>
  <si>
    <t>370088</t>
  </si>
  <si>
    <t>CHUA KIA JOO (EUNOS)</t>
  </si>
  <si>
    <t>6 EUNOS CRESCENT</t>
  </si>
  <si>
    <t>#01-2635</t>
  </si>
  <si>
    <t>400006</t>
  </si>
  <si>
    <t>LOW PRICE CENTRE</t>
  </si>
  <si>
    <t>#01-2647</t>
  </si>
  <si>
    <t>SMILES (EUNOS)</t>
  </si>
  <si>
    <t>#01-2631</t>
  </si>
  <si>
    <t>USHA S MARKETING PTE. LTD. (EUNOS)</t>
  </si>
  <si>
    <t>20 EUNOS CRESCENT</t>
  </si>
  <si>
    <t>#01-2955</t>
  </si>
  <si>
    <t>400020</t>
  </si>
  <si>
    <t>YEN INVESTMENT (UBI)</t>
  </si>
  <si>
    <t>301 UBI AVENUE 1</t>
  </si>
  <si>
    <t>#01-275</t>
  </si>
  <si>
    <t>400301</t>
  </si>
  <si>
    <t>HAPPY SHOPPY PTE. LTD (UBI)</t>
  </si>
  <si>
    <t>#01-253</t>
  </si>
  <si>
    <t>CHENNAI TRADING &amp; SUPERMART PTE LTD(UBI)</t>
  </si>
  <si>
    <t>#01-301</t>
  </si>
  <si>
    <t>PRAVEEN IMPEX PTE. LTD.</t>
  </si>
  <si>
    <t>#01-283</t>
  </si>
  <si>
    <t>AKSHAYA MINIMART PTE. LTD.</t>
  </si>
  <si>
    <t>302 UBI AVENUE 1</t>
  </si>
  <si>
    <t>#01-39/41</t>
  </si>
  <si>
    <t>400302</t>
  </si>
  <si>
    <t>GOOD PRICE CENTRE (UBI)</t>
  </si>
  <si>
    <t>#01-69</t>
  </si>
  <si>
    <t>POWER VALUE TRADING PTE. LTD.</t>
  </si>
  <si>
    <t>304 UBI AVENUE 1</t>
  </si>
  <si>
    <t>#01-83</t>
  </si>
  <si>
    <t>400304</t>
  </si>
  <si>
    <t>TRAVELLING ART SINGAPORE PTE. LTD.</t>
  </si>
  <si>
    <t>305 UBI AVENUE 1</t>
  </si>
  <si>
    <t>#01-183</t>
  </si>
  <si>
    <t>400305</t>
  </si>
  <si>
    <t>BON MARCHE MINIMART</t>
  </si>
  <si>
    <t>306 UBI AVENUE 1</t>
  </si>
  <si>
    <t>#01-191</t>
  </si>
  <si>
    <t>400306</t>
  </si>
  <si>
    <t>EVERYDAY MARKET UBI PTE. LTD.</t>
  </si>
  <si>
    <t>325 UBI AVENUE 1</t>
  </si>
  <si>
    <t>#01-699</t>
  </si>
  <si>
    <t>400325</t>
  </si>
  <si>
    <t>A-STAR CASH &amp; CARRY 3</t>
  </si>
  <si>
    <t>#01-705</t>
  </si>
  <si>
    <t>SHENG MINIMART</t>
  </si>
  <si>
    <t>342 UBI AVENUE 1</t>
  </si>
  <si>
    <t>#01-937</t>
  </si>
  <si>
    <t>400342</t>
  </si>
  <si>
    <t>NEO GUAN HUAT</t>
  </si>
  <si>
    <t>350 UBI AVENUE 1</t>
  </si>
  <si>
    <t>#01-945</t>
  </si>
  <si>
    <t>400350</t>
  </si>
  <si>
    <t>COOL BAY</t>
  </si>
  <si>
    <t>60 PAYA LEBAR ROAD</t>
  </si>
  <si>
    <t>#B1-38 PAYA LEBAR SQUARE</t>
  </si>
  <si>
    <t>409051</t>
  </si>
  <si>
    <t>PAPER CUP MARKET PLACE</t>
  </si>
  <si>
    <t>409 EUNOS ROAD 2</t>
  </si>
  <si>
    <t>#01-03</t>
  </si>
  <si>
    <t>409388</t>
  </si>
  <si>
    <t>LIN DA MINI SUPERMART (LENGKONG TIGA)</t>
  </si>
  <si>
    <t>110 LENGKONG TIGA</t>
  </si>
  <si>
    <t>#01-237</t>
  </si>
  <si>
    <t>410110</t>
  </si>
  <si>
    <t>GOLDEN BAMBOO (JLN TENAGA)</t>
  </si>
  <si>
    <t>655 JALAN TENAGA</t>
  </si>
  <si>
    <t>#01-94</t>
  </si>
  <si>
    <t>410655</t>
  </si>
  <si>
    <t>KARAIKUDI MINI MART</t>
  </si>
  <si>
    <t>18 KAKI BUKIT ROAD 3</t>
  </si>
  <si>
    <t>#01-17 ENTREPRENEUR BUSINESS CENTRE</t>
  </si>
  <si>
    <t>415978</t>
  </si>
  <si>
    <t>MURUGAN KPA MINIMART</t>
  </si>
  <si>
    <t>288 CHANGI ROAD</t>
  </si>
  <si>
    <t>419767</t>
  </si>
  <si>
    <t>SENG GUAN</t>
  </si>
  <si>
    <t>311 CHANGI ROAD</t>
  </si>
  <si>
    <t>419789</t>
  </si>
  <si>
    <t>SP MARKETS PTE. LTD.</t>
  </si>
  <si>
    <t>322B CHANGI ROAD</t>
  </si>
  <si>
    <t>419797</t>
  </si>
  <si>
    <t>HIMART (SERANGOON)</t>
  </si>
  <si>
    <t>70 UPPER SERANGOON VIEW</t>
  </si>
  <si>
    <t>#01-04/05 KINGSFORD WATERBAY CONDO</t>
  </si>
  <si>
    <t>533883</t>
  </si>
  <si>
    <t>SURIYA INTERNATIONAL EMPORIUM PTE. LTD.</t>
  </si>
  <si>
    <t>536 UPPER SERANGOON ROAD</t>
  </si>
  <si>
    <t>534551</t>
  </si>
  <si>
    <t>RK STORES TRADING (87 UPPER PAYA LEBAR)</t>
  </si>
  <si>
    <t>87 UPPER PAYA LEBAR ROAD</t>
  </si>
  <si>
    <t>534819</t>
  </si>
  <si>
    <t>SARATHI STORES PTE. LTD.</t>
  </si>
  <si>
    <t>91 UPPER PAYA LEBAR ROAD</t>
  </si>
  <si>
    <t>534821</t>
  </si>
  <si>
    <t>RK STORES TRADING (97)</t>
  </si>
  <si>
    <t>97 UPPER PAYA LEBAR ROAD</t>
  </si>
  <si>
    <t>534832</t>
  </si>
  <si>
    <t>SIVAMANI MINIMART PTE. LTD.</t>
  </si>
  <si>
    <t>137 UPPER PAYA LEBAR ROAD</t>
  </si>
  <si>
    <t>534846</t>
  </si>
  <si>
    <t>RAJANS MART (UPP PAYA LEBAR)</t>
  </si>
  <si>
    <t>149 UPPER PAYA LEBAR ROAD</t>
  </si>
  <si>
    <t>534850</t>
  </si>
  <si>
    <t>CHOP HWA TIONG</t>
  </si>
  <si>
    <t>171 UPPER PAYA LEBAR ROAD</t>
  </si>
  <si>
    <t>534861</t>
  </si>
  <si>
    <t>HAPPY SHOPPY PTE. LTD. (UPP PAYA LEBAR)</t>
  </si>
  <si>
    <t>333 UPPER PAYA LEBAR ROAD</t>
  </si>
  <si>
    <t>QUEMOY BUILDING</t>
  </si>
  <si>
    <t>534950</t>
  </si>
  <si>
    <t>EZ HOME PRODUCTS PTE. LTD. (RIVERVALE)</t>
  </si>
  <si>
    <t>118 RIVERVALE DRIVE</t>
  </si>
  <si>
    <t>#01-23 RIVERVALE PLAZA</t>
  </si>
  <si>
    <t>540118</t>
  </si>
  <si>
    <t>ANCHORVALE MINIMART 267 (BRANCH)</t>
  </si>
  <si>
    <t>267 COMPASSVALE LINK</t>
  </si>
  <si>
    <t>#01-01 MULTI STOREY CARPARK</t>
  </si>
  <si>
    <t>540267</t>
  </si>
  <si>
    <t>FAIR MART SUPERSTORE SENG KANG</t>
  </si>
  <si>
    <t>297 COMPASSVALE STREET</t>
  </si>
  <si>
    <t>540297</t>
  </si>
  <si>
    <t>SRI MURUGAN (ANCHORVALE)</t>
  </si>
  <si>
    <t>308 ANCHORVALE ROAD</t>
  </si>
  <si>
    <t>#01-08</t>
  </si>
  <si>
    <t>540308</t>
  </si>
  <si>
    <t>WELCOME MINI-MART PTE. LTD.</t>
  </si>
  <si>
    <t>#01-01 ANCHORVALE PLACE</t>
  </si>
  <si>
    <t>U STARS SUPERMARKET (ANCHORVALE)</t>
  </si>
  <si>
    <t>330 ANCHORVALE STREET</t>
  </si>
  <si>
    <t>540330</t>
  </si>
  <si>
    <t>M28 MINIMART (RIVERVALE)</t>
  </si>
  <si>
    <t>182A RIVERVALE CRESCENT</t>
  </si>
  <si>
    <t>#01-02</t>
  </si>
  <si>
    <t>541182</t>
  </si>
  <si>
    <t>1588 LE PTE LTD</t>
  </si>
  <si>
    <t>158B RIVERVALE CRESCENT</t>
  </si>
  <si>
    <t>#01-695</t>
  </si>
  <si>
    <t>542158</t>
  </si>
  <si>
    <t>ANCHORVALE M/MART (303)</t>
  </si>
  <si>
    <t>303 ANCHORVALE LINK</t>
  </si>
  <si>
    <t>#01-04</t>
  </si>
  <si>
    <t>542303</t>
  </si>
  <si>
    <t>U STARS SUPERMARKET (COMPASSVALE)</t>
  </si>
  <si>
    <t>215C COMPASSVALE DRIVE</t>
  </si>
  <si>
    <t>543215</t>
  </si>
  <si>
    <t>ZONE MINIMART (COMPASSVALE)</t>
  </si>
  <si>
    <t>205D COMPASSVALE LANE</t>
  </si>
  <si>
    <t>544205</t>
  </si>
  <si>
    <t>EZ HOME PRODUCTS PTE. LTD.(SENGKANG)</t>
  </si>
  <si>
    <t>10 SENGKANG SQUARE</t>
  </si>
  <si>
    <t>#01-118/119</t>
  </si>
  <si>
    <t>544829</t>
  </si>
  <si>
    <t>SANCHEZ LIMOUSINE SERVICE</t>
  </si>
  <si>
    <t>35 ANCHORVALE STREET</t>
  </si>
  <si>
    <t>SW2 FARMWAY LRT STATION</t>
  </si>
  <si>
    <t>545048</t>
  </si>
  <si>
    <t>ASHWIN SUPER MARKET</t>
  </si>
  <si>
    <t>176 YIO CHU KANG ROAD</t>
  </si>
  <si>
    <t>545626</t>
  </si>
  <si>
    <t>TEE SENG</t>
  </si>
  <si>
    <t>31 ROSYTH ROAD</t>
  </si>
  <si>
    <t>546191</t>
  </si>
  <si>
    <t>M28 MINIMART (COMPASSVALE)</t>
  </si>
  <si>
    <t>289C COMPASSVALE CRESCENT</t>
  </si>
  <si>
    <t>#01-05</t>
  </si>
  <si>
    <t>63158288</t>
  </si>
  <si>
    <t>SRI ANNAPOORANI TRADING PRIVATE LIMITED</t>
  </si>
  <si>
    <t>18 SUNGEI KADUT STREET 2</t>
  </si>
  <si>
    <t>#01-05 SUNGEI KADUT INDUSTRIAL ESTATE</t>
  </si>
  <si>
    <t>729236</t>
  </si>
  <si>
    <t>S POWER SUPERMART</t>
  </si>
  <si>
    <t>SKL MINI MART</t>
  </si>
  <si>
    <t>5 SUNGEI KADUT AVENUE</t>
  </si>
  <si>
    <t>YEW TEE INDUSTRIAL ESTATE</t>
  </si>
  <si>
    <t>729642</t>
  </si>
  <si>
    <t>ANISHPRABA INTERNATIONAL PTE LTD(MANDAI)</t>
  </si>
  <si>
    <t>6D MANDAI ESTATE</t>
  </si>
  <si>
    <t>#01-10</t>
  </si>
  <si>
    <t>729923</t>
  </si>
  <si>
    <t>S U STAR TRADING</t>
  </si>
  <si>
    <t>18 MARSILING LANE</t>
  </si>
  <si>
    <t>#01-279</t>
  </si>
  <si>
    <t>730018</t>
  </si>
  <si>
    <t>TAI SIN CHINESE MEDICINE HALL</t>
  </si>
  <si>
    <t>19 MARSILING LANE</t>
  </si>
  <si>
    <t>#01-309</t>
  </si>
  <si>
    <t>730019</t>
  </si>
  <si>
    <t>RAVIS SUPERMART (111 WOODLANDS)</t>
  </si>
  <si>
    <t>111 WOODLANDS STREET 13</t>
  </si>
  <si>
    <t>#01-90</t>
  </si>
  <si>
    <t>730111</t>
  </si>
  <si>
    <t>CHIP HUAT UNITED TRDG</t>
  </si>
  <si>
    <t>132 MARSILING RISE</t>
  </si>
  <si>
    <t>#01-232</t>
  </si>
  <si>
    <t>730132</t>
  </si>
  <si>
    <t>KALAIS MINI MART (MARSILING)</t>
  </si>
  <si>
    <t>136 MARSILING ROAD</t>
  </si>
  <si>
    <t>#01-2178</t>
  </si>
  <si>
    <t>730136</t>
  </si>
  <si>
    <t>GOOD PRICE CENTRE (MARSILING)</t>
  </si>
  <si>
    <t>#01-2180</t>
  </si>
  <si>
    <t>LIAN SENG MINIMART</t>
  </si>
  <si>
    <t>#01-2186</t>
  </si>
  <si>
    <t>SGS INCORPORATED (VALE STORE 167)</t>
  </si>
  <si>
    <t>167 WOODLANDS STREET 11</t>
  </si>
  <si>
    <t>#02-27</t>
  </si>
  <si>
    <t>730167</t>
  </si>
  <si>
    <t>HENG HOCK MINIMART</t>
  </si>
  <si>
    <t>210 MARSILING CRESCENT</t>
  </si>
  <si>
    <t>#01-11</t>
  </si>
  <si>
    <t>730210</t>
  </si>
  <si>
    <t>WANN AUN TONG MEDICAL HALL</t>
  </si>
  <si>
    <t>302 WOODLANDS STREET 31</t>
  </si>
  <si>
    <t>#01-295</t>
  </si>
  <si>
    <t>730302</t>
  </si>
  <si>
    <t>98 TRADING</t>
  </si>
  <si>
    <t>304 WOODLANDS AVENUE 1</t>
  </si>
  <si>
    <t>#01-137</t>
  </si>
  <si>
    <t>730304</t>
  </si>
  <si>
    <t>UNIQUE-BITS</t>
  </si>
  <si>
    <t>304 WOODLANDS STREET 31</t>
  </si>
  <si>
    <t>#01-131</t>
  </si>
  <si>
    <t>SM MART (WOODLANDS)</t>
  </si>
  <si>
    <t>#01-139</t>
  </si>
  <si>
    <t>WIN &amp; NING ENTERPRISE</t>
  </si>
  <si>
    <t>326 WOODLANDS STREET 32</t>
  </si>
  <si>
    <t>#01-105</t>
  </si>
  <si>
    <t>730326</t>
  </si>
  <si>
    <t>ANGEL SUPERMART</t>
  </si>
  <si>
    <t>#01-117</t>
  </si>
  <si>
    <t>SRI KUMARAN MALIGAI KADAI</t>
  </si>
  <si>
    <t>#01-123</t>
  </si>
  <si>
    <t>ENTRUST PROVISION</t>
  </si>
  <si>
    <t>548 WOODLANDS DRIVE 44</t>
  </si>
  <si>
    <t>#01-50 VISTA POINT</t>
  </si>
  <si>
    <t>730548</t>
  </si>
  <si>
    <t>REAL BUY</t>
  </si>
  <si>
    <t>#01-24 VISTA POINT</t>
  </si>
  <si>
    <t>TAI SIN HEALTHCARE AND CHINESE MEDICINE</t>
  </si>
  <si>
    <t>#01-14 VISTA POINT</t>
  </si>
  <si>
    <t>TIAN TIAN LE CONVENIENT STORE</t>
  </si>
  <si>
    <t>688 WOODLANDS DRIVE 75</t>
  </si>
  <si>
    <t>#01-02 MULTI STOREY CARPARK</t>
  </si>
  <si>
    <t>730688</t>
  </si>
  <si>
    <t>U STARS PTE. LTD. (WOODLANDS)</t>
  </si>
  <si>
    <t>691 WOODLANDS DRIVE</t>
  </si>
  <si>
    <t>#01-06</t>
  </si>
  <si>
    <t>730691</t>
  </si>
  <si>
    <t>KANG YU CHINESE MEDICAL HALL</t>
  </si>
  <si>
    <t>768 WOODLANDS AVENUE 6</t>
  </si>
  <si>
    <t>#01-24</t>
  </si>
  <si>
    <t>730768</t>
  </si>
  <si>
    <t>FORTUNE SUPERMARKET PTE. LTD. (WOODLAND)</t>
  </si>
  <si>
    <t>780 WOODLANDS CRESCENT</t>
  </si>
  <si>
    <t>730780</t>
  </si>
  <si>
    <t>SRI KRISHNA MART</t>
  </si>
  <si>
    <t>#01-05 MULTI STOREY CAR PARK</t>
  </si>
  <si>
    <t>RAINBOW MART</t>
  </si>
  <si>
    <t>806 WOODLANDS STREET 81</t>
  </si>
  <si>
    <t>730806</t>
  </si>
  <si>
    <t>WONG LI MINIMART</t>
  </si>
  <si>
    <t>832 WOODLANDS STREET 83</t>
  </si>
  <si>
    <t>730832</t>
  </si>
  <si>
    <t>LITTLE SUPER MART PTE. LTD.</t>
  </si>
  <si>
    <t>849 WOODLANDS STREET 82</t>
  </si>
  <si>
    <t>#01-213</t>
  </si>
  <si>
    <t>730849</t>
  </si>
  <si>
    <t>KANG YU MEDICALS</t>
  </si>
  <si>
    <t>883 WOODLANDS STREET 82</t>
  </si>
  <si>
    <t>#01-494(B) WOODLANDS NORTH PLAZA</t>
  </si>
  <si>
    <t>730883</t>
  </si>
  <si>
    <t>MANJARI MINIMART</t>
  </si>
  <si>
    <t>888 WOODLANDS DRIVE 50</t>
  </si>
  <si>
    <t>#01-721 888 PLAZA</t>
  </si>
  <si>
    <t>730888</t>
  </si>
  <si>
    <t>YAK HONG MINIMART</t>
  </si>
  <si>
    <t>515A WOODLANDS DRIVE 14</t>
  </si>
  <si>
    <t>731515</t>
  </si>
  <si>
    <t>P.S ANANTHA MINIMART</t>
  </si>
  <si>
    <t>626A WOODLANDS DRIVE 52</t>
  </si>
  <si>
    <t>731626</t>
  </si>
  <si>
    <t>HOE HUAT SENG (2011) TRADING</t>
  </si>
  <si>
    <t>892C WOODLANDS DRIVE 50</t>
  </si>
  <si>
    <t>732892</t>
  </si>
  <si>
    <t>POPULAR SUPERMARKET</t>
  </si>
  <si>
    <t>71 WOODLANDS AVENUE 10</t>
  </si>
  <si>
    <t>#01-03 WOODLANDS INDUSTRIAL XCHANGE</t>
  </si>
  <si>
    <t>737743</t>
  </si>
  <si>
    <t>SUNSHINE MART PROVISION SHOP</t>
  </si>
  <si>
    <t>39 WOODLANDS CLOSE</t>
  </si>
  <si>
    <t>#01-67 MEGA@WOODLANDS</t>
  </si>
  <si>
    <t>737856</t>
  </si>
  <si>
    <t>THH ENTERPRISE</t>
  </si>
  <si>
    <t>960 WOODLANDS ROAD</t>
  </si>
  <si>
    <t>#01-14 KRANJI MRT STATION</t>
  </si>
  <si>
    <t>738702</t>
  </si>
  <si>
    <t>HENG LAI HENG TRADING ENTERPRISE</t>
  </si>
  <si>
    <t>20 WOODLANDS LINK</t>
  </si>
  <si>
    <t>#01-37 WOODLANDS EAST INDUSTRIAL ESTATE</t>
  </si>
  <si>
    <t>738733</t>
  </si>
  <si>
    <t>LEE CHIN AIK</t>
  </si>
  <si>
    <t>SRI SAI TRADING PTE. LTD.</t>
  </si>
  <si>
    <t>235 KRANJI ROAD</t>
  </si>
  <si>
    <t>739491</t>
  </si>
  <si>
    <t>G &amp; G WHOLESALE &amp; MARKETING</t>
  </si>
  <si>
    <t>257 KRANJI ROAD</t>
  </si>
  <si>
    <t>739503</t>
  </si>
  <si>
    <t>KENG HUAT DEPARTMENTAL STORE</t>
  </si>
  <si>
    <t>271 KRANJI ROAD</t>
  </si>
  <si>
    <t>739509</t>
  </si>
  <si>
    <t>FARM GREENS TRADING PTE. LTD.</t>
  </si>
  <si>
    <t>285 KRANJI ROAD</t>
  </si>
  <si>
    <t>739516</t>
  </si>
  <si>
    <t>ANG MO SUPERMARKET</t>
  </si>
  <si>
    <t>120 CANBERRA CRESCENT</t>
  </si>
  <si>
    <t>#01-751</t>
  </si>
  <si>
    <t>750120</t>
  </si>
  <si>
    <t>FORTUNE SUPERMARKET PTE. LTD.(SEMBAWANG)</t>
  </si>
  <si>
    <t>463 SEMBAWANG DRIVE</t>
  </si>
  <si>
    <t>750463</t>
  </si>
  <si>
    <t>HAPPY FAMILY MINIMART</t>
  </si>
  <si>
    <t>477 SEMBAWANG DRIVE</t>
  </si>
  <si>
    <t>#01-395</t>
  </si>
  <si>
    <t>750477</t>
  </si>
  <si>
    <t>101 EXPRESSMART</t>
  </si>
  <si>
    <t>483 ADMIRALTY LINK</t>
  </si>
  <si>
    <t>#01-25</t>
  </si>
  <si>
    <t>750483</t>
  </si>
  <si>
    <t>HAO MART (CANBERRA)</t>
  </si>
  <si>
    <t>505 CANBERRA LINK</t>
  </si>
  <si>
    <t>750505</t>
  </si>
  <si>
    <t>VIDEKS GROCERS</t>
  </si>
  <si>
    <t>590A MONTREAL LINK</t>
  </si>
  <si>
    <t>#01-27 MONTREAL DALE</t>
  </si>
  <si>
    <t>751590</t>
  </si>
  <si>
    <t>MURUGAN TRADERS PTE LTD (WOODLANDS)</t>
  </si>
  <si>
    <t>200 WOODLANDS INDUSTRIAL PARK E7</t>
  </si>
  <si>
    <t>#01-09 WOODLANDS RECREATION CENTRE</t>
  </si>
  <si>
    <t>757177</t>
  </si>
  <si>
    <t>MIJIAN DIAN</t>
  </si>
  <si>
    <t>#01-19 WOODLANDS RECREATION CENTRE</t>
  </si>
  <si>
    <t>AMMA STORES</t>
  </si>
  <si>
    <t>#01-17 WOODLANDS RECREATION CENTRE</t>
  </si>
  <si>
    <t>SUN SUPERMARKET</t>
  </si>
  <si>
    <t>280 WOODLANDS INDUSTRIAL PARK E5</t>
  </si>
  <si>
    <t>#01-24 HARVEST @ WOODLANDS</t>
  </si>
  <si>
    <t>757322</t>
  </si>
  <si>
    <t>SHARBESUWARY MINI MART (ADMIRALTY)</t>
  </si>
  <si>
    <t>8B ADMIRALTY STREET</t>
  </si>
  <si>
    <t>#01-08 8B @ ADMIRALTY</t>
  </si>
  <si>
    <t>757440</t>
  </si>
  <si>
    <t>WAANGOO TRADING PTE. LTD.</t>
  </si>
  <si>
    <t>10 WOODLANDS INDUSTRIAL PARK E1</t>
  </si>
  <si>
    <t>757733</t>
  </si>
  <si>
    <t>VS MINI MARKET</t>
  </si>
  <si>
    <t>20 SENOKO DRIVE</t>
  </si>
  <si>
    <t>758207</t>
  </si>
  <si>
    <t>KARTHIKA SUPERMARKET (YISHUN)</t>
  </si>
  <si>
    <t>101 YISHUN AVENUE 5</t>
  </si>
  <si>
    <t>#01-61</t>
  </si>
  <si>
    <t>760101</t>
  </si>
  <si>
    <t>KIM ENG MINI SUPERMARKET</t>
  </si>
  <si>
    <t>103 YISHUN RING ROAD</t>
  </si>
  <si>
    <t>#01-79</t>
  </si>
  <si>
    <t>760103</t>
  </si>
  <si>
    <t>GUAN HUAT PROVISION SHOP (YISHUN)</t>
  </si>
  <si>
    <t>#01-103</t>
  </si>
  <si>
    <t>SRI SAI KRUPA TRADING PTE. LTD.</t>
  </si>
  <si>
    <t>LIM NAM THYE PROVISION SHOP</t>
  </si>
  <si>
    <t>110 YISHUN RING ROAD</t>
  </si>
  <si>
    <t>#01-377</t>
  </si>
  <si>
    <t>760110</t>
  </si>
  <si>
    <t>ANGEL SUPERMART (YISHUN)</t>
  </si>
  <si>
    <t>#01-391</t>
  </si>
  <si>
    <t>WILSON MINI MART</t>
  </si>
  <si>
    <t>156 YISHUN STREET 11</t>
  </si>
  <si>
    <t>#01-108</t>
  </si>
  <si>
    <t>760156</t>
  </si>
  <si>
    <t>MAY MYANMAR MINIMART</t>
  </si>
  <si>
    <t>#01-110</t>
  </si>
  <si>
    <t>HAK SENG KEE</t>
  </si>
  <si>
    <t>160 YISHUN STREET 11</t>
  </si>
  <si>
    <t>#01-216</t>
  </si>
  <si>
    <t>760160</t>
  </si>
  <si>
    <t>SANGEE MART</t>
  </si>
  <si>
    <t>#01-208</t>
  </si>
  <si>
    <t>ASERET TRADING</t>
  </si>
  <si>
    <t>173 YISHUN AVENUE 7</t>
  </si>
  <si>
    <t>#01-827</t>
  </si>
  <si>
    <t>760173</t>
  </si>
  <si>
    <t>JEYAM TRADERS PTE. LTD.</t>
  </si>
  <si>
    <t>174 YISHUN AVENUE 7</t>
  </si>
  <si>
    <t>#01-829</t>
  </si>
  <si>
    <t>760174</t>
  </si>
  <si>
    <t>PHUA SOON LEE</t>
  </si>
  <si>
    <t>236 YISHUN RING ROAD</t>
  </si>
  <si>
    <t>#01-1006</t>
  </si>
  <si>
    <t>760236</t>
  </si>
  <si>
    <t>JIN WAN LI MINI-MART</t>
  </si>
  <si>
    <t>256 YISHUN RING ROAD</t>
  </si>
  <si>
    <t>#01-1001</t>
  </si>
  <si>
    <t>760256</t>
  </si>
  <si>
    <t>SRI AMBIKAS PTE. LTD.</t>
  </si>
  <si>
    <t>261 YISHUN STREET 22</t>
  </si>
  <si>
    <t>#01-127</t>
  </si>
  <si>
    <t>760261</t>
  </si>
  <si>
    <t>SPRING MYANMAR MINIMART</t>
  </si>
  <si>
    <t>#01-135</t>
  </si>
  <si>
    <t>RAJMAHAL TRADING PTE. LTD.</t>
  </si>
  <si>
    <t>274 YISHUN STREET 22</t>
  </si>
  <si>
    <t>#01-K1</t>
  </si>
  <si>
    <t>760274</t>
  </si>
  <si>
    <t>CHIN SENG WINE MERCHANT TRADING</t>
  </si>
  <si>
    <t>285 YISHUN AVENUE 6</t>
  </si>
  <si>
    <t>760285</t>
  </si>
  <si>
    <t>THAI KHANENG MINIMART (BLK 285)</t>
  </si>
  <si>
    <t>TOH ENG LEE (PSC)</t>
  </si>
  <si>
    <t>291 YISHUN STREET 22</t>
  </si>
  <si>
    <t>760291</t>
  </si>
  <si>
    <t>U STARS PTE. LTD. (YISHUN 291)</t>
  </si>
  <si>
    <t>#01-389/391</t>
  </si>
  <si>
    <t>AMMAN HOUSEHOLD SUPPLIES PTE. LTD. (YIS)</t>
  </si>
  <si>
    <t>292 YISHUN STREET 22</t>
  </si>
  <si>
    <t>#01-293</t>
  </si>
  <si>
    <t>760292</t>
  </si>
  <si>
    <t>A-STAR CASH &amp; CARRY (292 YISHUN)</t>
  </si>
  <si>
    <t>SMART99</t>
  </si>
  <si>
    <t>317 YISHUN AVENUE 9</t>
  </si>
  <si>
    <t>760317</t>
  </si>
  <si>
    <t>YU YIN TRADING</t>
  </si>
  <si>
    <t>348 YISHUN AVENUE 11</t>
  </si>
  <si>
    <t>#01-01 ADORA GREEN</t>
  </si>
  <si>
    <t>760348</t>
  </si>
  <si>
    <t>ZHONG GUO CAO SHI (417)</t>
  </si>
  <si>
    <t>417 YISHUN AVENUE 11</t>
  </si>
  <si>
    <t>#01-333B</t>
  </si>
  <si>
    <t>760417</t>
  </si>
  <si>
    <t>ZHONG GUO CAO SHI (418)</t>
  </si>
  <si>
    <t>418 YISHUN AVENUE 11</t>
  </si>
  <si>
    <t>#01-423</t>
  </si>
  <si>
    <t>760418</t>
  </si>
  <si>
    <t>S.M. PROVISION PTE LTD</t>
  </si>
  <si>
    <t>#01-429</t>
  </si>
  <si>
    <t>HENG ENG BOON M/MART (YISHUN AVE 11)</t>
  </si>
  <si>
    <t>419 YISHUN AVENUE 11</t>
  </si>
  <si>
    <t>#01-379</t>
  </si>
  <si>
    <t>760419</t>
  </si>
  <si>
    <t>METRO FRESH MART</t>
  </si>
  <si>
    <t>504 YISHUN STREET 51</t>
  </si>
  <si>
    <t>760504</t>
  </si>
  <si>
    <t>U STARS SUPERMARKET (YISHUN)</t>
  </si>
  <si>
    <t>507 YISHUN AVENUE 4</t>
  </si>
  <si>
    <t>#01-09</t>
  </si>
  <si>
    <t>760507</t>
  </si>
  <si>
    <t>PIAK LAN HIONG</t>
  </si>
  <si>
    <t>605 YISHUN STREET 61</t>
  </si>
  <si>
    <t>#01-311</t>
  </si>
  <si>
    <t>760605</t>
  </si>
  <si>
    <t>SIN YEE TECK MINI-MARKET</t>
  </si>
  <si>
    <t>619 YISHUN RING ROAD</t>
  </si>
  <si>
    <t>#01-3228</t>
  </si>
  <si>
    <t>760619</t>
  </si>
  <si>
    <t>YI CING MINI SUPERMARKET</t>
  </si>
  <si>
    <t>632 YISHUN STREET 61</t>
  </si>
  <si>
    <t>760632</t>
  </si>
  <si>
    <t>JOY MINIMART</t>
  </si>
  <si>
    <t>645 YISHUN STREET 61</t>
  </si>
  <si>
    <t>#01-322</t>
  </si>
  <si>
    <t>760645</t>
  </si>
  <si>
    <t>GOLDEN NATURALS PTE. LTD.</t>
  </si>
  <si>
    <t>#01-328</t>
  </si>
  <si>
    <t>NAM HO TRADING</t>
  </si>
  <si>
    <t>661 YISHUN AVENUE 4</t>
  </si>
  <si>
    <t>760661</t>
  </si>
  <si>
    <t>HOCK TAI CHEONG</t>
  </si>
  <si>
    <t>664 YISHUN AVENUE 4</t>
  </si>
  <si>
    <t>760664</t>
  </si>
  <si>
    <t>HUA HIN FARMING &amp; S/M</t>
  </si>
  <si>
    <t>716 YISHUN STREET 71</t>
  </si>
  <si>
    <t>#01-250</t>
  </si>
  <si>
    <t>760716</t>
  </si>
  <si>
    <t>ZENG MAO SHENG</t>
  </si>
  <si>
    <t>#01-252</t>
  </si>
  <si>
    <t>UP-MART TRADING</t>
  </si>
  <si>
    <t>717 YISHUN STREET 71</t>
  </si>
  <si>
    <t>#01-331</t>
  </si>
  <si>
    <t>760717</t>
  </si>
  <si>
    <t>WEN JI FA</t>
  </si>
  <si>
    <t>729 YISHUN STREET 71</t>
  </si>
  <si>
    <t>760729</t>
  </si>
  <si>
    <t>ACTIVE EXPRESS MART</t>
  </si>
  <si>
    <t>731 YISHUN STREET 72</t>
  </si>
  <si>
    <t>#01-21 NEE SOON CENTRAL VISTA</t>
  </si>
  <si>
    <t>760731</t>
  </si>
  <si>
    <t>FORTUNE SUPERMARKET PTE. LTD. (YISHUN)</t>
  </si>
  <si>
    <t>#01-51</t>
  </si>
  <si>
    <t>SM MART PTE. LTD. (YISHUN)</t>
  </si>
  <si>
    <t>744 YISHUN STREET 72</t>
  </si>
  <si>
    <t>#01-185 NEE SOON CENTRAL SPRING</t>
  </si>
  <si>
    <t>760744</t>
  </si>
  <si>
    <t>CHAN LIAN SENG (PSC)</t>
  </si>
  <si>
    <t>748 YISHUN STREET 72</t>
  </si>
  <si>
    <t>#01-224</t>
  </si>
  <si>
    <t>760748</t>
  </si>
  <si>
    <t>ANN TENG HENG</t>
  </si>
  <si>
    <t>761 YISHUN STREET 72</t>
  </si>
  <si>
    <t>#01-344</t>
  </si>
  <si>
    <t>760761</t>
  </si>
  <si>
    <t>ARUL GLOBAL MARKETING PTE. LTD.</t>
  </si>
  <si>
    <t>779 YISHUN AVENUE 2</t>
  </si>
  <si>
    <t>#01-1541A KHATIB VALE</t>
  </si>
  <si>
    <t>760779</t>
  </si>
  <si>
    <t>KAI SOON SUPERMARKET PTE. LTD.(YISHUN)</t>
  </si>
  <si>
    <t>780 YISHUN RING ROAD</t>
  </si>
  <si>
    <t>#01-3546</t>
  </si>
  <si>
    <t>760780</t>
  </si>
  <si>
    <t>S&amp;Z MINIMART</t>
  </si>
  <si>
    <t>807 YISHUN RING ROAD</t>
  </si>
  <si>
    <t>#01-4207</t>
  </si>
  <si>
    <t>760807</t>
  </si>
  <si>
    <t>MM SUPERMARKET PTE. LTD.</t>
  </si>
  <si>
    <t>333C YISHUN STREET 31</t>
  </si>
  <si>
    <t>#01-165 YISHUN RIVERWALK</t>
  </si>
  <si>
    <t>763333</t>
  </si>
  <si>
    <t>SASI MURUGAN TRADING PTE LTD</t>
  </si>
  <si>
    <t>37 MILTONIA CLOSE</t>
  </si>
  <si>
    <t>#01-33 SKIES MILTONIA</t>
  </si>
  <si>
    <t>768066</t>
  </si>
  <si>
    <t>RAINBOW SUPER MART (YISHUN)</t>
  </si>
  <si>
    <t>2 YISHUN INDUSTRIAL STREET 1</t>
  </si>
  <si>
    <t>#01-02 NORTH POINT BIZHUB</t>
  </si>
  <si>
    <t>768159</t>
  </si>
  <si>
    <t>UNITED ACHIEVA DISTRIBUTORS PTE. LTD.</t>
  </si>
  <si>
    <t>#01-24 NORTH POINT BIZHUB</t>
  </si>
  <si>
    <t>SRI MURUGAN (YISHUN)</t>
  </si>
  <si>
    <t>51 YISHUN CENTRAL 1</t>
  </si>
  <si>
    <t>#01-07/08/09 YISHUN GV MALL</t>
  </si>
  <si>
    <t>768794</t>
  </si>
  <si>
    <t>3-11 MART</t>
  </si>
  <si>
    <t>20A YISHUN CENTRAL</t>
  </si>
  <si>
    <t>#01-18</t>
  </si>
  <si>
    <t>768830</t>
  </si>
  <si>
    <t>TEO CHIN HUAT</t>
  </si>
  <si>
    <t>73 JALAN MALU-MALU</t>
  </si>
  <si>
    <t>769685</t>
  </si>
  <si>
    <t>PHUA LAM SEA VEGETABLE SUPPLIER</t>
  </si>
  <si>
    <t>75 JALAN MALU MALU</t>
  </si>
  <si>
    <t>769686</t>
  </si>
  <si>
    <t>TWMS PTE LTD</t>
  </si>
  <si>
    <t>908B UPPER THOMSON ROAD</t>
  </si>
  <si>
    <t>787111</t>
  </si>
  <si>
    <t>AH HONG HOLDINGS</t>
  </si>
  <si>
    <t>421 TAGORE INDUSTRIAL AVENUE</t>
  </si>
  <si>
    <t>#01-06 TAGORE 8</t>
  </si>
  <si>
    <t>787805</t>
  </si>
  <si>
    <t>THE CONVI STORE @ BULLION PARK</t>
  </si>
  <si>
    <t>172 LENTOR LOOP</t>
  </si>
  <si>
    <t>#01-01/02 BULLION PARK</t>
  </si>
  <si>
    <t>789100</t>
  </si>
  <si>
    <t>JAYA AMBIGA TRADING PTE. LTD. (SENGKANG)</t>
  </si>
  <si>
    <t>432A SENGKANG WEST WAY</t>
  </si>
  <si>
    <t>791432</t>
  </si>
  <si>
    <t>FERNVALE MINI-MART</t>
  </si>
  <si>
    <t>408B FERNVALE ROAD</t>
  </si>
  <si>
    <t>#01-16 CORAL VALE</t>
  </si>
  <si>
    <t>792408</t>
  </si>
  <si>
    <t>HIMART (FERNVALE)</t>
  </si>
  <si>
    <t>21 FERNVALE CLOSE</t>
  </si>
  <si>
    <t>#01-09 RIVERTREE RESIDENCES CONDO</t>
  </si>
  <si>
    <t>797460</t>
  </si>
  <si>
    <t>JAYTARRANI PTE. LTD. (JALAN KAYU)</t>
  </si>
  <si>
    <t>271 JALAN KAYU</t>
  </si>
  <si>
    <t>799499</t>
  </si>
  <si>
    <t>CHUAN HUAT GUAN DRY MARKET</t>
  </si>
  <si>
    <t>6 JALAN SELASEH</t>
  </si>
  <si>
    <t>SELETAR HILLS ESTATE</t>
  </si>
  <si>
    <t>808435</t>
  </si>
  <si>
    <t>SMART MART SERVICES</t>
  </si>
  <si>
    <t>26 CACTUS DRIVE</t>
  </si>
  <si>
    <t>#01-04 GRANDE VISTA</t>
  </si>
  <si>
    <t>809695</t>
  </si>
  <si>
    <t>SRI MARKETING</t>
  </si>
  <si>
    <t>168 PUNGGOL FIELD</t>
  </si>
  <si>
    <t>#01-03 PUNGGOL PLAZA</t>
  </si>
  <si>
    <t>820168</t>
  </si>
  <si>
    <t>U STARS SUPERMARKET (SUMANG)</t>
  </si>
  <si>
    <t>218 SUMANG WALK</t>
  </si>
  <si>
    <t>820218</t>
  </si>
  <si>
    <t>U STARS SUPERMARKET (PUNGGOL)</t>
  </si>
  <si>
    <t>261 PUNGGOL WAY</t>
  </si>
  <si>
    <t>820261</t>
  </si>
  <si>
    <t>ANG MO SUPERMARKET PTE LTD (PUNGGOL)</t>
  </si>
  <si>
    <t>639 PUNGGOL DRIVE</t>
  </si>
  <si>
    <t>820639</t>
  </si>
  <si>
    <t>HAO MART (PUNGGOL EAST)</t>
  </si>
  <si>
    <t>658 PUNGGOL EAST</t>
  </si>
  <si>
    <t>820658</t>
  </si>
  <si>
    <t>ANG MO SUPERMARKET (196A PUNGGOL FIELD)</t>
  </si>
  <si>
    <t>196A PUNGGOL FIELD</t>
  </si>
  <si>
    <t>#01-519</t>
  </si>
  <si>
    <t>821196</t>
  </si>
  <si>
    <t>LI LI CHENG SUPERMARKET (PUNGGOL)PTE LTD</t>
  </si>
  <si>
    <t>273C PUNGGOL PLACE</t>
  </si>
  <si>
    <t>#01-884</t>
  </si>
  <si>
    <t>823273</t>
  </si>
  <si>
    <t>HAO MART (PUNGGOL WALK)</t>
  </si>
  <si>
    <t>308C PUNGGOL WALK</t>
  </si>
  <si>
    <t>#01-352</t>
  </si>
  <si>
    <t>823308</t>
  </si>
  <si>
    <t>BUZZ (PUNGGOL 211D)</t>
  </si>
  <si>
    <t>211D PUNGGOL WALK</t>
  </si>
  <si>
    <t>#01-665 PUNGGOL RIPPLES</t>
  </si>
  <si>
    <t>824211</t>
  </si>
  <si>
    <t>12 HOURS</t>
  </si>
  <si>
    <t>31 PUNGGOL WAY</t>
  </si>
  <si>
    <t>SUMANG LRT STATION</t>
  </si>
  <si>
    <t>828863</t>
  </si>
  <si>
    <t>DAE SSIK SIN</t>
  </si>
  <si>
    <t>23 SERANGOON CENTRAL</t>
  </si>
  <si>
    <t>#02-04/05/06 NEX SHOPPING CENTRE</t>
  </si>
  <si>
    <t>556083</t>
  </si>
  <si>
    <t>THE TIPSY COW @ BURGHLEY</t>
  </si>
  <si>
    <t>45 BURGHLEY DRIVE</t>
  </si>
  <si>
    <t>#01-04 BURGHLEY LIFESTYLE HUB</t>
  </si>
  <si>
    <t>559022</t>
  </si>
  <si>
    <t>COLLINS @ AMK</t>
  </si>
  <si>
    <t>61 ANG MO KIO AVENUE 8</t>
  </si>
  <si>
    <t>#01-07/10 JUBILEE SQUARE</t>
  </si>
  <si>
    <t>569814</t>
  </si>
  <si>
    <t>MOF @ MY IZAKAYA (AMK)</t>
  </si>
  <si>
    <t>53 ANG MO KIO AVENUE 3</t>
  </si>
  <si>
    <t>#B1-51/51A ANG MO KIO HUB</t>
  </si>
  <si>
    <t>569933</t>
  </si>
  <si>
    <t>DAESSIKSIN (AMK HUB)</t>
  </si>
  <si>
    <t>#B2-01 AMK HUB</t>
  </si>
  <si>
    <t>PEPERONI PIZZERIA (UPPER THOMSON)</t>
  </si>
  <si>
    <t>267 UPPER THOMSON ROAD</t>
  </si>
  <si>
    <t>SOO CHOW GARDEN</t>
  </si>
  <si>
    <t>574394</t>
  </si>
  <si>
    <t>E-SARN THAI CORNER (UPP THOMSON)</t>
  </si>
  <si>
    <t>9 THOMSON RIDGE</t>
  </si>
  <si>
    <t>THOMSON RIDGE ESTATE</t>
  </si>
  <si>
    <t>574637</t>
  </si>
  <si>
    <t>LINO</t>
  </si>
  <si>
    <t>7 BINJAI PARK</t>
  </si>
  <si>
    <t>589821</t>
  </si>
  <si>
    <t>GENTING HOTEL JURONG</t>
  </si>
  <si>
    <t>2 TOWN HALL LINK</t>
  </si>
  <si>
    <t>608516</t>
  </si>
  <si>
    <t>TSUKADA NOJO (WESTGATE)</t>
  </si>
  <si>
    <t>3 GATEWAY DRIVE</t>
  </si>
  <si>
    <t>#03-04/04A WESTGATE MALL</t>
  </si>
  <si>
    <t>608532</t>
  </si>
  <si>
    <t>COLLINS @ WESTGATE</t>
  </si>
  <si>
    <t>#01-05 WESTGATE MALL</t>
  </si>
  <si>
    <t>ASTONS SPECIALITIES - JCUBE</t>
  </si>
  <si>
    <t>2 JURONG EAST CENTRAL 1</t>
  </si>
  <si>
    <t>#03-18 JCUBE</t>
  </si>
  <si>
    <t>609731</t>
  </si>
  <si>
    <t>SAIZERIYA ITALIAN RESTAURANT (JCUBE)</t>
  </si>
  <si>
    <t>#02-09B JCUBE</t>
  </si>
  <si>
    <t>TCC @ GERMAN CENTRE</t>
  </si>
  <si>
    <t>25 INTERNATIONAL BUSINESS PARK</t>
  </si>
  <si>
    <t>#01-180 GERMAN CENTRE</t>
  </si>
  <si>
    <t>609916</t>
  </si>
  <si>
    <t>THE LODGE ON FLAMINGO LAKE</t>
  </si>
  <si>
    <t>2 JURONG HILL</t>
  </si>
  <si>
    <t>JURONG BIRD PARK</t>
  </si>
  <si>
    <t>628925</t>
  </si>
  <si>
    <t>PATBINGSOO (JURONG POINT)</t>
  </si>
  <si>
    <t>63 JURONG WEST CENTRAL 3</t>
  </si>
  <si>
    <t>#03-56 JURONG POINT 2</t>
  </si>
  <si>
    <t>648331</t>
  </si>
  <si>
    <t>DAESSIKSIN (WEST MALL)</t>
  </si>
  <si>
    <t>1 BUKIT BATOK CENTRAL LINK</t>
  </si>
  <si>
    <t>#01-38/39 WEST MALL</t>
  </si>
  <si>
    <t>658713</t>
  </si>
  <si>
    <t>SAIZERIYA ITALIAN RESTAURANT (HILLION)</t>
  </si>
  <si>
    <t>17 PETIR ROAD</t>
  </si>
  <si>
    <t>#B1-20/21/22 HILLION MALL</t>
  </si>
  <si>
    <t>678278</t>
  </si>
  <si>
    <t>MOF MY IZAKAYA &amp; DANRO COLLAGEN HOTPOT</t>
  </si>
  <si>
    <t>#01-13/14 HILLION MALL</t>
  </si>
  <si>
    <t>SAIZERIYA (YEW TEE POINT)</t>
  </si>
  <si>
    <t>21 CHOA CHU KANG NORTH 6</t>
  </si>
  <si>
    <t>#01-17 YEW TEE POINT</t>
  </si>
  <si>
    <t>689578</t>
  </si>
  <si>
    <t>MY IZAKAYA @ CHOA CHU KANG</t>
  </si>
  <si>
    <t>21 CHOA CHU KANG AVENUE 4</t>
  </si>
  <si>
    <t>#03-12 LOT 1 SHOPPERS'' MALL</t>
  </si>
  <si>
    <t>689812</t>
  </si>
  <si>
    <t>ULU ULU SAFARI RESTAURANT</t>
  </si>
  <si>
    <t>80 MANDAI LAKE ROAD</t>
  </si>
  <si>
    <t>PFS SAFARI REST</t>
  </si>
  <si>
    <t>729825</t>
  </si>
  <si>
    <t>JUNGLE ROTISSERIE</t>
  </si>
  <si>
    <t>SINGAPORE ZOOLOGICAL GARDENS</t>
  </si>
  <si>
    <t>729826</t>
  </si>
  <si>
    <t>WILD DELI</t>
  </si>
  <si>
    <t>ZOO KIOSK (SPH)</t>
  </si>
  <si>
    <t>BANQUET @ SINGAPORE ZOO</t>
  </si>
  <si>
    <t>ZBAR</t>
  </si>
  <si>
    <t>INUKA CAFE</t>
  </si>
  <si>
    <t>SAFARI SIZZLES</t>
  </si>
  <si>
    <t>NIGHT SAFARI SINGAPORE ZOOLOGICAL GARDEN</t>
  </si>
  <si>
    <t>DAESSIKSIN (CAUSEWAY POINT)</t>
  </si>
  <si>
    <t>1 WOODLANDS SQUARE</t>
  </si>
  <si>
    <t>#05-11 CAUSEWAY POINT</t>
  </si>
  <si>
    <t>738099</t>
  </si>
  <si>
    <t>ASTON STEAKHOUSE @ SEMBAWANG</t>
  </si>
  <si>
    <t>604 SEMBAWANG ROAD</t>
  </si>
  <si>
    <t>#B2-12/14 SEMBAWANG SHOPPING CENTRE</t>
  </si>
  <si>
    <t>758459</t>
  </si>
  <si>
    <t>SAIZERIYA (SEMBAWANG)</t>
  </si>
  <si>
    <t>#B1-15/16 SEMBAWANG SHOPPING CENTRE</t>
  </si>
  <si>
    <t>PATBINGSOO (NORTH POINT)</t>
  </si>
  <si>
    <t>1 NORTHPOINT DRIVE</t>
  </si>
  <si>
    <t>#B1-181 NORTHPOINT CITY</t>
  </si>
  <si>
    <t>768019</t>
  </si>
  <si>
    <t>COLLINS @ NORTHPOINT</t>
  </si>
  <si>
    <t>930 YISHUN AVENUE 2</t>
  </si>
  <si>
    <t>#01-113/114 NORTHPOINT CITY</t>
  </si>
  <si>
    <t>769098</t>
  </si>
  <si>
    <t>SAIZERIYA (SELETAR MALL)</t>
  </si>
  <si>
    <t>33 SENGKANG WEST AVENUE</t>
  </si>
  <si>
    <t>#02-K1/K2/K3 SELETAR MALL</t>
  </si>
  <si>
    <t>797653</t>
  </si>
  <si>
    <t>SOI THAI SOI NICE (SELETAR)</t>
  </si>
  <si>
    <t>#01-29/30 THE SELETAR MALL</t>
  </si>
  <si>
    <t>SPIZZA FOR FRIENDS (JALAN KAYU)</t>
  </si>
  <si>
    <t>269 JALAN KAYU</t>
  </si>
  <si>
    <t>799497</t>
  </si>
  <si>
    <t>HARRYS CHANGI AIRPORT (T3)</t>
  </si>
  <si>
    <t>65 AIRPORT BOULEVARD</t>
  </si>
  <si>
    <t>#02-08 CHANGI AIRPORT T3</t>
  </si>
  <si>
    <t>819663</t>
  </si>
  <si>
    <t>COLINS @ CHANGI AIRPORT</t>
  </si>
  <si>
    <t>#03-21 CHANGI AIRPORT TERMINAL 3</t>
  </si>
  <si>
    <t>SAIZERIYA @ OASIS TERRACE</t>
  </si>
  <si>
    <t>681 PUNGGOL DRIVE</t>
  </si>
  <si>
    <t>#03-07/08</t>
  </si>
  <si>
    <t>820681</t>
  </si>
  <si>
    <t>SOCIAL SQUARE (WATERWAY)</t>
  </si>
  <si>
    <t>83 PUNGGOL CENTRAL</t>
  </si>
  <si>
    <t>#01-26 WATERWAY POINT</t>
  </si>
  <si>
    <t>828761</t>
  </si>
  <si>
    <t>DANRO (WATERWAY POINT)</t>
  </si>
  <si>
    <t>#01-32 WATERWAY POINT</t>
  </si>
  <si>
    <t>DAESSIKSIN (WATERWAY POINT)</t>
  </si>
  <si>
    <t>Journey Planner</t>
  </si>
  <si>
    <t>Version 0.3</t>
  </si>
  <si>
    <t>Date Submitted :</t>
  </si>
  <si>
    <t xml:space="preserve"> SELECT PERIOD</t>
  </si>
  <si>
    <t>Remarks</t>
  </si>
  <si>
    <t>GOAL</t>
  </si>
  <si>
    <t>Personal Notes</t>
  </si>
  <si>
    <t>{Enter Name}</t>
  </si>
  <si>
    <t>{Enter Date}</t>
  </si>
  <si>
    <t>Approved via email</t>
  </si>
  <si>
    <t>Approval Name</t>
  </si>
  <si>
    <t>Date</t>
  </si>
  <si>
    <t>Signature</t>
  </si>
  <si>
    <t>NO OF CALLS</t>
  </si>
  <si>
    <t>PH/LEAVE</t>
  </si>
  <si>
    <t>DAY</t>
  </si>
  <si>
    <t xml:space="preserve">OutletID </t>
  </si>
  <si>
    <t>Name</t>
  </si>
  <si>
    <t>Address</t>
  </si>
  <si>
    <t>Call Rate</t>
  </si>
  <si>
    <t>S</t>
  </si>
</sst>
</file>

<file path=xl/styles.xml><?xml version="1.0" encoding="utf-8"?>
<styleSheet xmlns="http://schemas.openxmlformats.org/spreadsheetml/2006/main">
  <numFmts count="11">
    <numFmt numFmtId="176" formatCode="mmm\ yyyy"/>
    <numFmt numFmtId="177" formatCode="mmm"/>
    <numFmt numFmtId="44" formatCode="_(&quot;$&quot;* #,##0.00_);_(&quot;$&quot;* \(#,##0.00\);_(&quot;$&quot;* &quot;-&quot;??_);_(@_)"/>
    <numFmt numFmtId="178" formatCode="yyyy"/>
    <numFmt numFmtId="179" formatCode="_ * #,##0.00_ ;_ * \-#,##0.00_ ;_ * &quot;-&quot;??_ ;_ @_ "/>
    <numFmt numFmtId="180" formatCode="#,##0.0"/>
    <numFmt numFmtId="181" formatCode="_ * #,##0_ ;_ * \-#,##0_ ;_ * &quot;-&quot;_ ;_ @_ "/>
    <numFmt numFmtId="42" formatCode="_(&quot;$&quot;* #,##0_);_(&quot;$&quot;* \(#,##0\);_(&quot;$&quot;* &quot;-&quot;_);_(@_)"/>
    <numFmt numFmtId="182" formatCode="0.0%"/>
    <numFmt numFmtId="183" formatCode="dd\ ddd"/>
    <numFmt numFmtId="184" formatCode="dd"/>
  </numFmts>
  <fonts count="73">
    <font>
      <sz val="11"/>
      <color theme="1"/>
      <name val="Calibri"/>
      <charset val="134"/>
      <scheme val="minor"/>
    </font>
    <font>
      <sz val="9"/>
      <color theme="3"/>
      <name val="Calibri"/>
      <charset val="134"/>
      <scheme val="minor"/>
    </font>
    <font>
      <sz val="14"/>
      <color theme="3"/>
      <name val="Calibri"/>
      <charset val="134"/>
      <scheme val="minor"/>
    </font>
    <font>
      <b/>
      <sz val="29"/>
      <color theme="3" tint="0.399975585192419"/>
      <name val="Calibri"/>
      <charset val="134"/>
      <scheme val="minor"/>
    </font>
    <font>
      <sz val="16"/>
      <name val="Calibri"/>
      <charset val="134"/>
      <scheme val="minor"/>
    </font>
    <font>
      <sz val="9"/>
      <name val="Calibri"/>
      <charset val="134"/>
      <scheme val="minor"/>
    </font>
    <font>
      <sz val="20"/>
      <color theme="0"/>
      <name val="Engravers MT"/>
      <charset val="134"/>
    </font>
    <font>
      <b/>
      <sz val="9"/>
      <color theme="3"/>
      <name val="Calibri"/>
      <charset val="134"/>
      <scheme val="minor"/>
    </font>
    <font>
      <b/>
      <sz val="8"/>
      <color theme="3"/>
      <name val="Calibri"/>
      <charset val="134"/>
      <scheme val="minor"/>
    </font>
    <font>
      <b/>
      <sz val="22"/>
      <color theme="0"/>
      <name val="Arial"/>
      <charset val="134"/>
    </font>
    <font>
      <b/>
      <sz val="8"/>
      <color theme="4"/>
      <name val="Calibri"/>
      <charset val="134"/>
      <scheme val="minor"/>
    </font>
    <font>
      <sz val="8"/>
      <color theme="3"/>
      <name val="Calibri"/>
      <charset val="134"/>
      <scheme val="minor"/>
    </font>
    <font>
      <b/>
      <sz val="10"/>
      <color theme="4"/>
      <name val="Calibri"/>
      <charset val="134"/>
      <scheme val="minor"/>
    </font>
    <font>
      <b/>
      <sz val="10"/>
      <color theme="3"/>
      <name val="Calibri"/>
      <charset val="134"/>
      <scheme val="minor"/>
    </font>
    <font>
      <b/>
      <sz val="14"/>
      <color theme="0"/>
      <name val="Calibri"/>
      <charset val="134"/>
      <scheme val="minor"/>
    </font>
    <font>
      <b/>
      <u/>
      <sz val="9"/>
      <color theme="3"/>
      <name val="Calibri"/>
      <charset val="134"/>
      <scheme val="minor"/>
    </font>
    <font>
      <u/>
      <sz val="9"/>
      <color theme="3"/>
      <name val="Calibri"/>
      <charset val="134"/>
      <scheme val="minor"/>
    </font>
    <font>
      <sz val="8"/>
      <color theme="3"/>
      <name val="Terminal"/>
      <charset val="255"/>
    </font>
    <font>
      <b/>
      <sz val="9"/>
      <color rgb="FF4F81BD"/>
      <name val="Calibri"/>
      <charset val="134"/>
      <scheme val="minor"/>
    </font>
    <font>
      <b/>
      <sz val="9"/>
      <color theme="4"/>
      <name val="Calibri"/>
      <charset val="134"/>
      <scheme val="minor"/>
    </font>
    <font>
      <sz val="9"/>
      <color rgb="FF1F497D"/>
      <name val="Calibri"/>
      <charset val="134"/>
      <scheme val="minor"/>
    </font>
    <font>
      <b/>
      <sz val="29"/>
      <color theme="4"/>
      <name val="Calibri"/>
      <charset val="134"/>
      <scheme val="minor"/>
    </font>
    <font>
      <b/>
      <sz val="10"/>
      <color theme="0"/>
      <name val="Calibri"/>
      <charset val="134"/>
      <scheme val="minor"/>
    </font>
    <font>
      <sz val="9"/>
      <color theme="0"/>
      <name val="Calibri"/>
      <charset val="134"/>
      <scheme val="minor"/>
    </font>
    <font>
      <sz val="8"/>
      <name val="Calibri"/>
      <charset val="134"/>
      <scheme val="minor"/>
    </font>
    <font>
      <b/>
      <sz val="8"/>
      <color rgb="FF0070C0"/>
      <name val="Calibri"/>
      <charset val="134"/>
      <scheme val="minor"/>
    </font>
    <font>
      <sz val="8"/>
      <color rgb="FF1F497D"/>
      <name val="Terminal"/>
      <charset val="255"/>
    </font>
    <font>
      <sz val="8"/>
      <color rgb="FFC00000"/>
      <name val="Terminal"/>
      <charset val="255"/>
    </font>
    <font>
      <b/>
      <sz val="11"/>
      <color theme="0"/>
      <name val="Calibri"/>
      <charset val="134"/>
      <scheme val="minor"/>
    </font>
    <font>
      <sz val="9"/>
      <color theme="1"/>
      <name val="Calibri"/>
      <charset val="134"/>
      <scheme val="minor"/>
    </font>
    <font>
      <sz val="8"/>
      <color theme="0" tint="-0.0499893185216834"/>
      <name val="Calibri"/>
      <charset val="134"/>
      <scheme val="minor"/>
    </font>
    <font>
      <sz val="9"/>
      <color theme="3"/>
      <name val="Courier New"/>
      <charset val="134"/>
    </font>
    <font>
      <sz val="8"/>
      <color theme="1"/>
      <name val="Calibri"/>
      <charset val="134"/>
      <scheme val="minor"/>
    </font>
    <font>
      <sz val="9"/>
      <color theme="1"/>
      <name val="Marlett"/>
      <charset val="2"/>
    </font>
    <font>
      <sz val="6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9"/>
      <color theme="1"/>
      <name val="Verdana"/>
      <charset val="134"/>
    </font>
    <font>
      <b/>
      <sz val="9"/>
      <color theme="0"/>
      <name val="Calibri"/>
      <charset val="134"/>
      <scheme val="minor"/>
    </font>
    <font>
      <b/>
      <sz val="10"/>
      <name val="Calibri"/>
      <charset val="134"/>
      <scheme val="minor"/>
    </font>
    <font>
      <b/>
      <sz val="8"/>
      <color indexed="63"/>
      <name val="Tahoma"/>
      <charset val="134"/>
    </font>
    <font>
      <sz val="8"/>
      <color indexed="63"/>
      <name val="Tahoma"/>
      <charset val="134"/>
    </font>
    <font>
      <sz val="9"/>
      <color indexed="8"/>
      <name val="Lucida Sans Unicode"/>
      <charset val="134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rgb="FFFF00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29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8"/>
      <color theme="5"/>
      <name val="Calibri"/>
      <charset val="134"/>
      <scheme val="minor"/>
    </font>
    <font>
      <b/>
      <sz val="11"/>
      <color theme="5"/>
      <name val="Calibri"/>
      <charset val="134"/>
      <scheme val="minor"/>
    </font>
    <font>
      <sz val="11"/>
      <name val="Calibri"/>
      <charset val="134"/>
    </font>
    <font>
      <b/>
      <sz val="18"/>
      <color theme="3"/>
      <name val="Cambria"/>
      <charset val="134"/>
      <scheme val="major"/>
    </font>
    <font>
      <sz val="11"/>
      <color indexed="8"/>
      <name val="맑은 고딕"/>
      <charset val="129"/>
    </font>
    <font>
      <sz val="12"/>
      <color theme="1"/>
      <name val="Calibri"/>
      <charset val="136"/>
      <scheme val="minor"/>
    </font>
    <font>
      <b/>
      <sz val="11"/>
      <color theme="4"/>
      <name val="Calibri"/>
      <charset val="134"/>
      <scheme val="minor"/>
    </font>
    <font>
      <sz val="8"/>
      <name val="Tahoma"/>
      <charset val="134"/>
    </font>
    <font>
      <b/>
      <sz val="8"/>
      <name val="Tahoma"/>
      <charset val="134"/>
    </font>
  </fonts>
  <fills count="5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gradientFill degree="270">
        <stop position="0">
          <color theme="1"/>
        </stop>
        <stop position="1">
          <color theme="1" tint="0.149021881771294"/>
        </stop>
      </gradientFill>
    </fill>
    <fill>
      <patternFill patternType="solid">
        <fgColor theme="3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/>
        <bgColor indexed="64"/>
      </patternFill>
    </fill>
    <fill>
      <patternFill patternType="gray0625">
        <fgColor theme="0" tint="-0.249946592608417"/>
        <bgColor theme="0" tint="-0.149998474074526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2" tint="-0.89999084444715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</fills>
  <borders count="4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thin">
        <color theme="3" tint="0.599963377788629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theme="8" tint="0.399945066682943"/>
      </bottom>
      <diagonal/>
    </border>
    <border>
      <left/>
      <right/>
      <top style="thin">
        <color theme="8" tint="0.399945066682943"/>
      </top>
      <bottom style="thin">
        <color theme="8" tint="0.399945066682943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 tint="-0.249946592608417"/>
      </left>
      <right/>
      <top/>
      <bottom/>
      <diagonal/>
    </border>
    <border>
      <left/>
      <right style="medium">
        <color theme="3" tint="-0.249946592608417"/>
      </right>
      <top/>
      <bottom/>
      <diagonal/>
    </border>
    <border>
      <left style="medium">
        <color theme="3" tint="-0.249946592608417"/>
      </left>
      <right/>
      <top/>
      <bottom style="medium">
        <color auto="1"/>
      </bottom>
      <diagonal/>
    </border>
    <border>
      <left/>
      <right style="medium">
        <color theme="3" tint="-0.249946592608417"/>
      </right>
      <top/>
      <bottom style="medium">
        <color auto="1"/>
      </bottom>
      <diagonal/>
    </border>
    <border>
      <left style="medium">
        <color theme="3" tint="-0.249946592608417"/>
      </left>
      <right/>
      <top/>
      <bottom style="medium">
        <color theme="3" tint="-0.249946592608417"/>
      </bottom>
      <diagonal/>
    </border>
    <border>
      <left/>
      <right/>
      <top/>
      <bottom style="medium">
        <color theme="3" tint="-0.249946592608417"/>
      </bottom>
      <diagonal/>
    </border>
    <border>
      <left/>
      <right style="medium">
        <color theme="3" tint="-0.249946592608417"/>
      </right>
      <top/>
      <bottom style="medium">
        <color theme="3" tint="-0.249946592608417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/>
      <bottom style="thin">
        <color rgb="FF538DD5"/>
      </bottom>
      <diagonal/>
    </border>
    <border>
      <left/>
      <right/>
      <top/>
      <bottom style="thin">
        <color theme="3" tint="0.399945066682943"/>
      </bottom>
      <diagonal/>
    </border>
    <border>
      <left/>
      <right/>
      <top style="thin">
        <color rgb="FF538DD5"/>
      </top>
      <bottom style="thin">
        <color rgb="FF538DD5"/>
      </bottom>
      <diagonal/>
    </border>
    <border>
      <left/>
      <right/>
      <top style="thin">
        <color theme="3" tint="0.399945066682943"/>
      </top>
      <bottom style="thin">
        <color theme="3" tint="0.39994506668294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42"/>
      </left>
      <right style="thin">
        <color indexed="42"/>
      </right>
      <top style="thin">
        <color indexed="42"/>
      </top>
      <bottom style="thin">
        <color indexed="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theme="5"/>
      </top>
      <bottom/>
      <diagonal/>
    </border>
    <border>
      <left/>
      <right/>
      <top/>
      <bottom style="medium">
        <color theme="5"/>
      </bottom>
      <diagonal/>
    </border>
    <border>
      <left/>
      <right/>
      <top/>
      <bottom style="thin">
        <color theme="3" tint="0.799981688894314"/>
      </bottom>
      <diagonal/>
    </border>
  </borders>
  <cellStyleXfs count="70">
    <xf numFmtId="0" fontId="0" fillId="0" borderId="0"/>
    <xf numFmtId="0" fontId="43" fillId="25" borderId="0" applyNumberFormat="0" applyBorder="0" applyAlignment="0" applyProtection="0">
      <alignment vertical="center"/>
    </xf>
    <xf numFmtId="179" fontId="42" fillId="0" borderId="0" applyFont="0" applyFill="0" applyBorder="0" applyAlignment="0" applyProtection="0">
      <alignment vertical="center"/>
    </xf>
    <xf numFmtId="181" fontId="42" fillId="0" borderId="0" applyFont="0" applyFill="0" applyBorder="0" applyAlignment="0" applyProtection="0">
      <alignment vertical="center"/>
    </xf>
    <xf numFmtId="42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4" fillId="20" borderId="38" applyNumberFormat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2" fillId="24" borderId="42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43" fillId="33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54" fillId="0" borderId="9" applyNumberFormat="0" applyFill="0" applyAlignment="0" applyProtection="0">
      <alignment vertical="center"/>
    </xf>
    <xf numFmtId="0" fontId="48" fillId="0" borderId="41" applyNumberFormat="0" applyFill="0" applyAlignment="0" applyProtection="0"/>
    <xf numFmtId="0" fontId="64" fillId="0" borderId="45" applyFill="0" applyProtection="0">
      <alignment horizontal="centerContinuous" vertical="top"/>
    </xf>
    <xf numFmtId="0" fontId="61" fillId="0" borderId="0" applyNumberFormat="0" applyFill="0" applyBorder="0" applyAlignment="0" applyProtection="0">
      <alignment vertical="center"/>
    </xf>
    <xf numFmtId="0" fontId="47" fillId="21" borderId="40" applyNumberFormat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8" fillId="30" borderId="44" applyNumberFormat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57" fillId="30" borderId="40" applyNumberFormat="0" applyAlignment="0" applyProtection="0">
      <alignment vertical="center"/>
    </xf>
    <xf numFmtId="0" fontId="52" fillId="0" borderId="43" applyNumberFormat="0" applyFill="0" applyAlignment="0" applyProtection="0">
      <alignment vertical="center"/>
    </xf>
    <xf numFmtId="0" fontId="1" fillId="4" borderId="11" applyNumberFormat="0" applyFont="0" applyAlignment="0" applyProtection="0"/>
    <xf numFmtId="0" fontId="46" fillId="0" borderId="39" applyNumberFormat="0" applyFill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66" fillId="0" borderId="0"/>
    <xf numFmtId="0" fontId="53" fillId="26" borderId="0" applyNumberFormat="0" applyBorder="0" applyAlignment="0" applyProtection="0">
      <alignment vertical="center"/>
    </xf>
    <xf numFmtId="0" fontId="8" fillId="0" borderId="46" applyFill="0" applyProtection="0">
      <alignment horizontal="center"/>
    </xf>
    <xf numFmtId="0" fontId="68" fillId="0" borderId="0">
      <alignment vertical="center"/>
    </xf>
    <xf numFmtId="0" fontId="43" fillId="42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69" fillId="0" borderId="0">
      <alignment vertical="center"/>
    </xf>
    <xf numFmtId="0" fontId="53" fillId="45" borderId="0" applyNumberFormat="0" applyBorder="0" applyAlignment="0" applyProtection="0">
      <alignment vertical="center"/>
    </xf>
    <xf numFmtId="0" fontId="43" fillId="48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ont="0" applyFill="0" applyBorder="0" applyProtection="0">
      <alignment horizontal="right" indent="1"/>
    </xf>
    <xf numFmtId="0" fontId="43" fillId="51" borderId="0" applyNumberFormat="0" applyBorder="0" applyAlignment="0" applyProtection="0">
      <alignment vertical="center"/>
    </xf>
    <xf numFmtId="0" fontId="53" fillId="28" borderId="0" applyNumberFormat="0" applyBorder="0" applyAlignment="0" applyProtection="0">
      <alignment vertical="center"/>
    </xf>
    <xf numFmtId="0" fontId="43" fillId="44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1" fillId="39" borderId="0" applyNumberFormat="0" applyFont="0" applyBorder="0" applyAlignment="0" applyProtection="0"/>
    <xf numFmtId="0" fontId="43" fillId="41" borderId="0" applyNumberFormat="0" applyBorder="0" applyAlignment="0" applyProtection="0">
      <alignment vertical="center"/>
    </xf>
    <xf numFmtId="0" fontId="43" fillId="47" borderId="0" applyNumberFormat="0" applyBorder="0" applyAlignment="0" applyProtection="0">
      <alignment vertical="center"/>
    </xf>
    <xf numFmtId="0" fontId="53" fillId="50" borderId="0" applyNumberFormat="0" applyBorder="0" applyAlignment="0" applyProtection="0">
      <alignment vertical="center"/>
    </xf>
    <xf numFmtId="0" fontId="8" fillId="0" borderId="9" applyNumberFormat="0" applyFill="0" applyProtection="0">
      <alignment horizontal="center"/>
    </xf>
    <xf numFmtId="0" fontId="43" fillId="23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6" borderId="0" applyNumberFormat="0" applyBorder="0" applyAlignment="0" applyProtection="0">
      <alignment vertical="center"/>
    </xf>
    <xf numFmtId="0" fontId="43" fillId="43" borderId="0" applyNumberFormat="0" applyBorder="0" applyAlignment="0" applyProtection="0">
      <alignment vertical="center"/>
    </xf>
    <xf numFmtId="0" fontId="53" fillId="49" borderId="0" applyNumberFormat="0" applyBorder="0" applyAlignment="0" applyProtection="0">
      <alignment vertical="center"/>
    </xf>
    <xf numFmtId="0" fontId="60" fillId="0" borderId="0" applyNumberFormat="0" applyFill="0" applyBorder="0" applyProtection="0">
      <alignment vertical="top"/>
    </xf>
    <xf numFmtId="0" fontId="2" fillId="0" borderId="0" applyNumberFormat="0" applyFill="0" applyAlignment="0" applyProtection="0"/>
    <xf numFmtId="0" fontId="65" fillId="0" borderId="0" applyFill="0" applyBorder="0" applyProtection="0">
      <alignment horizontal="centerContinuous"/>
    </xf>
    <xf numFmtId="0" fontId="70" fillId="0" borderId="0" applyFill="0" applyBorder="0" applyProtection="0">
      <alignment horizontal="centerContinuous"/>
    </xf>
    <xf numFmtId="0" fontId="1" fillId="36" borderId="0" applyNumberFormat="0" applyFont="0" applyBorder="0" applyAlignment="0" applyProtection="0"/>
    <xf numFmtId="0" fontId="7" fillId="0" borderId="0" applyNumberFormat="0" applyFill="0" applyBorder="0" applyAlignment="0" applyProtection="0"/>
    <xf numFmtId="3" fontId="9" fillId="3" borderId="0" applyBorder="0" applyProtection="0">
      <alignment horizontal="center" vertical="center"/>
    </xf>
    <xf numFmtId="0" fontId="10" fillId="0" borderId="10" applyNumberFormat="0" applyFill="0" applyProtection="0">
      <alignment horizontal="centerContinuous" vertical="top"/>
    </xf>
    <xf numFmtId="0" fontId="1" fillId="0" borderId="47" applyNumberFormat="0" applyFont="0" applyFill="0" applyAlignment="0" applyProtection="0"/>
    <xf numFmtId="0" fontId="66" fillId="0" borderId="0"/>
  </cellStyleXfs>
  <cellXfs count="183">
    <xf numFmtId="0" fontId="0" fillId="0" borderId="0" xfId="0"/>
    <xf numFmtId="0" fontId="1" fillId="0" borderId="0" xfId="44"/>
    <xf numFmtId="0" fontId="1" fillId="0" borderId="0" xfId="44" applyNumberFormat="1"/>
    <xf numFmtId="0" fontId="1" fillId="0" borderId="0" xfId="44" applyNumberFormat="1" applyAlignment="1">
      <alignment horizontal="center"/>
    </xf>
    <xf numFmtId="0" fontId="1" fillId="0" borderId="0" xfId="44" applyAlignment="1">
      <alignment horizontal="left"/>
    </xf>
    <xf numFmtId="0" fontId="1" fillId="0" borderId="1" xfId="44" applyBorder="1"/>
    <xf numFmtId="0" fontId="2" fillId="0" borderId="2" xfId="61" applyNumberFormat="1" applyBorder="1" applyAlignment="1"/>
    <xf numFmtId="0" fontId="3" fillId="0" borderId="2" xfId="61" applyNumberFormat="1" applyFont="1" applyBorder="1" applyAlignment="1"/>
    <xf numFmtId="0" fontId="1" fillId="0" borderId="2" xfId="44" applyBorder="1"/>
    <xf numFmtId="0" fontId="1" fillId="0" borderId="3" xfId="44" applyBorder="1"/>
    <xf numFmtId="49" fontId="4" fillId="0" borderId="4" xfId="44" applyNumberFormat="1" applyFont="1" applyBorder="1" applyProtection="1">
      <protection locked="0"/>
    </xf>
    <xf numFmtId="0" fontId="4" fillId="0" borderId="0" xfId="44" applyFont="1" applyBorder="1"/>
    <xf numFmtId="0" fontId="4" fillId="0" borderId="4" xfId="44" applyFont="1" applyBorder="1" applyProtection="1">
      <protection locked="0"/>
    </xf>
    <xf numFmtId="0" fontId="5" fillId="0" borderId="0" xfId="44" applyFont="1" applyBorder="1"/>
    <xf numFmtId="0" fontId="1" fillId="0" borderId="0" xfId="44" applyBorder="1"/>
    <xf numFmtId="176" fontId="6" fillId="2" borderId="1" xfId="63" applyNumberFormat="1" applyFont="1" applyFill="1" applyBorder="1" applyAlignment="1">
      <alignment horizontal="center" vertical="center"/>
    </xf>
    <xf numFmtId="176" fontId="6" fillId="2" borderId="2" xfId="63" applyNumberFormat="1" applyFont="1" applyFill="1" applyBorder="1" applyAlignment="1">
      <alignment horizontal="center" vertical="center"/>
    </xf>
    <xf numFmtId="176" fontId="6" fillId="2" borderId="5" xfId="63" applyNumberFormat="1" applyFont="1" applyFill="1" applyBorder="1" applyAlignment="1">
      <alignment horizontal="center" vertical="center"/>
    </xf>
    <xf numFmtId="0" fontId="7" fillId="0" borderId="0" xfId="65" applyBorder="1" applyAlignment="1">
      <alignment horizontal="center" vertical="center"/>
    </xf>
    <xf numFmtId="176" fontId="6" fillId="2" borderId="6" xfId="63" applyNumberFormat="1" applyFont="1" applyFill="1" applyBorder="1" applyAlignment="1">
      <alignment horizontal="center" vertical="center"/>
    </xf>
    <xf numFmtId="176" fontId="6" fillId="2" borderId="7" xfId="63" applyNumberFormat="1" applyFont="1" applyFill="1" applyBorder="1" applyAlignment="1">
      <alignment horizontal="center" vertical="center"/>
    </xf>
    <xf numFmtId="176" fontId="6" fillId="2" borderId="8" xfId="63" applyNumberFormat="1" applyFont="1" applyFill="1" applyBorder="1" applyAlignment="1">
      <alignment horizontal="center" vertical="center"/>
    </xf>
    <xf numFmtId="0" fontId="8" fillId="0" borderId="9" xfId="54" applyBorder="1" applyAlignment="1">
      <alignment horizontal="center"/>
    </xf>
    <xf numFmtId="0" fontId="8" fillId="0" borderId="9" xfId="54" applyBorder="1">
      <alignment horizontal="center"/>
    </xf>
    <xf numFmtId="176" fontId="1" fillId="0" borderId="0" xfId="44" applyNumberFormat="1" applyBorder="1" applyAlignment="1">
      <alignment horizontal="center"/>
    </xf>
    <xf numFmtId="3" fontId="9" fillId="3" borderId="0" xfId="66" applyBorder="1">
      <alignment horizontal="center" vertical="center"/>
    </xf>
    <xf numFmtId="3" fontId="9" fillId="3" borderId="0" xfId="66" applyBorder="1" applyProtection="1">
      <alignment horizontal="center" vertical="center"/>
      <protection locked="0"/>
    </xf>
    <xf numFmtId="0" fontId="1" fillId="0" borderId="0" xfId="44" applyBorder="1" applyAlignment="1">
      <alignment horizontal="center"/>
    </xf>
    <xf numFmtId="0" fontId="10" fillId="0" borderId="10" xfId="67" applyBorder="1" applyAlignment="1">
      <alignment horizontal="center" vertical="top"/>
    </xf>
    <xf numFmtId="0" fontId="11" fillId="4" borderId="11" xfId="29" applyFont="1" applyBorder="1" applyAlignment="1">
      <alignment horizontal="left" indent="1"/>
    </xf>
    <xf numFmtId="0" fontId="0" fillId="4" borderId="11" xfId="29" applyFont="1" applyBorder="1"/>
    <xf numFmtId="180" fontId="12" fillId="4" borderId="11" xfId="45" applyNumberFormat="1" applyFont="1" applyFill="1" applyBorder="1">
      <alignment horizontal="right" indent="1"/>
    </xf>
    <xf numFmtId="182" fontId="12" fillId="4" borderId="11" xfId="45" applyNumberFormat="1" applyFont="1" applyFill="1" applyBorder="1">
      <alignment horizontal="right" indent="1"/>
    </xf>
    <xf numFmtId="3" fontId="12" fillId="4" borderId="11" xfId="45" applyNumberFormat="1" applyFont="1" applyFill="1" applyBorder="1">
      <alignment horizontal="right" indent="1"/>
    </xf>
    <xf numFmtId="0" fontId="1" fillId="0" borderId="12" xfId="44" applyBorder="1"/>
    <xf numFmtId="0" fontId="13" fillId="0" borderId="13" xfId="64" applyFont="1" applyFill="1" applyBorder="1" applyAlignment="1">
      <alignment horizontal="left" indent="1"/>
    </xf>
    <xf numFmtId="0" fontId="0" fillId="0" borderId="13" xfId="64" applyFont="1" applyFill="1" applyBorder="1"/>
    <xf numFmtId="3" fontId="14" fillId="0" borderId="13" xfId="45" applyNumberFormat="1" applyFont="1" applyFill="1" applyBorder="1">
      <alignment horizontal="right" indent="1"/>
    </xf>
    <xf numFmtId="0" fontId="1" fillId="0" borderId="13" xfId="44" applyBorder="1"/>
    <xf numFmtId="0" fontId="15" fillId="0" borderId="0" xfId="65" applyNumberFormat="1" applyFont="1" applyBorder="1" applyAlignment="1">
      <alignment horizontal="left"/>
    </xf>
    <xf numFmtId="0" fontId="15" fillId="0" borderId="0" xfId="65" applyNumberFormat="1" applyFont="1" applyBorder="1" applyAlignment="1">
      <alignment horizontal="center"/>
    </xf>
    <xf numFmtId="0" fontId="16" fillId="0" borderId="0" xfId="44" applyFont="1" applyBorder="1"/>
    <xf numFmtId="183" fontId="17" fillId="5" borderId="14" xfId="68" applyNumberFormat="1" applyFont="1" applyFill="1" applyBorder="1" applyAlignment="1">
      <alignment horizontal="right"/>
    </xf>
    <xf numFmtId="183" fontId="17" fillId="0" borderId="0" xfId="68" applyNumberFormat="1" applyFont="1" applyBorder="1" applyAlignment="1">
      <alignment horizontal="left"/>
    </xf>
    <xf numFmtId="0" fontId="18" fillId="0" borderId="14" xfId="0" applyFont="1" applyBorder="1" applyAlignment="1">
      <alignment horizontal="center" vertical="center"/>
    </xf>
    <xf numFmtId="0" fontId="1" fillId="0" borderId="0" xfId="44" applyFont="1" applyBorder="1"/>
    <xf numFmtId="0" fontId="19" fillId="0" borderId="14" xfId="68" applyNumberFormat="1" applyFont="1" applyBorder="1" applyAlignment="1" applyProtection="1">
      <alignment horizontal="center"/>
      <protection locked="0"/>
    </xf>
    <xf numFmtId="0" fontId="20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19" fillId="0" borderId="15" xfId="68" applyNumberFormat="1" applyFont="1" applyBorder="1" applyAlignment="1" applyProtection="1">
      <alignment horizontal="center"/>
      <protection locked="0"/>
    </xf>
    <xf numFmtId="0" fontId="1" fillId="0" borderId="6" xfId="44" applyBorder="1"/>
    <xf numFmtId="0" fontId="1" fillId="0" borderId="7" xfId="44" applyBorder="1"/>
    <xf numFmtId="0" fontId="1" fillId="0" borderId="2" xfId="44" applyNumberFormat="1" applyBorder="1"/>
    <xf numFmtId="0" fontId="1" fillId="0" borderId="2" xfId="44" applyNumberFormat="1" applyBorder="1" applyAlignment="1">
      <alignment horizontal="center"/>
    </xf>
    <xf numFmtId="0" fontId="1" fillId="0" borderId="2" xfId="44" applyBorder="1" applyAlignment="1">
      <alignment vertical="top"/>
    </xf>
    <xf numFmtId="0" fontId="1" fillId="0" borderId="5" xfId="44" applyBorder="1"/>
    <xf numFmtId="0" fontId="1" fillId="0" borderId="0" xfId="44" applyNumberFormat="1" applyBorder="1"/>
    <xf numFmtId="0" fontId="21" fillId="0" borderId="0" xfId="60" applyFont="1" applyBorder="1">
      <alignment vertical="top"/>
    </xf>
    <xf numFmtId="0" fontId="1" fillId="0" borderId="0" xfId="44" applyNumberFormat="1" applyBorder="1" applyAlignment="1">
      <alignment horizontal="center"/>
    </xf>
    <xf numFmtId="0" fontId="1" fillId="0" borderId="0" xfId="44" applyNumberFormat="1" applyFont="1" applyBorder="1" applyAlignment="1">
      <alignment horizontal="center"/>
    </xf>
    <xf numFmtId="58" fontId="5" fillId="0" borderId="4" xfId="44" applyNumberFormat="1" applyFont="1" applyBorder="1" applyAlignment="1" applyProtection="1">
      <alignment horizontal="center"/>
      <protection locked="0"/>
    </xf>
    <xf numFmtId="0" fontId="1" fillId="0" borderId="16" xfId="44" applyBorder="1"/>
    <xf numFmtId="0" fontId="22" fillId="2" borderId="17" xfId="44" applyFont="1" applyFill="1" applyBorder="1"/>
    <xf numFmtId="0" fontId="5" fillId="6" borderId="2" xfId="44" applyFont="1" applyFill="1" applyBorder="1" applyProtection="1">
      <protection locked="0"/>
    </xf>
    <xf numFmtId="0" fontId="23" fillId="6" borderId="2" xfId="44" applyFont="1" applyFill="1" applyBorder="1" applyProtection="1">
      <protection locked="0"/>
    </xf>
    <xf numFmtId="0" fontId="23" fillId="6" borderId="5" xfId="44" applyFont="1" applyFill="1" applyBorder="1" applyProtection="1">
      <protection locked="0"/>
    </xf>
    <xf numFmtId="0" fontId="24" fillId="6" borderId="18" xfId="44" applyFont="1" applyFill="1" applyBorder="1" applyProtection="1">
      <protection locked="0"/>
    </xf>
    <xf numFmtId="0" fontId="11" fillId="6" borderId="0" xfId="44" applyFont="1" applyFill="1" applyBorder="1" applyProtection="1">
      <protection locked="0"/>
    </xf>
    <xf numFmtId="0" fontId="11" fillId="6" borderId="19" xfId="44" applyFont="1" applyFill="1" applyBorder="1" applyProtection="1">
      <protection locked="0"/>
    </xf>
    <xf numFmtId="0" fontId="11" fillId="6" borderId="18" xfId="44" applyFont="1" applyFill="1" applyBorder="1" applyProtection="1">
      <protection locked="0"/>
    </xf>
    <xf numFmtId="0" fontId="24" fillId="6" borderId="20" xfId="44" applyFont="1" applyFill="1" applyBorder="1" applyProtection="1">
      <protection locked="0"/>
    </xf>
    <xf numFmtId="0" fontId="11" fillId="6" borderId="7" xfId="44" applyFont="1" applyFill="1" applyBorder="1" applyProtection="1">
      <protection locked="0"/>
    </xf>
    <xf numFmtId="0" fontId="11" fillId="6" borderId="21" xfId="44" applyFont="1" applyFill="1" applyBorder="1" applyProtection="1">
      <protection locked="0"/>
    </xf>
    <xf numFmtId="0" fontId="24" fillId="0" borderId="18" xfId="44" applyFont="1" applyBorder="1" applyProtection="1">
      <protection locked="0"/>
    </xf>
    <xf numFmtId="0" fontId="1" fillId="0" borderId="0" xfId="44" applyBorder="1" applyProtection="1">
      <protection locked="0"/>
    </xf>
    <xf numFmtId="0" fontId="1" fillId="0" borderId="19" xfId="44" applyBorder="1" applyProtection="1">
      <protection locked="0"/>
    </xf>
    <xf numFmtId="0" fontId="5" fillId="0" borderId="22" xfId="44" applyFont="1" applyBorder="1" applyAlignment="1" applyProtection="1">
      <alignment horizontal="center" vertical="center"/>
      <protection locked="0"/>
    </xf>
    <xf numFmtId="0" fontId="5" fillId="0" borderId="23" xfId="44" applyFont="1" applyBorder="1" applyAlignment="1" applyProtection="1">
      <alignment horizontal="center" vertical="center"/>
      <protection locked="0"/>
    </xf>
    <xf numFmtId="58" fontId="5" fillId="0" borderId="23" xfId="44" applyNumberFormat="1" applyFont="1" applyBorder="1" applyAlignment="1" applyProtection="1">
      <alignment horizontal="center" vertical="center"/>
      <protection locked="0"/>
    </xf>
    <xf numFmtId="0" fontId="5" fillId="0" borderId="24" xfId="44" applyFont="1" applyBorder="1" applyAlignment="1" applyProtection="1">
      <alignment horizontal="center" vertical="center"/>
      <protection locked="0"/>
    </xf>
    <xf numFmtId="0" fontId="25" fillId="0" borderId="0" xfId="44" applyFont="1" applyBorder="1" applyAlignment="1">
      <alignment horizontal="center" vertical="top"/>
    </xf>
    <xf numFmtId="0" fontId="25" fillId="0" borderId="0" xfId="44" applyNumberFormat="1" applyFont="1" applyBorder="1" applyAlignment="1">
      <alignment horizontal="center" vertical="top"/>
    </xf>
    <xf numFmtId="0" fontId="1" fillId="0" borderId="25" xfId="44" applyBorder="1"/>
    <xf numFmtId="0" fontId="1" fillId="7" borderId="0" xfId="44" applyFill="1" applyBorder="1"/>
    <xf numFmtId="0" fontId="15" fillId="7" borderId="0" xfId="44" applyFont="1" applyFill="1" applyBorder="1" applyAlignment="1">
      <alignment horizontal="left"/>
    </xf>
    <xf numFmtId="0" fontId="15" fillId="7" borderId="0" xfId="44" applyFont="1" applyFill="1" applyBorder="1" applyAlignment="1">
      <alignment horizontal="center"/>
    </xf>
    <xf numFmtId="0" fontId="15" fillId="7" borderId="0" xfId="44" applyFont="1" applyFill="1" applyBorder="1"/>
    <xf numFmtId="0" fontId="1" fillId="7" borderId="0" xfId="44" applyFill="1" applyBorder="1" applyAlignment="1">
      <alignment horizontal="center"/>
    </xf>
    <xf numFmtId="0" fontId="1" fillId="7" borderId="16" xfId="44" applyFill="1" applyBorder="1"/>
    <xf numFmtId="183" fontId="26" fillId="8" borderId="26" xfId="0" applyNumberFormat="1" applyFont="1" applyFill="1" applyBorder="1" applyAlignment="1">
      <alignment horizontal="right" vertical="center"/>
    </xf>
    <xf numFmtId="183" fontId="17" fillId="7" borderId="0" xfId="68" applyNumberFormat="1" applyFont="1" applyFill="1" applyBorder="1" applyAlignment="1">
      <alignment horizontal="right"/>
    </xf>
    <xf numFmtId="0" fontId="20" fillId="8" borderId="26" xfId="0" applyFont="1" applyFill="1" applyBorder="1" applyAlignment="1">
      <alignment vertical="center"/>
    </xf>
    <xf numFmtId="0" fontId="1" fillId="7" borderId="27" xfId="44" applyFill="1" applyBorder="1" applyAlignment="1" applyProtection="1">
      <alignment horizontal="center"/>
      <protection locked="0"/>
    </xf>
    <xf numFmtId="0" fontId="20" fillId="8" borderId="0" xfId="0" applyFont="1" applyFill="1" applyAlignment="1">
      <alignment vertical="center"/>
    </xf>
    <xf numFmtId="183" fontId="26" fillId="8" borderId="28" xfId="0" applyNumberFormat="1" applyFont="1" applyFill="1" applyBorder="1" applyAlignment="1">
      <alignment horizontal="right" vertical="center"/>
    </xf>
    <xf numFmtId="0" fontId="20" fillId="8" borderId="28" xfId="0" applyFont="1" applyFill="1" applyBorder="1" applyAlignment="1">
      <alignment vertical="center"/>
    </xf>
    <xf numFmtId="0" fontId="1" fillId="7" borderId="29" xfId="44" applyFill="1" applyBorder="1" applyAlignment="1" applyProtection="1">
      <alignment horizontal="center"/>
      <protection locked="0"/>
    </xf>
    <xf numFmtId="183" fontId="27" fillId="8" borderId="28" xfId="0" applyNumberFormat="1" applyFont="1" applyFill="1" applyBorder="1" applyAlignment="1">
      <alignment horizontal="right" vertical="center"/>
    </xf>
    <xf numFmtId="0" fontId="1" fillId="7" borderId="7" xfId="44" applyFill="1" applyBorder="1"/>
    <xf numFmtId="0" fontId="1" fillId="7" borderId="7" xfId="44" applyNumberFormat="1" applyFill="1" applyBorder="1"/>
    <xf numFmtId="0" fontId="1" fillId="7" borderId="7" xfId="44" applyNumberFormat="1" applyFill="1" applyBorder="1" applyAlignment="1">
      <alignment horizontal="center"/>
    </xf>
    <xf numFmtId="0" fontId="1" fillId="7" borderId="8" xfId="44" applyFill="1" applyBorder="1"/>
    <xf numFmtId="0" fontId="1" fillId="0" borderId="0" xfId="44" applyAlignment="1" applyProtection="1">
      <alignment horizontal="left"/>
      <protection locked="0"/>
    </xf>
    <xf numFmtId="0" fontId="22" fillId="9" borderId="0" xfId="19" applyFont="1" applyFill="1" applyBorder="1" applyAlignment="1" applyProtection="1">
      <alignment horizontal="left"/>
    </xf>
    <xf numFmtId="0" fontId="28" fillId="9" borderId="0" xfId="19" applyFont="1" applyFill="1" applyBorder="1" applyAlignment="1" applyProtection="1">
      <alignment horizontal="left"/>
    </xf>
    <xf numFmtId="0" fontId="11" fillId="10" borderId="0" xfId="29" applyFont="1" applyFill="1" applyBorder="1" applyAlignment="1" applyProtection="1">
      <alignment horizontal="left"/>
    </xf>
    <xf numFmtId="0" fontId="29" fillId="0" borderId="30" xfId="29" applyFont="1" applyFill="1" applyBorder="1" applyAlignment="1" applyProtection="1">
      <alignment horizontal="left"/>
      <protection locked="0"/>
    </xf>
    <xf numFmtId="58" fontId="23" fillId="0" borderId="0" xfId="44" applyNumberFormat="1" applyFont="1"/>
    <xf numFmtId="0" fontId="23" fillId="0" borderId="0" xfId="44" applyFont="1"/>
    <xf numFmtId="0" fontId="30" fillId="10" borderId="0" xfId="29" applyFont="1" applyFill="1" applyBorder="1" applyAlignment="1" applyProtection="1">
      <alignment horizontal="left"/>
    </xf>
    <xf numFmtId="0" fontId="24" fillId="11" borderId="30" xfId="29" applyFont="1" applyFill="1" applyBorder="1" applyAlignment="1" applyProtection="1">
      <alignment horizontal="left"/>
      <protection locked="0"/>
    </xf>
    <xf numFmtId="0" fontId="15" fillId="12" borderId="1" xfId="44" applyFont="1" applyFill="1" applyBorder="1" applyAlignment="1" applyProtection="1">
      <alignment horizontal="left"/>
      <protection locked="0"/>
    </xf>
    <xf numFmtId="0" fontId="1" fillId="12" borderId="2" xfId="44" applyFill="1" applyBorder="1" applyAlignment="1" applyProtection="1">
      <alignment horizontal="left"/>
      <protection locked="0"/>
    </xf>
    <xf numFmtId="0" fontId="1" fillId="12" borderId="5" xfId="44" applyFill="1" applyBorder="1" applyAlignment="1" applyProtection="1">
      <alignment horizontal="left"/>
      <protection locked="0"/>
    </xf>
    <xf numFmtId="0" fontId="1" fillId="12" borderId="3" xfId="44" applyFill="1" applyBorder="1" applyAlignment="1" applyProtection="1">
      <alignment horizontal="left"/>
      <protection locked="0"/>
    </xf>
    <xf numFmtId="0" fontId="1" fillId="12" borderId="0" xfId="44" applyFill="1" applyBorder="1" applyAlignment="1" applyProtection="1">
      <alignment horizontal="left"/>
      <protection locked="0"/>
    </xf>
    <xf numFmtId="0" fontId="1" fillId="12" borderId="16" xfId="44" applyFill="1" applyBorder="1" applyAlignment="1" applyProtection="1">
      <alignment horizontal="left"/>
      <protection locked="0"/>
    </xf>
    <xf numFmtId="58" fontId="1" fillId="0" borderId="0" xfId="44" applyNumberFormat="1"/>
    <xf numFmtId="0" fontId="31" fillId="0" borderId="0" xfId="44" applyFont="1" applyAlignment="1" applyProtection="1">
      <alignment horizontal="left"/>
      <protection locked="0"/>
    </xf>
    <xf numFmtId="0" fontId="31" fillId="12" borderId="3" xfId="44" applyFont="1" applyFill="1" applyBorder="1" applyAlignment="1" applyProtection="1">
      <alignment horizontal="left"/>
      <protection locked="0"/>
    </xf>
    <xf numFmtId="0" fontId="31" fillId="12" borderId="0" xfId="44" applyFont="1" applyFill="1" applyBorder="1" applyAlignment="1" applyProtection="1">
      <alignment horizontal="left"/>
      <protection locked="0"/>
    </xf>
    <xf numFmtId="0" fontId="1" fillId="12" borderId="6" xfId="44" applyFill="1" applyBorder="1" applyAlignment="1" applyProtection="1">
      <alignment horizontal="left"/>
      <protection locked="0"/>
    </xf>
    <xf numFmtId="0" fontId="1" fillId="12" borderId="7" xfId="44" applyFill="1" applyBorder="1" applyAlignment="1" applyProtection="1">
      <alignment horizontal="left"/>
      <protection locked="0"/>
    </xf>
    <xf numFmtId="0" fontId="1" fillId="12" borderId="8" xfId="44" applyFill="1" applyBorder="1" applyAlignment="1" applyProtection="1">
      <alignment horizontal="left"/>
      <protection locked="0"/>
    </xf>
    <xf numFmtId="0" fontId="1" fillId="0" borderId="2" xfId="44" applyFill="1" applyBorder="1" applyAlignment="1" applyProtection="1">
      <alignment horizontal="left"/>
      <protection locked="0"/>
    </xf>
    <xf numFmtId="0" fontId="1" fillId="0" borderId="0" xfId="44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32" fillId="0" borderId="0" xfId="0" applyFont="1" applyAlignment="1">
      <alignment horizontal="center"/>
    </xf>
    <xf numFmtId="0" fontId="32" fillId="0" borderId="31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3" fillId="0" borderId="0" xfId="0" applyFont="1"/>
    <xf numFmtId="0" fontId="33" fillId="9" borderId="0" xfId="0" applyFont="1" applyFill="1"/>
    <xf numFmtId="0" fontId="33" fillId="0" borderId="31" xfId="0" applyFont="1" applyBorder="1"/>
    <xf numFmtId="0" fontId="33" fillId="9" borderId="0" xfId="0" applyFont="1" applyFill="1" applyBorder="1"/>
    <xf numFmtId="0" fontId="33" fillId="0" borderId="0" xfId="0" applyFont="1" applyBorder="1"/>
    <xf numFmtId="0" fontId="0" fillId="0" borderId="0" xfId="0" applyBorder="1" applyProtection="1">
      <protection locked="0"/>
    </xf>
    <xf numFmtId="0" fontId="34" fillId="0" borderId="0" xfId="0" applyFont="1"/>
    <xf numFmtId="0" fontId="0" fillId="0" borderId="0" xfId="0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Border="1" applyAlignment="1">
      <alignment horizontal="center"/>
    </xf>
    <xf numFmtId="0" fontId="29" fillId="0" borderId="0" xfId="0" applyFont="1" applyAlignment="1">
      <alignment horizontal="center"/>
    </xf>
    <xf numFmtId="0" fontId="35" fillId="13" borderId="0" xfId="0" applyFont="1" applyFill="1" applyAlignment="1">
      <alignment horizontal="center"/>
    </xf>
    <xf numFmtId="0" fontId="35" fillId="13" borderId="32" xfId="0" applyFont="1" applyFill="1" applyBorder="1" applyAlignment="1">
      <alignment horizontal="center"/>
    </xf>
    <xf numFmtId="0" fontId="36" fillId="0" borderId="33" xfId="0" applyFont="1" applyBorder="1" applyAlignment="1" applyProtection="1">
      <alignment horizontal="center" vertical="center"/>
      <protection locked="0"/>
    </xf>
    <xf numFmtId="0" fontId="36" fillId="0" borderId="30" xfId="0" applyFont="1" applyBorder="1" applyAlignment="1" applyProtection="1">
      <alignment horizontal="center" vertical="center"/>
      <protection locked="0"/>
    </xf>
    <xf numFmtId="178" fontId="22" fillId="14" borderId="0" xfId="0" applyNumberFormat="1" applyFont="1" applyFill="1" applyBorder="1" applyAlignment="1">
      <alignment horizontal="center" vertical="center" textRotation="90"/>
    </xf>
    <xf numFmtId="177" fontId="22" fillId="14" borderId="31" xfId="0" applyNumberFormat="1" applyFont="1" applyFill="1" applyBorder="1" applyAlignment="1">
      <alignment horizontal="right" vertical="center" textRotation="90"/>
    </xf>
    <xf numFmtId="177" fontId="22" fillId="14" borderId="0" xfId="0" applyNumberFormat="1" applyFont="1" applyFill="1" applyBorder="1" applyAlignment="1">
      <alignment horizontal="right" vertical="center" textRotation="90"/>
    </xf>
    <xf numFmtId="184" fontId="23" fillId="9" borderId="33" xfId="0" applyNumberFormat="1" applyFont="1" applyFill="1" applyBorder="1" applyAlignment="1">
      <alignment horizontal="center"/>
    </xf>
    <xf numFmtId="184" fontId="23" fillId="9" borderId="30" xfId="0" applyNumberFormat="1" applyFont="1" applyFill="1" applyBorder="1" applyAlignment="1">
      <alignment horizontal="center"/>
    </xf>
    <xf numFmtId="0" fontId="32" fillId="0" borderId="31" xfId="0" applyNumberFormat="1" applyFont="1" applyBorder="1" applyAlignment="1">
      <alignment horizontal="center"/>
    </xf>
    <xf numFmtId="0" fontId="32" fillId="0" borderId="0" xfId="0" applyFont="1" applyBorder="1" applyAlignment="1" applyProtection="1">
      <alignment horizontal="center"/>
      <protection locked="0"/>
    </xf>
    <xf numFmtId="0" fontId="33" fillId="0" borderId="0" xfId="0" applyFont="1" applyBorder="1" applyProtection="1">
      <protection locked="0"/>
    </xf>
    <xf numFmtId="0" fontId="33" fillId="0" borderId="0" xfId="0" applyFont="1" applyProtection="1">
      <protection locked="0"/>
    </xf>
    <xf numFmtId="0" fontId="34" fillId="9" borderId="0" xfId="0" applyFont="1" applyFill="1"/>
    <xf numFmtId="0" fontId="29" fillId="9" borderId="0" xfId="0" applyFont="1" applyFill="1" applyAlignment="1">
      <alignment horizontal="center"/>
    </xf>
    <xf numFmtId="0" fontId="29" fillId="0" borderId="30" xfId="0" applyFont="1" applyBorder="1" applyAlignment="1" applyProtection="1">
      <alignment horizontal="center" vertical="center"/>
      <protection locked="0"/>
    </xf>
    <xf numFmtId="0" fontId="29" fillId="9" borderId="30" xfId="0" applyFont="1" applyFill="1" applyBorder="1" applyAlignment="1" applyProtection="1">
      <alignment horizontal="center" vertical="center"/>
      <protection locked="0"/>
    </xf>
    <xf numFmtId="0" fontId="33" fillId="9" borderId="0" xfId="0" applyFont="1" applyFill="1" applyBorder="1" applyProtection="1">
      <protection locked="0"/>
    </xf>
    <xf numFmtId="0" fontId="33" fillId="9" borderId="0" xfId="0" applyFont="1" applyFill="1" applyProtection="1">
      <protection locked="0"/>
    </xf>
    <xf numFmtId="0" fontId="34" fillId="0" borderId="31" xfId="0" applyFont="1" applyBorder="1"/>
    <xf numFmtId="0" fontId="34" fillId="9" borderId="0" xfId="0" applyFont="1" applyFill="1" applyBorder="1"/>
    <xf numFmtId="0" fontId="29" fillId="0" borderId="31" xfId="0" applyFont="1" applyBorder="1" applyAlignment="1">
      <alignment horizontal="center"/>
    </xf>
    <xf numFmtId="0" fontId="29" fillId="9" borderId="0" xfId="0" applyFont="1" applyFill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34" xfId="0" applyFont="1" applyBorder="1" applyAlignment="1" applyProtection="1">
      <alignment horizontal="center" vertical="center"/>
      <protection locked="0"/>
    </xf>
    <xf numFmtId="0" fontId="29" fillId="9" borderId="0" xfId="0" applyFont="1" applyFill="1" applyBorder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center" vertical="center"/>
      <protection locked="0"/>
    </xf>
    <xf numFmtId="184" fontId="23" fillId="9" borderId="34" xfId="0" applyNumberFormat="1" applyFont="1" applyFill="1" applyBorder="1" applyAlignment="1">
      <alignment horizontal="center"/>
    </xf>
    <xf numFmtId="0" fontId="33" fillId="0" borderId="31" xfId="0" applyFont="1" applyBorder="1" applyProtection="1">
      <protection locked="0"/>
    </xf>
    <xf numFmtId="184" fontId="0" fillId="0" borderId="0" xfId="0" applyNumberFormat="1" applyBorder="1" applyProtection="1">
      <protection locked="0"/>
    </xf>
    <xf numFmtId="0" fontId="37" fillId="15" borderId="0" xfId="0" applyFont="1" applyFill="1" applyBorder="1" applyAlignment="1" applyProtection="1">
      <alignment horizontal="left"/>
      <protection locked="0"/>
    </xf>
    <xf numFmtId="0" fontId="35" fillId="15" borderId="0" xfId="0" applyFont="1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  <protection locked="0"/>
    </xf>
    <xf numFmtId="184" fontId="23" fillId="9" borderId="0" xfId="0" applyNumberFormat="1" applyFont="1" applyFill="1" applyBorder="1" applyAlignment="1">
      <alignment horizontal="center"/>
    </xf>
    <xf numFmtId="176" fontId="38" fillId="0" borderId="0" xfId="0" applyNumberFormat="1" applyFont="1" applyFill="1" applyBorder="1" applyAlignment="1" applyProtection="1">
      <alignment horizontal="left"/>
      <protection locked="0"/>
    </xf>
    <xf numFmtId="49" fontId="39" fillId="16" borderId="35" xfId="0" applyNumberFormat="1" applyFont="1" applyFill="1" applyBorder="1" applyProtection="1">
      <protection locked="0"/>
    </xf>
    <xf numFmtId="49" fontId="39" fillId="17" borderId="35" xfId="0" applyNumberFormat="1" applyFont="1" applyFill="1" applyBorder="1" applyProtection="1">
      <protection locked="0"/>
    </xf>
    <xf numFmtId="0" fontId="0" fillId="0" borderId="36" xfId="0" applyBorder="1" applyAlignment="1" applyProtection="1">
      <alignment vertical="top"/>
      <protection locked="0"/>
    </xf>
    <xf numFmtId="49" fontId="40" fillId="18" borderId="35" xfId="0" applyNumberFormat="1" applyFont="1" applyFill="1" applyBorder="1" applyProtection="1">
      <protection locked="0"/>
    </xf>
    <xf numFmtId="0" fontId="0" fillId="0" borderId="37" xfId="0" applyBorder="1" applyAlignment="1" applyProtection="1">
      <alignment vertical="top"/>
      <protection locked="0"/>
    </xf>
    <xf numFmtId="0" fontId="41" fillId="0" borderId="30" xfId="0" applyFont="1" applyFill="1" applyBorder="1" applyAlignment="1" applyProtection="1">
      <alignment horizontal="left"/>
      <protection locked="0"/>
    </xf>
    <xf numFmtId="0" fontId="41" fillId="0" borderId="30" xfId="0" applyNumberFormat="1" applyFont="1" applyFill="1" applyBorder="1" applyAlignment="1" applyProtection="1">
      <alignment horizontal="left" vertical="center"/>
      <protection locked="0"/>
    </xf>
    <xf numFmtId="0" fontId="3" fillId="0" borderId="2" xfId="61" applyNumberFormat="1" applyFont="1" applyBorder="1" applyAlignment="1" quotePrefix="1"/>
  </cellXfs>
  <cellStyles count="7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Top Entry Bottom Label Hers" xfId="20"/>
    <cellStyle name="Heading 4" xfId="21" builtinId="19"/>
    <cellStyle name="Input" xfId="22" builtinId="20"/>
    <cellStyle name="60% - Accent3" xfId="23" builtinId="40"/>
    <cellStyle name="Good" xfId="24" builtinId="26"/>
    <cellStyle name="Output" xfId="25" builtinId="21"/>
    <cellStyle name="20% - Accent1" xfId="26" builtinId="30"/>
    <cellStyle name="Calculation" xfId="27" builtinId="22"/>
    <cellStyle name="Linked Cell" xfId="28" builtinId="24"/>
    <cellStyle name="Stats Shade" xfId="29"/>
    <cellStyle name="Total" xfId="30" builtinId="25"/>
    <cellStyle name="Bad" xfId="31" builtinId="27"/>
    <cellStyle name="Neutral" xfId="32" builtinId="28"/>
    <cellStyle name="一般 3" xfId="33"/>
    <cellStyle name="Accent1" xfId="34" builtinId="29"/>
    <cellStyle name="Top Entry Headers Hers" xfId="35"/>
    <cellStyle name="Normal 2" xfId="36"/>
    <cellStyle name="20% - Accent5" xfId="37" builtinId="46"/>
    <cellStyle name="60% - Accent1" xfId="38" builtinId="32"/>
    <cellStyle name="一般 4" xfId="39"/>
    <cellStyle name="Accent2" xfId="40" builtinId="33"/>
    <cellStyle name="20% - Accent2" xfId="41" builtinId="34"/>
    <cellStyle name="60% - Accent2" xfId="42" builtinId="36"/>
    <cellStyle name="Title 2" xfId="43"/>
    <cellStyle name="Normal 3" xfId="44"/>
    <cellStyle name="Right Indent" xfId="45"/>
    <cellStyle name="20% - Accent6" xfId="46" builtinId="50"/>
    <cellStyle name="Accent3" xfId="47" builtinId="37"/>
    <cellStyle name="20% - Accent3" xfId="48" builtinId="38"/>
    <cellStyle name="Accent4" xfId="49" builtinId="41"/>
    <cellStyle name="Her Total Lost Shade" xfId="50"/>
    <cellStyle name="20% - Accent4" xfId="51" builtinId="42"/>
    <cellStyle name="40% - Accent4" xfId="52" builtinId="43"/>
    <cellStyle name="Accent5" xfId="53" builtinId="45"/>
    <cellStyle name="Top Entry Headers His" xfId="54"/>
    <cellStyle name="40% - Accent5" xfId="55" builtinId="47"/>
    <cellStyle name="60% - Accent5" xfId="56" builtinId="48"/>
    <cellStyle name="Accent6" xfId="57" builtinId="49"/>
    <cellStyle name="40% - Accent6" xfId="58" builtinId="51"/>
    <cellStyle name="60% - Accent6" xfId="59" builtinId="52"/>
    <cellStyle name="Heading 1 2" xfId="60"/>
    <cellStyle name="Heading 2 2" xfId="61"/>
    <cellStyle name="Her Name" xfId="62"/>
    <cellStyle name="His Name" xfId="63"/>
    <cellStyle name="His Total Lost Shade" xfId="64"/>
    <cellStyle name="Small Headers" xfId="65"/>
    <cellStyle name="Top Entry" xfId="66"/>
    <cellStyle name="Top Entry Bottom Label His" xfId="67"/>
    <cellStyle name="Underline" xfId="68"/>
    <cellStyle name="一般 2" xfId="69"/>
  </cellStyles>
  <dxfs count="4">
    <dxf>
      <font>
        <color theme="9" tint="-0.249946592608417"/>
      </font>
    </dxf>
    <dxf>
      <fill>
        <patternFill patternType="solid">
          <bgColor theme="0" tint="-0.499984740745262"/>
        </patternFill>
      </fill>
    </dxf>
    <dxf>
      <fill>
        <patternFill patternType="solid">
          <bgColor theme="0" tint="-0.249946592608417"/>
        </patternFill>
      </fill>
    </dxf>
    <dxf>
      <font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customXml" Target="../customXml/item3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Spin" dx="16" fmlaLink="$T$5" max="2050" min="2015" page="10" val="2020"/>
</file>

<file path=xl/ctrlProps/ctrlProp2.xml><?xml version="1.0" encoding="utf-8"?>
<formControlPr xmlns="http://schemas.microsoft.com/office/spreadsheetml/2009/9/main" objectType="Spin" dx="16" fmlaLink="$S$7" max="12" min="1" page="10" val="1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45720</xdr:colOff>
      <xdr:row>8</xdr:row>
      <xdr:rowOff>76201</xdr:rowOff>
    </xdr:from>
    <xdr:to>
      <xdr:col>5</xdr:col>
      <xdr:colOff>155448</xdr:colOff>
      <xdr:row>8</xdr:row>
      <xdr:rowOff>285751</xdr:rowOff>
    </xdr:to>
    <xdr:sp>
      <xdr:nvSpPr>
        <xdr:cNvPr id="6" name="Right Arrow 5" descr="&quot;&quot;" title="Right pointing arrow"/>
        <xdr:cNvSpPr>
          <a:spLocks noChangeAspect="1"/>
        </xdr:cNvSpPr>
      </xdr:nvSpPr>
      <xdr:spPr>
        <a:xfrm>
          <a:off x="2941320" y="1505585"/>
          <a:ext cx="109220" cy="20955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106680</xdr:colOff>
      <xdr:row>1</xdr:row>
      <xdr:rowOff>84444</xdr:rowOff>
    </xdr:from>
    <xdr:to>
      <xdr:col>2</xdr:col>
      <xdr:colOff>419100</xdr:colOff>
      <xdr:row>2</xdr:row>
      <xdr:rowOff>198119</xdr:rowOff>
    </xdr:to>
    <xdr:pic>
      <xdr:nvPicPr>
        <xdr:cNvPr id="12" name="Picture 11" descr="Image result for Salesman route Plan clipart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63830" y="146050"/>
          <a:ext cx="493395" cy="494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4</xdr:row>
          <xdr:rowOff>0</xdr:rowOff>
        </xdr:from>
        <xdr:to>
          <xdr:col>20</xdr:col>
          <xdr:colOff>142875</xdr:colOff>
          <xdr:row>5</xdr:row>
          <xdr:rowOff>19050</xdr:rowOff>
        </xdr:to>
        <xdr:sp>
          <xdr:nvSpPr>
            <xdr:cNvPr id="1038" name="Year Spinne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9372600" y="800735"/>
              <a:ext cx="123825" cy="20955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5</xdr:row>
          <xdr:rowOff>171450</xdr:rowOff>
        </xdr:from>
        <xdr:to>
          <xdr:col>20</xdr:col>
          <xdr:colOff>142875</xdr:colOff>
          <xdr:row>7</xdr:row>
          <xdr:rowOff>19050</xdr:rowOff>
        </xdr:to>
        <xdr:sp>
          <xdr:nvSpPr>
            <xdr:cNvPr id="1041" name="Month Spinner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9372600" y="1162685"/>
              <a:ext cx="123825" cy="22860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17</xdr:col>
      <xdr:colOff>11888</xdr:colOff>
      <xdr:row>1</xdr:row>
      <xdr:rowOff>373380</xdr:rowOff>
    </xdr:from>
    <xdr:to>
      <xdr:col>19</xdr:col>
      <xdr:colOff>38099</xdr:colOff>
      <xdr:row>2</xdr:row>
      <xdr:rowOff>220980</xdr:rowOff>
    </xdr:to>
    <xdr:grpSp>
      <xdr:nvGrpSpPr>
        <xdr:cNvPr id="45" name="View Schedule Icon" descr="&quot;&quot;" title="View Schedule Icon"/>
        <xdr:cNvGrpSpPr>
          <a:grpSpLocks noChangeAspect="1"/>
        </xdr:cNvGrpSpPr>
      </xdr:nvGrpSpPr>
      <xdr:grpSpPr>
        <a:xfrm>
          <a:off x="8564880" y="435610"/>
          <a:ext cx="235585" cy="228600"/>
          <a:chOff x="61" y="204"/>
          <a:chExt cx="31" cy="120"/>
        </a:xfrm>
      </xdr:grpSpPr>
      <xdr:sp>
        <xdr:nvSpPr>
          <xdr:cNvPr id="46" name="Rectangle 9"/>
          <xdr:cNvSpPr>
            <a:spLocks noChangeArrowheads="1"/>
          </xdr:cNvSpPr>
        </xdr:nvSpPr>
        <xdr:spPr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>
        <xdr:nvSpPr>
          <xdr:cNvPr id="47" name="Rectangle 10"/>
          <xdr:cNvSpPr>
            <a:spLocks noChangeArrowheads="1"/>
          </xdr:cNvSpPr>
        </xdr:nvSpPr>
        <xdr:spPr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</a:ln>
        </xdr:spPr>
      </xdr:sp>
      <xdr:sp>
        <xdr:nvSpPr>
          <xdr:cNvPr id="48" name="Freeform 11"/>
          <xdr:cNvSpPr>
            <a:spLocks noEditPoints="1"/>
          </xdr:cNvSpPr>
        </xdr:nvSpPr>
        <xdr:spPr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36</xdr:row>
          <xdr:rowOff>104775</xdr:rowOff>
        </xdr:from>
        <xdr:to>
          <xdr:col>18</xdr:col>
          <xdr:colOff>0</xdr:colOff>
          <xdr:row>36</xdr:row>
          <xdr:rowOff>114300</xdr:rowOff>
        </xdr:to>
        <xdr:sp macro="[0]!ThisWorkbook.GenerateJPData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8572500" y="6270625"/>
              <a:ext cx="9525" cy="95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 panose="020F0502020204030204"/>
                  <a:cs typeface="Calibri" panose="020F0502020204030204"/>
                </a:rPr>
                <a:t>Generate JP Data </a:t>
              </a:r>
              <a:endParaRPr lang="en-US" sz="1100" b="0" i="0" u="none" strike="noStrike" baseline="0">
                <a:solidFill>
                  <a:srgbClr val="0000FF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37</xdr:row>
          <xdr:rowOff>104775</xdr:rowOff>
        </xdr:from>
        <xdr:to>
          <xdr:col>18</xdr:col>
          <xdr:colOff>28575</xdr:colOff>
          <xdr:row>37</xdr:row>
          <xdr:rowOff>114300</xdr:rowOff>
        </xdr:to>
        <xdr:sp macro="[0]!Process_Click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8601075" y="6399530"/>
              <a:ext cx="9525" cy="95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 panose="020F0502020204030204"/>
                  <a:cs typeface="Calibri" panose="020F0502020204030204"/>
                </a:rPr>
                <a:t>Upload Data</a:t>
              </a:r>
              <a:endParaRPr lang="en-US" sz="1100" b="0" i="0" u="none" strike="noStrike" baseline="0">
                <a:solidFill>
                  <a:srgbClr val="0000FF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SG%20Excel\Templat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JP"/>
      <sheetName val="Summary"/>
    </sheetNames>
    <sheetDataSet>
      <sheetData sheetId="0"/>
      <sheetData sheetId="1">
        <row r="5">
          <cell r="C5">
            <v>43709</v>
          </cell>
        </row>
        <row r="5">
          <cell r="T5">
            <v>2019</v>
          </cell>
        </row>
        <row r="7">
          <cell r="S7">
            <v>9</v>
          </cell>
        </row>
        <row r="19">
          <cell r="E19">
            <v>0</v>
          </cell>
        </row>
        <row r="19">
          <cell r="L19">
            <v>0</v>
          </cell>
        </row>
        <row r="20">
          <cell r="E20">
            <v>0</v>
          </cell>
        </row>
        <row r="20">
          <cell r="L20">
            <v>0</v>
          </cell>
        </row>
        <row r="21">
          <cell r="E21">
            <v>0</v>
          </cell>
        </row>
        <row r="21">
          <cell r="L21">
            <v>0</v>
          </cell>
        </row>
        <row r="22">
          <cell r="E22">
            <v>0</v>
          </cell>
        </row>
        <row r="22">
          <cell r="L22">
            <v>0</v>
          </cell>
        </row>
        <row r="23">
          <cell r="E23">
            <v>0</v>
          </cell>
        </row>
        <row r="23">
          <cell r="L23">
            <v>0</v>
          </cell>
        </row>
        <row r="24">
          <cell r="E24">
            <v>0</v>
          </cell>
        </row>
        <row r="24">
          <cell r="L24">
            <v>0</v>
          </cell>
        </row>
        <row r="25">
          <cell r="E25">
            <v>0</v>
          </cell>
        </row>
        <row r="25">
          <cell r="L25">
            <v>0</v>
          </cell>
        </row>
        <row r="26">
          <cell r="E26">
            <v>0</v>
          </cell>
        </row>
        <row r="26">
          <cell r="L26">
            <v>0</v>
          </cell>
        </row>
        <row r="27">
          <cell r="E27">
            <v>0</v>
          </cell>
        </row>
        <row r="27">
          <cell r="L27">
            <v>0</v>
          </cell>
        </row>
        <row r="28">
          <cell r="E28">
            <v>0</v>
          </cell>
        </row>
        <row r="28">
          <cell r="L28">
            <v>0</v>
          </cell>
        </row>
        <row r="29">
          <cell r="E29">
            <v>0</v>
          </cell>
        </row>
        <row r="29">
          <cell r="L29">
            <v>0</v>
          </cell>
        </row>
        <row r="30">
          <cell r="E30">
            <v>0</v>
          </cell>
        </row>
        <row r="30">
          <cell r="L30">
            <v>0</v>
          </cell>
        </row>
        <row r="31">
          <cell r="E31">
            <v>0</v>
          </cell>
        </row>
        <row r="31">
          <cell r="L31" t="str">
            <v/>
          </cell>
        </row>
        <row r="32">
          <cell r="E32">
            <v>0</v>
          </cell>
        </row>
        <row r="32">
          <cell r="L32" t="str">
            <v/>
          </cell>
        </row>
        <row r="33">
          <cell r="E33">
            <v>0</v>
          </cell>
        </row>
        <row r="33">
          <cell r="L33" t="str">
            <v/>
          </cell>
        </row>
        <row r="34">
          <cell r="E34">
            <v>0</v>
          </cell>
        </row>
        <row r="34">
          <cell r="L34" t="str">
            <v/>
          </cell>
        </row>
        <row r="35">
          <cell r="E35">
            <v>0</v>
          </cell>
        </row>
        <row r="35">
          <cell r="L35" t="str">
            <v/>
          </cell>
        </row>
        <row r="36">
          <cell r="E3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2" tint="-0.749992370372631"/>
  </sheetPr>
  <dimension ref="A1:BG1489"/>
  <sheetViews>
    <sheetView tabSelected="1" zoomScale="90" zoomScaleNormal="90" workbookViewId="0">
      <pane ySplit="5" topLeftCell="A198" activePane="bottomLeft" state="frozen"/>
      <selection/>
      <selection pane="bottomLeft" activeCell="AM205" sqref="AM205"/>
    </sheetView>
  </sheetViews>
  <sheetFormatPr defaultColWidth="8.85714285714286" defaultRowHeight="15"/>
  <cols>
    <col min="1" max="1" width="2.71428571428571" style="127" customWidth="1"/>
    <col min="2" max="2" width="2.71428571428571" style="128" customWidth="1"/>
    <col min="3" max="3" width="0.142857142857143" style="129" customWidth="1"/>
    <col min="4" max="10" width="2.71428571428571" style="130" customWidth="1" outlineLevel="1"/>
    <col min="11" max="11" width="0.428571428571429" style="131" customWidth="1"/>
    <col min="12" max="18" width="2.71428571428571" style="130" customWidth="1" outlineLevel="1"/>
    <col min="19" max="19" width="0.714285714285714" style="131" customWidth="1"/>
    <col min="20" max="26" width="2.71428571428571" style="130" customWidth="1" outlineLevel="1"/>
    <col min="27" max="27" width="0.714285714285714" style="131" customWidth="1"/>
    <col min="28" max="34" width="2.71428571428571" style="130" customWidth="1" outlineLevel="1"/>
    <col min="35" max="35" width="0.571428571428571" style="131" customWidth="1"/>
    <col min="36" max="41" width="2.71428571428571" style="130" customWidth="1" outlineLevel="1"/>
    <col min="42" max="42" width="2.71428571428571" style="132" customWidth="1" outlineLevel="1"/>
    <col min="43" max="43" width="0.714285714285714" style="133" customWidth="1" outlineLevel="1"/>
    <col min="44" max="50" width="2.85714285714286" style="134" customWidth="1" outlineLevel="1"/>
    <col min="51" max="51" width="0.714285714285714" style="133" customWidth="1" outlineLevel="1"/>
    <col min="52" max="52" width="13.1428571428571" style="135" customWidth="1"/>
    <col min="53" max="53" width="27.4285714285714" style="135" customWidth="1"/>
    <col min="54" max="54" width="8.28571428571429" style="135" customWidth="1"/>
    <col min="55" max="55" width="36.4285714285714" style="135" customWidth="1"/>
    <col min="56" max="56" width="16.5714285714286" style="135" customWidth="1"/>
    <col min="57" max="57" width="16.1428571428571" style="135" customWidth="1"/>
    <col min="58" max="58" width="11.2857142857143" style="135" customWidth="1"/>
    <col min="59" max="60" width="8.85714285714286" style="135"/>
    <col min="61" max="61" width="11.2857142857143" style="135" customWidth="1"/>
    <col min="62" max="16384" width="8.85714285714286" style="135"/>
  </cols>
  <sheetData>
    <row r="1" spans="4:53">
      <c r="D1" s="136" t="str">
        <f t="shared" ref="D1:H1" si="0">UPPER(LEFT(TEXT(WEEKDAY(D4),"ddd"),2))&amp;IF(MOD(WEEKNUM(D4),4)=0,4,MOD(WEEKNUM(D4),4))</f>
        <v>SU1</v>
      </c>
      <c r="E1" s="136" t="str">
        <f t="shared" si="0"/>
        <v>MO1</v>
      </c>
      <c r="F1" s="136" t="str">
        <f t="shared" si="0"/>
        <v>TU1</v>
      </c>
      <c r="G1" s="136" t="str">
        <f t="shared" si="0"/>
        <v>WE1</v>
      </c>
      <c r="H1" s="136" t="str">
        <f t="shared" si="0"/>
        <v>TH1</v>
      </c>
      <c r="I1" s="136" t="str">
        <f t="shared" ref="I1:AX1" si="1">UPPER(LEFT(TEXT(WEEKDAY(I4),"ddd"),2))&amp;IF(MOD(WEEKNUM(I4),4)=0,4,MOD(WEEKNUM(I4),4))</f>
        <v>FR1</v>
      </c>
      <c r="J1" s="136" t="str">
        <f t="shared" si="1"/>
        <v>SA1</v>
      </c>
      <c r="K1" s="154" t="e">
        <f t="shared" si="1"/>
        <v>#VALUE!</v>
      </c>
      <c r="L1" s="136" t="str">
        <f t="shared" si="1"/>
        <v>SU2</v>
      </c>
      <c r="M1" s="136" t="str">
        <f t="shared" si="1"/>
        <v>MO2</v>
      </c>
      <c r="N1" s="136" t="str">
        <f t="shared" si="1"/>
        <v>TU2</v>
      </c>
      <c r="O1" s="136" t="str">
        <f t="shared" si="1"/>
        <v>WE2</v>
      </c>
      <c r="P1" s="136" t="str">
        <f t="shared" si="1"/>
        <v>TH2</v>
      </c>
      <c r="Q1" s="136" t="str">
        <f t="shared" si="1"/>
        <v>FR2</v>
      </c>
      <c r="R1" s="136" t="str">
        <f t="shared" si="1"/>
        <v>SA2</v>
      </c>
      <c r="S1" s="154" t="e">
        <f t="shared" si="1"/>
        <v>#VALUE!</v>
      </c>
      <c r="T1" s="136" t="str">
        <f t="shared" si="1"/>
        <v>SU3</v>
      </c>
      <c r="U1" s="136" t="str">
        <f t="shared" si="1"/>
        <v>MO3</v>
      </c>
      <c r="V1" s="136" t="str">
        <f t="shared" si="1"/>
        <v>TU3</v>
      </c>
      <c r="W1" s="136" t="str">
        <f t="shared" si="1"/>
        <v>WE3</v>
      </c>
      <c r="X1" s="136" t="str">
        <f t="shared" si="1"/>
        <v>TH3</v>
      </c>
      <c r="Y1" s="136" t="str">
        <f t="shared" si="1"/>
        <v>FR3</v>
      </c>
      <c r="Z1" s="136" t="str">
        <f t="shared" si="1"/>
        <v>SA3</v>
      </c>
      <c r="AA1" s="154" t="e">
        <f t="shared" si="1"/>
        <v>#VALUE!</v>
      </c>
      <c r="AB1" s="136" t="str">
        <f t="shared" si="1"/>
        <v>SU4</v>
      </c>
      <c r="AC1" s="136" t="str">
        <f t="shared" si="1"/>
        <v>MO4</v>
      </c>
      <c r="AD1" s="136" t="str">
        <f t="shared" si="1"/>
        <v>TU4</v>
      </c>
      <c r="AE1" s="136" t="str">
        <f t="shared" si="1"/>
        <v>WE4</v>
      </c>
      <c r="AF1" s="136" t="str">
        <f t="shared" si="1"/>
        <v>TH4</v>
      </c>
      <c r="AG1" s="136" t="str">
        <f t="shared" si="1"/>
        <v>FR4</v>
      </c>
      <c r="AH1" s="136" t="str">
        <f t="shared" si="1"/>
        <v>SA4</v>
      </c>
      <c r="AI1" s="154" t="e">
        <f t="shared" si="1"/>
        <v>#VALUE!</v>
      </c>
      <c r="AJ1" s="136" t="str">
        <f t="shared" si="1"/>
        <v>SU1</v>
      </c>
      <c r="AK1" s="136" t="str">
        <f t="shared" si="1"/>
        <v>MO1</v>
      </c>
      <c r="AL1" s="136" t="str">
        <f t="shared" si="1"/>
        <v>TU1</v>
      </c>
      <c r="AM1" s="136" t="str">
        <f t="shared" si="1"/>
        <v>WE1</v>
      </c>
      <c r="AN1" s="136" t="str">
        <f t="shared" si="1"/>
        <v>TH1</v>
      </c>
      <c r="AO1" s="136" t="str">
        <f t="shared" si="1"/>
        <v>FR1</v>
      </c>
      <c r="AP1" s="160" t="str">
        <f t="shared" si="1"/>
        <v>SA1</v>
      </c>
      <c r="AQ1" s="161"/>
      <c r="AR1" s="160" t="str">
        <f t="shared" si="1"/>
        <v>SU2</v>
      </c>
      <c r="AS1" s="160" t="str">
        <f t="shared" si="1"/>
        <v>MO2</v>
      </c>
      <c r="AT1" s="160" t="str">
        <f t="shared" si="1"/>
        <v>TU2</v>
      </c>
      <c r="AU1" s="160" t="str">
        <f t="shared" si="1"/>
        <v>WE2</v>
      </c>
      <c r="AV1" s="160" t="str">
        <f t="shared" si="1"/>
        <v>TH2</v>
      </c>
      <c r="AW1" s="160" t="str">
        <f t="shared" si="1"/>
        <v>FR2</v>
      </c>
      <c r="AX1" s="160" t="str">
        <f t="shared" si="1"/>
        <v>SA2</v>
      </c>
      <c r="AY1" s="161"/>
      <c r="BA1" s="170"/>
    </row>
    <row r="2" s="126" customFormat="1" spans="1:51">
      <c r="A2" s="137"/>
      <c r="B2" s="138"/>
      <c r="C2" s="139"/>
      <c r="D2" s="140">
        <v>1</v>
      </c>
      <c r="E2" s="140">
        <v>2</v>
      </c>
      <c r="F2" s="140">
        <v>3</v>
      </c>
      <c r="G2" s="140">
        <v>4</v>
      </c>
      <c r="H2" s="140">
        <v>5</v>
      </c>
      <c r="I2" s="140">
        <v>6</v>
      </c>
      <c r="J2" s="140">
        <v>7</v>
      </c>
      <c r="K2" s="155"/>
      <c r="L2" s="140">
        <v>8</v>
      </c>
      <c r="M2" s="140">
        <v>9</v>
      </c>
      <c r="N2" s="140">
        <v>10</v>
      </c>
      <c r="O2" s="140">
        <v>11</v>
      </c>
      <c r="P2" s="140">
        <v>12</v>
      </c>
      <c r="Q2" s="140">
        <v>13</v>
      </c>
      <c r="R2" s="140">
        <v>14</v>
      </c>
      <c r="S2" s="155"/>
      <c r="T2" s="140">
        <v>15</v>
      </c>
      <c r="U2" s="140">
        <v>16</v>
      </c>
      <c r="V2" s="140">
        <v>17</v>
      </c>
      <c r="W2" s="140">
        <v>18</v>
      </c>
      <c r="X2" s="140">
        <v>19</v>
      </c>
      <c r="Y2" s="140">
        <v>20</v>
      </c>
      <c r="Z2" s="140">
        <v>21</v>
      </c>
      <c r="AA2" s="155"/>
      <c r="AB2" s="140">
        <v>22</v>
      </c>
      <c r="AC2" s="140">
        <v>23</v>
      </c>
      <c r="AD2" s="140">
        <v>24</v>
      </c>
      <c r="AE2" s="140">
        <v>25</v>
      </c>
      <c r="AF2" s="140">
        <v>26</v>
      </c>
      <c r="AG2" s="140">
        <v>27</v>
      </c>
      <c r="AH2" s="140">
        <v>28</v>
      </c>
      <c r="AI2" s="155"/>
      <c r="AJ2" s="140">
        <v>29</v>
      </c>
      <c r="AK2" s="140">
        <v>30</v>
      </c>
      <c r="AL2" s="140">
        <v>31</v>
      </c>
      <c r="AM2" s="140">
        <v>32</v>
      </c>
      <c r="AN2" s="140">
        <v>33</v>
      </c>
      <c r="AO2" s="140">
        <v>34</v>
      </c>
      <c r="AP2" s="162">
        <v>35</v>
      </c>
      <c r="AQ2" s="163"/>
      <c r="AR2" s="164">
        <v>36</v>
      </c>
      <c r="AS2" s="164">
        <v>37</v>
      </c>
      <c r="AT2" s="164">
        <v>38</v>
      </c>
      <c r="AU2" s="164">
        <v>39</v>
      </c>
      <c r="AV2" s="164">
        <v>40</v>
      </c>
      <c r="AW2" s="164">
        <v>41</v>
      </c>
      <c r="AX2" s="164">
        <v>42</v>
      </c>
      <c r="AY2" s="163"/>
    </row>
    <row r="3" s="126" customFormat="1" spans="1:54">
      <c r="A3" s="141" t="s">
        <v>0</v>
      </c>
      <c r="B3" s="142"/>
      <c r="C3" s="142"/>
      <c r="D3" s="143"/>
      <c r="E3" s="144"/>
      <c r="F3" s="144"/>
      <c r="G3" s="144"/>
      <c r="H3" s="144"/>
      <c r="I3" s="144"/>
      <c r="J3" s="156"/>
      <c r="K3" s="157"/>
      <c r="L3" s="156"/>
      <c r="M3" s="156"/>
      <c r="N3" s="156"/>
      <c r="O3" s="156"/>
      <c r="P3" s="156"/>
      <c r="Q3" s="144"/>
      <c r="R3" s="156"/>
      <c r="S3" s="157"/>
      <c r="T3" s="156"/>
      <c r="U3" s="144"/>
      <c r="V3" s="156"/>
      <c r="W3" s="156"/>
      <c r="X3" s="156"/>
      <c r="Y3" s="156"/>
      <c r="Z3" s="156"/>
      <c r="AA3" s="157"/>
      <c r="AB3" s="156"/>
      <c r="AC3" s="156"/>
      <c r="AD3" s="156"/>
      <c r="AE3" s="156"/>
      <c r="AF3" s="156"/>
      <c r="AG3" s="156"/>
      <c r="AH3" s="156"/>
      <c r="AI3" s="157"/>
      <c r="AJ3" s="156"/>
      <c r="AK3" s="156"/>
      <c r="AL3" s="156"/>
      <c r="AM3" s="156"/>
      <c r="AN3" s="156"/>
      <c r="AO3" s="156"/>
      <c r="AP3" s="165"/>
      <c r="AQ3" s="166"/>
      <c r="AR3" s="167"/>
      <c r="AS3" s="167"/>
      <c r="AT3" s="167"/>
      <c r="AU3" s="167"/>
      <c r="AV3" s="167"/>
      <c r="AW3" s="167"/>
      <c r="AX3" s="167"/>
      <c r="AY3" s="166"/>
      <c r="AZ3" s="171" t="s">
        <v>1</v>
      </c>
      <c r="BA3" s="172"/>
      <c r="BB3" s="173"/>
    </row>
    <row r="4" ht="14.65" customHeight="1" spans="1:52">
      <c r="A4" s="145">
        <f>Period</f>
        <v>43831</v>
      </c>
      <c r="B4" s="146">
        <f>Period</f>
        <v>43831</v>
      </c>
      <c r="C4" s="147"/>
      <c r="D4" s="148">
        <f>Period-WEEKDAY(Period)+1</f>
        <v>43828</v>
      </c>
      <c r="E4" s="149">
        <f>D4+1</f>
        <v>43829</v>
      </c>
      <c r="F4" s="149">
        <f t="shared" ref="F4:J4" si="2">E4+1</f>
        <v>43830</v>
      </c>
      <c r="G4" s="149">
        <f t="shared" si="2"/>
        <v>43831</v>
      </c>
      <c r="H4" s="149">
        <f t="shared" si="2"/>
        <v>43832</v>
      </c>
      <c r="I4" s="149">
        <f t="shared" si="2"/>
        <v>43833</v>
      </c>
      <c r="J4" s="149">
        <f t="shared" si="2"/>
        <v>43834</v>
      </c>
      <c r="K4" s="149" t="str">
        <f t="shared" ref="K4:AU5" si="3">IF(K$2&lt;&gt;"",$D$4+K$2-1,"")</f>
        <v/>
      </c>
      <c r="L4" s="149">
        <f t="shared" si="3"/>
        <v>43835</v>
      </c>
      <c r="M4" s="149">
        <f t="shared" si="3"/>
        <v>43836</v>
      </c>
      <c r="N4" s="149">
        <f t="shared" si="3"/>
        <v>43837</v>
      </c>
      <c r="O4" s="149">
        <f t="shared" si="3"/>
        <v>43838</v>
      </c>
      <c r="P4" s="149">
        <f t="shared" si="3"/>
        <v>43839</v>
      </c>
      <c r="Q4" s="149">
        <f t="shared" si="3"/>
        <v>43840</v>
      </c>
      <c r="R4" s="149">
        <f t="shared" si="3"/>
        <v>43841</v>
      </c>
      <c r="S4" s="149" t="str">
        <f t="shared" si="3"/>
        <v/>
      </c>
      <c r="T4" s="149">
        <f t="shared" si="3"/>
        <v>43842</v>
      </c>
      <c r="U4" s="149">
        <f t="shared" si="3"/>
        <v>43843</v>
      </c>
      <c r="V4" s="149">
        <f t="shared" si="3"/>
        <v>43844</v>
      </c>
      <c r="W4" s="149">
        <f t="shared" si="3"/>
        <v>43845</v>
      </c>
      <c r="X4" s="149">
        <f t="shared" si="3"/>
        <v>43846</v>
      </c>
      <c r="Y4" s="149">
        <f t="shared" si="3"/>
        <v>43847</v>
      </c>
      <c r="Z4" s="149">
        <f t="shared" si="3"/>
        <v>43848</v>
      </c>
      <c r="AA4" s="149" t="str">
        <f t="shared" si="3"/>
        <v/>
      </c>
      <c r="AB4" s="149">
        <f t="shared" si="3"/>
        <v>43849</v>
      </c>
      <c r="AC4" s="149">
        <f t="shared" si="3"/>
        <v>43850</v>
      </c>
      <c r="AD4" s="149">
        <f t="shared" si="3"/>
        <v>43851</v>
      </c>
      <c r="AE4" s="149">
        <f t="shared" si="3"/>
        <v>43852</v>
      </c>
      <c r="AF4" s="149">
        <f t="shared" si="3"/>
        <v>43853</v>
      </c>
      <c r="AG4" s="149">
        <f t="shared" si="3"/>
        <v>43854</v>
      </c>
      <c r="AH4" s="149">
        <f t="shared" si="3"/>
        <v>43855</v>
      </c>
      <c r="AI4" s="149" t="str">
        <f t="shared" si="3"/>
        <v/>
      </c>
      <c r="AJ4" s="149">
        <f t="shared" si="3"/>
        <v>43856</v>
      </c>
      <c r="AK4" s="149">
        <f t="shared" si="3"/>
        <v>43857</v>
      </c>
      <c r="AL4" s="149">
        <f t="shared" si="3"/>
        <v>43858</v>
      </c>
      <c r="AM4" s="149">
        <f t="shared" si="3"/>
        <v>43859</v>
      </c>
      <c r="AN4" s="149">
        <f t="shared" si="3"/>
        <v>43860</v>
      </c>
      <c r="AO4" s="149">
        <f t="shared" si="3"/>
        <v>43861</v>
      </c>
      <c r="AP4" s="168">
        <f t="shared" si="3"/>
        <v>43862</v>
      </c>
      <c r="AQ4" s="168" t="str">
        <f t="shared" si="3"/>
        <v/>
      </c>
      <c r="AR4" s="168">
        <f>IF(AR$2&lt;&gt;"",$D$4+AR$2-1,"")</f>
        <v>43863</v>
      </c>
      <c r="AS4" s="168">
        <f t="shared" si="3"/>
        <v>43864</v>
      </c>
      <c r="AT4" s="168">
        <f t="shared" si="3"/>
        <v>43865</v>
      </c>
      <c r="AU4" s="168">
        <f t="shared" si="3"/>
        <v>43866</v>
      </c>
      <c r="AV4" s="168">
        <f t="shared" ref="AV4:AX4" si="4">IF(AV$2&lt;&gt;"",$D$4+AV$2-1,"")</f>
        <v>43867</v>
      </c>
      <c r="AW4" s="168">
        <f t="shared" si="4"/>
        <v>43868</v>
      </c>
      <c r="AX4" s="168">
        <f t="shared" si="4"/>
        <v>43869</v>
      </c>
      <c r="AY4" s="174"/>
      <c r="AZ4" s="175"/>
    </row>
    <row r="5" spans="1:59">
      <c r="A5" s="145"/>
      <c r="B5" s="146"/>
      <c r="C5" s="147"/>
      <c r="D5" s="148" t="str">
        <f t="shared" ref="D5:J5" si="5">LEFT(TEXT(WEEKDAY(D4),"ddd"),1)</f>
        <v>S</v>
      </c>
      <c r="E5" s="149" t="str">
        <f t="shared" si="5"/>
        <v>M</v>
      </c>
      <c r="F5" s="149" t="str">
        <f t="shared" si="5"/>
        <v>T</v>
      </c>
      <c r="G5" s="149" t="str">
        <f t="shared" si="5"/>
        <v>W</v>
      </c>
      <c r="H5" s="149" t="str">
        <f t="shared" si="5"/>
        <v>T</v>
      </c>
      <c r="I5" s="149" t="str">
        <f t="shared" si="5"/>
        <v>F</v>
      </c>
      <c r="J5" s="149" t="str">
        <f t="shared" si="5"/>
        <v>S</v>
      </c>
      <c r="K5" s="149"/>
      <c r="L5" s="149" t="str">
        <f t="shared" ref="L5:R5" si="6">LEFT(TEXT(WEEKDAY(L4),"ddd"),1)</f>
        <v>S</v>
      </c>
      <c r="M5" s="149" t="str">
        <f t="shared" si="6"/>
        <v>M</v>
      </c>
      <c r="N5" s="149" t="str">
        <f t="shared" si="6"/>
        <v>T</v>
      </c>
      <c r="O5" s="149" t="str">
        <f t="shared" si="6"/>
        <v>W</v>
      </c>
      <c r="P5" s="149" t="str">
        <f t="shared" si="6"/>
        <v>T</v>
      </c>
      <c r="Q5" s="149" t="str">
        <f t="shared" si="6"/>
        <v>F</v>
      </c>
      <c r="R5" s="149" t="str">
        <f t="shared" si="6"/>
        <v>S</v>
      </c>
      <c r="S5" s="149"/>
      <c r="T5" s="149" t="str">
        <f t="shared" ref="T5:Z5" si="7">LEFT(TEXT(WEEKDAY(T4),"ddd"),1)</f>
        <v>S</v>
      </c>
      <c r="U5" s="149" t="str">
        <f t="shared" si="7"/>
        <v>M</v>
      </c>
      <c r="V5" s="149" t="str">
        <f t="shared" si="7"/>
        <v>T</v>
      </c>
      <c r="W5" s="149" t="str">
        <f t="shared" si="7"/>
        <v>W</v>
      </c>
      <c r="X5" s="149" t="str">
        <f t="shared" si="7"/>
        <v>T</v>
      </c>
      <c r="Y5" s="149" t="str">
        <f t="shared" si="7"/>
        <v>F</v>
      </c>
      <c r="Z5" s="149" t="str">
        <f t="shared" si="7"/>
        <v>S</v>
      </c>
      <c r="AA5" s="149"/>
      <c r="AB5" s="149" t="str">
        <f t="shared" ref="AB5:AH5" si="8">LEFT(TEXT(WEEKDAY(AB4),"ddd"),1)</f>
        <v>S</v>
      </c>
      <c r="AC5" s="149" t="str">
        <f t="shared" si="8"/>
        <v>M</v>
      </c>
      <c r="AD5" s="149" t="str">
        <f t="shared" si="8"/>
        <v>T</v>
      </c>
      <c r="AE5" s="149" t="str">
        <f t="shared" si="8"/>
        <v>W</v>
      </c>
      <c r="AF5" s="149" t="str">
        <f t="shared" si="8"/>
        <v>T</v>
      </c>
      <c r="AG5" s="149" t="str">
        <f t="shared" si="8"/>
        <v>F</v>
      </c>
      <c r="AH5" s="149" t="str">
        <f t="shared" si="8"/>
        <v>S</v>
      </c>
      <c r="AI5" s="149"/>
      <c r="AJ5" s="149" t="str">
        <f t="shared" ref="AJ5:AX5" si="9">LEFT(TEXT(WEEKDAY(AJ4),"ddd"),1)</f>
        <v>S</v>
      </c>
      <c r="AK5" s="149" t="str">
        <f t="shared" si="9"/>
        <v>M</v>
      </c>
      <c r="AL5" s="149" t="str">
        <f t="shared" si="9"/>
        <v>T</v>
      </c>
      <c r="AM5" s="149" t="str">
        <f t="shared" si="9"/>
        <v>W</v>
      </c>
      <c r="AN5" s="149" t="str">
        <f t="shared" si="9"/>
        <v>T</v>
      </c>
      <c r="AO5" s="149" t="str">
        <f t="shared" si="9"/>
        <v>F</v>
      </c>
      <c r="AP5" s="168" t="str">
        <f t="shared" si="9"/>
        <v>S</v>
      </c>
      <c r="AQ5" s="168"/>
      <c r="AR5" s="168">
        <f t="shared" si="3"/>
        <v>43863</v>
      </c>
      <c r="AS5" s="168" t="str">
        <f t="shared" si="9"/>
        <v>M</v>
      </c>
      <c r="AT5" s="168" t="str">
        <f t="shared" si="9"/>
        <v>T</v>
      </c>
      <c r="AU5" s="168" t="str">
        <f t="shared" si="9"/>
        <v>W</v>
      </c>
      <c r="AV5" s="168" t="str">
        <f t="shared" si="9"/>
        <v>T</v>
      </c>
      <c r="AW5" s="168" t="str">
        <f t="shared" si="9"/>
        <v>F</v>
      </c>
      <c r="AX5" s="168" t="str">
        <f t="shared" si="9"/>
        <v>S</v>
      </c>
      <c r="AY5" s="174"/>
      <c r="AZ5" s="176" t="s">
        <v>2</v>
      </c>
      <c r="BA5" s="177" t="s">
        <v>3</v>
      </c>
      <c r="BB5" s="177" t="s">
        <v>4</v>
      </c>
      <c r="BC5" s="177" t="s">
        <v>5</v>
      </c>
      <c r="BD5" s="177" t="s">
        <v>6</v>
      </c>
      <c r="BE5" s="177" t="s">
        <v>7</v>
      </c>
      <c r="BF5" s="177" t="s">
        <v>8</v>
      </c>
      <c r="BG5" s="177"/>
    </row>
    <row r="6" spans="1:59">
      <c r="A6" s="127">
        <f t="shared" ref="A6:A69" si="10">IF($AZ6&lt;&gt;"",IF(COUNTIF($D6:$AP6,"a")&gt;$BB6,2,IF(COUNTIF($D6:$AP6,"a")=$BB6,1,0)),"")</f>
        <v>1</v>
      </c>
      <c r="B6" s="150" t="str">
        <f t="shared" ref="B6:B69" si="11">IF($AZ6&lt;&gt;"",COUNTIF($D6:$AP6,"a")&amp;"/"&amp;BB6,"")</f>
        <v>1/1</v>
      </c>
      <c r="C6" s="151"/>
      <c r="D6" s="152"/>
      <c r="E6" s="152"/>
      <c r="F6" s="152"/>
      <c r="G6" s="152" t="s">
        <v>9</v>
      </c>
      <c r="H6" s="152"/>
      <c r="I6" s="152"/>
      <c r="J6" s="152"/>
      <c r="K6" s="158"/>
      <c r="L6" s="152"/>
      <c r="M6" s="152"/>
      <c r="N6" s="152"/>
      <c r="O6" s="152"/>
      <c r="P6" s="152"/>
      <c r="Q6" s="152"/>
      <c r="R6" s="152"/>
      <c r="S6" s="158"/>
      <c r="T6" s="152"/>
      <c r="U6" s="153"/>
      <c r="V6" s="153"/>
      <c r="W6" s="153"/>
      <c r="X6" s="153"/>
      <c r="Y6" s="153"/>
      <c r="Z6" s="152"/>
      <c r="AA6" s="158"/>
      <c r="AB6" s="152"/>
      <c r="AC6" s="153"/>
      <c r="AD6" s="153"/>
      <c r="AE6" s="153"/>
      <c r="AF6" s="153"/>
      <c r="AG6" s="153"/>
      <c r="AH6" s="152"/>
      <c r="AI6" s="158"/>
      <c r="AJ6" s="152"/>
      <c r="AK6" s="153"/>
      <c r="AL6" s="153"/>
      <c r="AM6" s="153"/>
      <c r="AN6" s="153"/>
      <c r="AO6" s="153"/>
      <c r="AP6" s="169"/>
      <c r="AQ6" s="158"/>
      <c r="AR6" s="152"/>
      <c r="AS6" s="152"/>
      <c r="AT6" s="152"/>
      <c r="AU6" s="152"/>
      <c r="AV6" s="152"/>
      <c r="AW6" s="152"/>
      <c r="AX6" s="152"/>
      <c r="AY6" s="158"/>
      <c r="AZ6" s="178">
        <v>10045578</v>
      </c>
      <c r="BA6" s="179" t="s">
        <v>10</v>
      </c>
      <c r="BB6" s="126">
        <v>1</v>
      </c>
      <c r="BC6" s="126" t="s">
        <v>11</v>
      </c>
      <c r="BD6" s="179" t="s">
        <v>12</v>
      </c>
      <c r="BE6" s="179" t="s">
        <v>13</v>
      </c>
      <c r="BF6" s="179"/>
      <c r="BG6" s="179"/>
    </row>
    <row r="7" spans="1:59">
      <c r="A7" s="127">
        <f t="shared" si="10"/>
        <v>1</v>
      </c>
      <c r="B7" s="150" t="str">
        <f t="shared" si="11"/>
        <v>1/1</v>
      </c>
      <c r="C7" s="151"/>
      <c r="D7" s="153"/>
      <c r="E7" s="152"/>
      <c r="F7" s="152"/>
      <c r="G7" s="152"/>
      <c r="H7" s="152" t="s">
        <v>9</v>
      </c>
      <c r="I7" s="152"/>
      <c r="J7" s="153"/>
      <c r="K7" s="159"/>
      <c r="L7" s="153"/>
      <c r="M7" s="153"/>
      <c r="N7" s="153"/>
      <c r="O7" s="153"/>
      <c r="P7" s="153"/>
      <c r="Q7" s="153"/>
      <c r="R7" s="153"/>
      <c r="S7" s="159"/>
      <c r="T7" s="153"/>
      <c r="U7" s="153"/>
      <c r="V7" s="153"/>
      <c r="W7" s="153"/>
      <c r="X7" s="153"/>
      <c r="Y7" s="153"/>
      <c r="Z7" s="153"/>
      <c r="AA7" s="159"/>
      <c r="AB7" s="153"/>
      <c r="AC7" s="153"/>
      <c r="AD7" s="153"/>
      <c r="AE7" s="153"/>
      <c r="AF7" s="153"/>
      <c r="AG7" s="153"/>
      <c r="AH7" s="153"/>
      <c r="AI7" s="159"/>
      <c r="AJ7" s="153"/>
      <c r="AK7" s="153"/>
      <c r="AL7" s="153"/>
      <c r="AM7" s="153"/>
      <c r="AN7" s="153"/>
      <c r="AO7" s="153"/>
      <c r="AP7" s="169"/>
      <c r="AQ7" s="158"/>
      <c r="AR7" s="152"/>
      <c r="AS7" s="152"/>
      <c r="AT7" s="152"/>
      <c r="AU7" s="152"/>
      <c r="AV7" s="152"/>
      <c r="AW7" s="152"/>
      <c r="AX7" s="152"/>
      <c r="AY7" s="158"/>
      <c r="AZ7" s="180">
        <v>10013970</v>
      </c>
      <c r="BA7" s="179" t="s">
        <v>14</v>
      </c>
      <c r="BB7" s="126">
        <v>1</v>
      </c>
      <c r="BC7" s="126" t="s">
        <v>15</v>
      </c>
      <c r="BD7" s="179" t="s">
        <v>16</v>
      </c>
      <c r="BE7" s="179" t="s">
        <v>17</v>
      </c>
      <c r="BF7" s="179"/>
      <c r="BG7" s="179"/>
    </row>
    <row r="8" spans="1:59">
      <c r="A8" s="127">
        <f t="shared" si="10"/>
        <v>1</v>
      </c>
      <c r="B8" s="150" t="str">
        <f t="shared" si="11"/>
        <v>1/1</v>
      </c>
      <c r="C8" s="151"/>
      <c r="D8" s="153"/>
      <c r="E8" s="152"/>
      <c r="F8" s="152"/>
      <c r="G8" s="152"/>
      <c r="H8" s="152"/>
      <c r="I8" s="152" t="s">
        <v>9</v>
      </c>
      <c r="J8" s="153"/>
      <c r="K8" s="159"/>
      <c r="L8" s="153"/>
      <c r="M8" s="153"/>
      <c r="N8" s="153"/>
      <c r="O8" s="153"/>
      <c r="P8" s="153"/>
      <c r="Q8" s="153"/>
      <c r="R8" s="153"/>
      <c r="S8" s="159"/>
      <c r="T8" s="153"/>
      <c r="U8" s="153"/>
      <c r="V8" s="153"/>
      <c r="W8" s="153"/>
      <c r="X8" s="153"/>
      <c r="Y8" s="153"/>
      <c r="Z8" s="153"/>
      <c r="AA8" s="159"/>
      <c r="AB8" s="153"/>
      <c r="AC8" s="153"/>
      <c r="AD8" s="153"/>
      <c r="AE8" s="153"/>
      <c r="AF8" s="153"/>
      <c r="AG8" s="153"/>
      <c r="AH8" s="153"/>
      <c r="AI8" s="159"/>
      <c r="AJ8" s="153"/>
      <c r="AK8" s="153"/>
      <c r="AL8" s="153"/>
      <c r="AM8" s="153"/>
      <c r="AN8" s="153"/>
      <c r="AO8" s="153"/>
      <c r="AP8" s="169"/>
      <c r="AQ8" s="158"/>
      <c r="AR8" s="152"/>
      <c r="AS8" s="152"/>
      <c r="AT8" s="152"/>
      <c r="AU8" s="152"/>
      <c r="AV8" s="152"/>
      <c r="AW8" s="152"/>
      <c r="AX8" s="152"/>
      <c r="AY8" s="158"/>
      <c r="AZ8" s="180">
        <v>10043304</v>
      </c>
      <c r="BA8" s="179" t="s">
        <v>18</v>
      </c>
      <c r="BB8" s="126">
        <v>1</v>
      </c>
      <c r="BC8" s="126" t="s">
        <v>15</v>
      </c>
      <c r="BD8" s="179" t="s">
        <v>19</v>
      </c>
      <c r="BE8" s="179" t="s">
        <v>17</v>
      </c>
      <c r="BF8" s="179"/>
      <c r="BG8" s="179"/>
    </row>
    <row r="9" spans="1:59">
      <c r="A9" s="127">
        <f t="shared" si="10"/>
        <v>1</v>
      </c>
      <c r="B9" s="150" t="str">
        <f t="shared" si="11"/>
        <v>1/1</v>
      </c>
      <c r="C9" s="151"/>
      <c r="D9" s="153"/>
      <c r="E9" s="153"/>
      <c r="F9" s="153"/>
      <c r="G9" s="153"/>
      <c r="H9" s="153"/>
      <c r="I9" s="153"/>
      <c r="J9" s="153"/>
      <c r="K9" s="159"/>
      <c r="L9" s="153"/>
      <c r="M9" s="153" t="s">
        <v>9</v>
      </c>
      <c r="N9" s="153"/>
      <c r="O9" s="153"/>
      <c r="P9" s="153"/>
      <c r="Q9" s="153"/>
      <c r="R9" s="153"/>
      <c r="S9" s="159"/>
      <c r="T9" s="153"/>
      <c r="U9" s="153"/>
      <c r="V9" s="153"/>
      <c r="W9" s="153"/>
      <c r="X9" s="153"/>
      <c r="Y9" s="153"/>
      <c r="Z9" s="153"/>
      <c r="AA9" s="159"/>
      <c r="AB9" s="153"/>
      <c r="AC9" s="153"/>
      <c r="AD9" s="153"/>
      <c r="AE9" s="153"/>
      <c r="AF9" s="153"/>
      <c r="AG9" s="153"/>
      <c r="AH9" s="153"/>
      <c r="AI9" s="159"/>
      <c r="AJ9" s="153"/>
      <c r="AK9" s="152"/>
      <c r="AL9" s="152"/>
      <c r="AM9" s="152"/>
      <c r="AN9" s="152"/>
      <c r="AO9" s="152"/>
      <c r="AP9" s="169"/>
      <c r="AQ9" s="158"/>
      <c r="AR9" s="152"/>
      <c r="AS9" s="152"/>
      <c r="AT9" s="152"/>
      <c r="AU9" s="152"/>
      <c r="AV9" s="152"/>
      <c r="AW9" s="152"/>
      <c r="AX9" s="152"/>
      <c r="AY9" s="158"/>
      <c r="AZ9" s="180">
        <v>10013976</v>
      </c>
      <c r="BA9" s="179" t="s">
        <v>20</v>
      </c>
      <c r="BB9" s="126">
        <v>1</v>
      </c>
      <c r="BC9" s="126" t="s">
        <v>21</v>
      </c>
      <c r="BD9" s="179" t="s">
        <v>22</v>
      </c>
      <c r="BE9" s="179" t="s">
        <v>23</v>
      </c>
      <c r="BF9" s="179"/>
      <c r="BG9" s="179"/>
    </row>
    <row r="10" spans="1:59">
      <c r="A10" s="127">
        <f t="shared" si="10"/>
        <v>1</v>
      </c>
      <c r="B10" s="150" t="str">
        <f t="shared" si="11"/>
        <v>1/1</v>
      </c>
      <c r="C10" s="151"/>
      <c r="D10" s="153"/>
      <c r="E10" s="153"/>
      <c r="F10" s="153"/>
      <c r="G10" s="153"/>
      <c r="H10" s="153"/>
      <c r="I10" s="153"/>
      <c r="J10" s="153"/>
      <c r="K10" s="159"/>
      <c r="L10" s="153"/>
      <c r="M10" s="153"/>
      <c r="N10" s="153" t="s">
        <v>9</v>
      </c>
      <c r="O10" s="153"/>
      <c r="P10" s="153"/>
      <c r="Q10" s="153"/>
      <c r="R10" s="153"/>
      <c r="S10" s="159"/>
      <c r="T10" s="153"/>
      <c r="U10" s="153"/>
      <c r="V10" s="153"/>
      <c r="W10" s="153"/>
      <c r="X10" s="153"/>
      <c r="Y10" s="153"/>
      <c r="Z10" s="153"/>
      <c r="AA10" s="159"/>
      <c r="AB10" s="153"/>
      <c r="AC10" s="153"/>
      <c r="AD10" s="153"/>
      <c r="AE10" s="153"/>
      <c r="AF10" s="153"/>
      <c r="AG10" s="153"/>
      <c r="AH10" s="153"/>
      <c r="AI10" s="159"/>
      <c r="AJ10" s="153"/>
      <c r="AK10" s="153"/>
      <c r="AL10" s="153"/>
      <c r="AM10" s="153"/>
      <c r="AN10" s="153"/>
      <c r="AO10" s="153"/>
      <c r="AP10" s="169"/>
      <c r="AQ10" s="158"/>
      <c r="AR10" s="152"/>
      <c r="AS10" s="152"/>
      <c r="AT10" s="152"/>
      <c r="AU10" s="152"/>
      <c r="AV10" s="152"/>
      <c r="AW10" s="152"/>
      <c r="AX10" s="152"/>
      <c r="AY10" s="158"/>
      <c r="AZ10" s="180">
        <v>10027942</v>
      </c>
      <c r="BA10" s="179" t="s">
        <v>24</v>
      </c>
      <c r="BB10" s="126">
        <v>1</v>
      </c>
      <c r="BC10" s="126" t="s">
        <v>25</v>
      </c>
      <c r="BD10" s="179" t="s">
        <v>22</v>
      </c>
      <c r="BE10" s="179" t="s">
        <v>26</v>
      </c>
      <c r="BF10" s="179"/>
      <c r="BG10" s="179"/>
    </row>
    <row r="11" spans="1:59">
      <c r="A11" s="127">
        <f t="shared" si="10"/>
        <v>1</v>
      </c>
      <c r="B11" s="150" t="str">
        <f t="shared" si="11"/>
        <v>1/1</v>
      </c>
      <c r="C11" s="151"/>
      <c r="D11" s="153"/>
      <c r="E11" s="153"/>
      <c r="F11" s="153"/>
      <c r="G11" s="153"/>
      <c r="H11" s="153"/>
      <c r="I11" s="153"/>
      <c r="J11" s="153"/>
      <c r="K11" s="159"/>
      <c r="L11" s="153"/>
      <c r="M11" s="153"/>
      <c r="N11" s="153"/>
      <c r="O11" s="153" t="s">
        <v>9</v>
      </c>
      <c r="P11" s="153"/>
      <c r="Q11" s="153"/>
      <c r="R11" s="153"/>
      <c r="S11" s="159"/>
      <c r="T11" s="153"/>
      <c r="U11" s="153"/>
      <c r="V11" s="153"/>
      <c r="W11" s="153"/>
      <c r="X11" s="153"/>
      <c r="Y11" s="153"/>
      <c r="Z11" s="153"/>
      <c r="AA11" s="159"/>
      <c r="AB11" s="153"/>
      <c r="AC11" s="153"/>
      <c r="AD11" s="153"/>
      <c r="AE11" s="153"/>
      <c r="AF11" s="153"/>
      <c r="AG11" s="153"/>
      <c r="AH11" s="153"/>
      <c r="AI11" s="159"/>
      <c r="AJ11" s="153"/>
      <c r="AK11" s="153"/>
      <c r="AL11" s="153"/>
      <c r="AM11" s="153"/>
      <c r="AN11" s="153"/>
      <c r="AO11" s="153"/>
      <c r="AP11" s="169"/>
      <c r="AQ11" s="158"/>
      <c r="AR11" s="152"/>
      <c r="AS11" s="152"/>
      <c r="AT11" s="152"/>
      <c r="AU11" s="152"/>
      <c r="AV11" s="152"/>
      <c r="AW11" s="152"/>
      <c r="AX11" s="152"/>
      <c r="AY11" s="158"/>
      <c r="AZ11" s="180">
        <v>10045768</v>
      </c>
      <c r="BA11" s="179" t="s">
        <v>27</v>
      </c>
      <c r="BB11" s="126">
        <v>1</v>
      </c>
      <c r="BC11" s="126" t="s">
        <v>28</v>
      </c>
      <c r="BD11" s="179" t="s">
        <v>22</v>
      </c>
      <c r="BE11" s="179" t="s">
        <v>29</v>
      </c>
      <c r="BF11" s="179"/>
      <c r="BG11" s="179"/>
    </row>
    <row r="12" spans="1:59">
      <c r="A12" s="127">
        <f t="shared" si="10"/>
        <v>1</v>
      </c>
      <c r="B12" s="150" t="str">
        <f t="shared" si="11"/>
        <v>1/1</v>
      </c>
      <c r="C12" s="151"/>
      <c r="D12" s="153"/>
      <c r="E12" s="153"/>
      <c r="F12" s="153"/>
      <c r="G12" s="153"/>
      <c r="H12" s="153"/>
      <c r="I12" s="153"/>
      <c r="J12" s="153"/>
      <c r="K12" s="159"/>
      <c r="L12" s="153"/>
      <c r="M12" s="153"/>
      <c r="N12" s="153"/>
      <c r="O12" s="153"/>
      <c r="P12" s="153" t="s">
        <v>9</v>
      </c>
      <c r="Q12" s="153"/>
      <c r="R12" s="153"/>
      <c r="S12" s="159"/>
      <c r="T12" s="153"/>
      <c r="U12" s="153"/>
      <c r="V12" s="153"/>
      <c r="W12" s="153"/>
      <c r="X12" s="153"/>
      <c r="Y12" s="153"/>
      <c r="Z12" s="153"/>
      <c r="AA12" s="159"/>
      <c r="AB12" s="153"/>
      <c r="AC12" s="153"/>
      <c r="AD12" s="153"/>
      <c r="AE12" s="153"/>
      <c r="AF12" s="153"/>
      <c r="AG12" s="153"/>
      <c r="AH12" s="153"/>
      <c r="AI12" s="159"/>
      <c r="AJ12" s="153"/>
      <c r="AK12" s="153"/>
      <c r="AL12" s="153"/>
      <c r="AM12" s="153"/>
      <c r="AN12" s="153"/>
      <c r="AO12" s="153"/>
      <c r="AP12" s="169"/>
      <c r="AQ12" s="158"/>
      <c r="AR12" s="152"/>
      <c r="AS12" s="152"/>
      <c r="AT12" s="152"/>
      <c r="AU12" s="152"/>
      <c r="AV12" s="152"/>
      <c r="AW12" s="152"/>
      <c r="AX12" s="152"/>
      <c r="AY12" s="158"/>
      <c r="AZ12" s="180">
        <v>10045899</v>
      </c>
      <c r="BA12" s="179" t="s">
        <v>30</v>
      </c>
      <c r="BB12" s="126">
        <v>1</v>
      </c>
      <c r="BC12" s="126" t="s">
        <v>31</v>
      </c>
      <c r="BD12" s="179" t="s">
        <v>32</v>
      </c>
      <c r="BE12" s="179" t="s">
        <v>33</v>
      </c>
      <c r="BF12" s="179"/>
      <c r="BG12" s="179"/>
    </row>
    <row r="13" spans="1:59">
      <c r="A13" s="127">
        <f t="shared" si="10"/>
        <v>1</v>
      </c>
      <c r="B13" s="150" t="str">
        <f t="shared" si="11"/>
        <v>1/1</v>
      </c>
      <c r="C13" s="151"/>
      <c r="D13" s="153"/>
      <c r="E13" s="153"/>
      <c r="F13" s="153"/>
      <c r="G13" s="153"/>
      <c r="H13" s="153"/>
      <c r="I13" s="153"/>
      <c r="J13" s="153"/>
      <c r="K13" s="159"/>
      <c r="L13" s="153"/>
      <c r="M13" s="153"/>
      <c r="N13" s="153"/>
      <c r="O13" s="153"/>
      <c r="P13" s="153"/>
      <c r="Q13" s="153" t="s">
        <v>9</v>
      </c>
      <c r="R13" s="153"/>
      <c r="S13" s="159"/>
      <c r="T13" s="153"/>
      <c r="U13" s="153"/>
      <c r="V13" s="153"/>
      <c r="W13" s="153"/>
      <c r="X13" s="153"/>
      <c r="Y13" s="153"/>
      <c r="Z13" s="153"/>
      <c r="AA13" s="159"/>
      <c r="AB13" s="153"/>
      <c r="AC13" s="153"/>
      <c r="AD13" s="153"/>
      <c r="AE13" s="153"/>
      <c r="AF13" s="153"/>
      <c r="AG13" s="153"/>
      <c r="AH13" s="153"/>
      <c r="AI13" s="159"/>
      <c r="AJ13" s="153"/>
      <c r="AK13" s="153"/>
      <c r="AL13" s="153"/>
      <c r="AM13" s="153"/>
      <c r="AN13" s="153"/>
      <c r="AO13" s="153"/>
      <c r="AP13" s="169"/>
      <c r="AQ13" s="158"/>
      <c r="AR13" s="152"/>
      <c r="AS13" s="152"/>
      <c r="AT13" s="152"/>
      <c r="AU13" s="152"/>
      <c r="AV13" s="152"/>
      <c r="AW13" s="152"/>
      <c r="AX13" s="152"/>
      <c r="AY13" s="158"/>
      <c r="AZ13" s="180">
        <v>10013983</v>
      </c>
      <c r="BA13" s="179" t="s">
        <v>34</v>
      </c>
      <c r="BB13" s="126">
        <v>1</v>
      </c>
      <c r="BC13" s="126" t="s">
        <v>35</v>
      </c>
      <c r="BD13" s="179" t="s">
        <v>36</v>
      </c>
      <c r="BE13" s="179" t="s">
        <v>37</v>
      </c>
      <c r="BF13" s="179"/>
      <c r="BG13" s="179"/>
    </row>
    <row r="14" spans="1:59">
      <c r="A14" s="127">
        <f t="shared" si="10"/>
        <v>1</v>
      </c>
      <c r="B14" s="150" t="str">
        <f t="shared" si="11"/>
        <v>1/1</v>
      </c>
      <c r="C14" s="151"/>
      <c r="D14" s="153"/>
      <c r="E14" s="153"/>
      <c r="F14" s="153"/>
      <c r="G14" s="153"/>
      <c r="H14" s="153"/>
      <c r="I14" s="153"/>
      <c r="J14" s="153"/>
      <c r="K14" s="159"/>
      <c r="L14" s="153"/>
      <c r="M14" s="153"/>
      <c r="N14" s="153"/>
      <c r="O14" s="153"/>
      <c r="P14" s="153"/>
      <c r="Q14" s="153" t="s">
        <v>9</v>
      </c>
      <c r="R14" s="153"/>
      <c r="S14" s="159"/>
      <c r="T14" s="153"/>
      <c r="U14" s="153"/>
      <c r="V14" s="153"/>
      <c r="W14" s="153"/>
      <c r="X14" s="153"/>
      <c r="Y14" s="153"/>
      <c r="Z14" s="153"/>
      <c r="AA14" s="159"/>
      <c r="AB14" s="153"/>
      <c r="AC14" s="153"/>
      <c r="AD14" s="153"/>
      <c r="AE14" s="153"/>
      <c r="AF14" s="153"/>
      <c r="AG14" s="153"/>
      <c r="AH14" s="153"/>
      <c r="AI14" s="159"/>
      <c r="AJ14" s="153"/>
      <c r="AK14" s="153"/>
      <c r="AL14" s="153"/>
      <c r="AM14" s="153"/>
      <c r="AN14" s="153"/>
      <c r="AO14" s="153"/>
      <c r="AP14" s="169"/>
      <c r="AQ14" s="158"/>
      <c r="AR14" s="152"/>
      <c r="AS14" s="152"/>
      <c r="AT14" s="152"/>
      <c r="AU14" s="152"/>
      <c r="AV14" s="152"/>
      <c r="AW14" s="152"/>
      <c r="AX14" s="152"/>
      <c r="AY14" s="158"/>
      <c r="AZ14" s="180">
        <v>10041913</v>
      </c>
      <c r="BA14" s="179" t="s">
        <v>38</v>
      </c>
      <c r="BB14" s="126">
        <v>1</v>
      </c>
      <c r="BC14" s="126" t="s">
        <v>35</v>
      </c>
      <c r="BD14" s="179" t="s">
        <v>39</v>
      </c>
      <c r="BE14" s="179" t="s">
        <v>37</v>
      </c>
      <c r="BF14" s="179"/>
      <c r="BG14" s="179"/>
    </row>
    <row r="15" spans="1:59">
      <c r="A15" s="127">
        <f t="shared" si="10"/>
        <v>1</v>
      </c>
      <c r="B15" s="150" t="str">
        <f t="shared" si="11"/>
        <v>1/1</v>
      </c>
      <c r="C15" s="151"/>
      <c r="D15" s="153"/>
      <c r="E15" s="153"/>
      <c r="F15" s="153"/>
      <c r="G15" s="153"/>
      <c r="H15" s="153"/>
      <c r="I15" s="153"/>
      <c r="J15" s="153"/>
      <c r="K15" s="159"/>
      <c r="L15" s="153"/>
      <c r="M15" s="153"/>
      <c r="N15" s="153"/>
      <c r="O15" s="153"/>
      <c r="P15" s="153" t="s">
        <v>9</v>
      </c>
      <c r="Q15" s="153"/>
      <c r="R15" s="153"/>
      <c r="S15" s="159"/>
      <c r="T15" s="153"/>
      <c r="U15" s="153"/>
      <c r="V15" s="153"/>
      <c r="W15" s="153"/>
      <c r="X15" s="153"/>
      <c r="Y15" s="153"/>
      <c r="Z15" s="153"/>
      <c r="AA15" s="159"/>
      <c r="AB15" s="153"/>
      <c r="AC15" s="153"/>
      <c r="AD15" s="153"/>
      <c r="AE15" s="153"/>
      <c r="AF15" s="153"/>
      <c r="AG15" s="153"/>
      <c r="AH15" s="153"/>
      <c r="AI15" s="159"/>
      <c r="AJ15" s="153"/>
      <c r="AK15" s="153"/>
      <c r="AL15" s="153"/>
      <c r="AM15" s="153"/>
      <c r="AN15" s="153"/>
      <c r="AO15" s="153"/>
      <c r="AP15" s="169"/>
      <c r="AQ15" s="158"/>
      <c r="AR15" s="152"/>
      <c r="AS15" s="152"/>
      <c r="AT15" s="152"/>
      <c r="AU15" s="152"/>
      <c r="AV15" s="152"/>
      <c r="AW15" s="152"/>
      <c r="AX15" s="152"/>
      <c r="AY15" s="158"/>
      <c r="AZ15" s="180">
        <v>10013986</v>
      </c>
      <c r="BA15" s="179" t="s">
        <v>40</v>
      </c>
      <c r="BB15" s="126">
        <v>1</v>
      </c>
      <c r="BC15" s="126" t="s">
        <v>41</v>
      </c>
      <c r="BD15" s="179" t="s">
        <v>42</v>
      </c>
      <c r="BE15" s="179" t="s">
        <v>43</v>
      </c>
      <c r="BF15" s="179"/>
      <c r="BG15" s="179"/>
    </row>
    <row r="16" spans="1:59">
      <c r="A16" s="127">
        <f t="shared" si="10"/>
        <v>2</v>
      </c>
      <c r="B16" s="150" t="str">
        <f t="shared" si="11"/>
        <v>2/1</v>
      </c>
      <c r="C16" s="151"/>
      <c r="D16" s="153"/>
      <c r="E16" s="153"/>
      <c r="F16" s="153"/>
      <c r="G16" s="153"/>
      <c r="H16" s="153"/>
      <c r="I16" s="153"/>
      <c r="J16" s="153"/>
      <c r="K16" s="159"/>
      <c r="L16" s="153"/>
      <c r="M16" s="153"/>
      <c r="N16" s="153"/>
      <c r="O16" s="153" t="s">
        <v>9</v>
      </c>
      <c r="P16" s="153"/>
      <c r="Q16" s="153"/>
      <c r="R16" s="153"/>
      <c r="S16" s="159"/>
      <c r="T16" s="153"/>
      <c r="U16" s="153" t="s">
        <v>9</v>
      </c>
      <c r="V16" s="153"/>
      <c r="W16" s="153"/>
      <c r="X16" s="153"/>
      <c r="Y16" s="153"/>
      <c r="Z16" s="153"/>
      <c r="AA16" s="159"/>
      <c r="AB16" s="153"/>
      <c r="AC16" s="153"/>
      <c r="AD16" s="153"/>
      <c r="AE16" s="153"/>
      <c r="AF16" s="153"/>
      <c r="AG16" s="153"/>
      <c r="AH16" s="153"/>
      <c r="AI16" s="159"/>
      <c r="AJ16" s="153"/>
      <c r="AK16" s="153"/>
      <c r="AL16" s="153"/>
      <c r="AM16" s="153"/>
      <c r="AN16" s="153"/>
      <c r="AO16" s="153"/>
      <c r="AP16" s="169"/>
      <c r="AQ16" s="158"/>
      <c r="AR16" s="152"/>
      <c r="AS16" s="152"/>
      <c r="AT16" s="152"/>
      <c r="AU16" s="152"/>
      <c r="AV16" s="152"/>
      <c r="AW16" s="152"/>
      <c r="AX16" s="152"/>
      <c r="AY16" s="158"/>
      <c r="AZ16" s="180">
        <v>10026103</v>
      </c>
      <c r="BA16" s="179" t="s">
        <v>44</v>
      </c>
      <c r="BB16" s="126">
        <v>1</v>
      </c>
      <c r="BC16" s="126" t="s">
        <v>41</v>
      </c>
      <c r="BD16" s="179" t="s">
        <v>45</v>
      </c>
      <c r="BE16" s="179" t="s">
        <v>43</v>
      </c>
      <c r="BF16" s="179"/>
      <c r="BG16" s="179"/>
    </row>
    <row r="17" spans="1:59">
      <c r="A17" s="127">
        <f t="shared" si="10"/>
        <v>1</v>
      </c>
      <c r="B17" s="150" t="str">
        <f t="shared" si="11"/>
        <v>1/1</v>
      </c>
      <c r="C17" s="151"/>
      <c r="D17" s="153"/>
      <c r="E17" s="153"/>
      <c r="F17" s="153"/>
      <c r="G17" s="153"/>
      <c r="H17" s="153"/>
      <c r="I17" s="153"/>
      <c r="J17" s="153"/>
      <c r="K17" s="159"/>
      <c r="L17" s="153"/>
      <c r="M17" s="153"/>
      <c r="N17" s="153"/>
      <c r="O17" s="153"/>
      <c r="P17" s="153"/>
      <c r="Q17" s="153"/>
      <c r="R17" s="153"/>
      <c r="S17" s="159"/>
      <c r="T17" s="153"/>
      <c r="U17" s="153" t="s">
        <v>9</v>
      </c>
      <c r="V17" s="153"/>
      <c r="W17" s="153"/>
      <c r="X17" s="153"/>
      <c r="Y17" s="153"/>
      <c r="Z17" s="153"/>
      <c r="AA17" s="159"/>
      <c r="AB17" s="153"/>
      <c r="AC17" s="153"/>
      <c r="AD17" s="153"/>
      <c r="AE17" s="153"/>
      <c r="AF17" s="153"/>
      <c r="AG17" s="153"/>
      <c r="AH17" s="153"/>
      <c r="AI17" s="159"/>
      <c r="AJ17" s="153"/>
      <c r="AK17" s="153"/>
      <c r="AL17" s="153"/>
      <c r="AM17" s="153"/>
      <c r="AN17" s="153"/>
      <c r="AO17" s="153"/>
      <c r="AP17" s="169"/>
      <c r="AQ17" s="158"/>
      <c r="AR17" s="152"/>
      <c r="AS17" s="152"/>
      <c r="AT17" s="152"/>
      <c r="AU17" s="152"/>
      <c r="AV17" s="152"/>
      <c r="AW17" s="152"/>
      <c r="AX17" s="152"/>
      <c r="AY17" s="158"/>
      <c r="AZ17" s="180">
        <v>10042355</v>
      </c>
      <c r="BA17" s="179" t="s">
        <v>46</v>
      </c>
      <c r="BB17" s="126">
        <v>1</v>
      </c>
      <c r="BC17" s="126" t="s">
        <v>47</v>
      </c>
      <c r="BD17" s="179" t="s">
        <v>48</v>
      </c>
      <c r="BE17" s="179" t="s">
        <v>49</v>
      </c>
      <c r="BF17" s="179"/>
      <c r="BG17" s="179"/>
    </row>
    <row r="18" spans="1:59">
      <c r="A18" s="127">
        <f t="shared" si="10"/>
        <v>2</v>
      </c>
      <c r="B18" s="150" t="str">
        <f t="shared" si="11"/>
        <v>2/1</v>
      </c>
      <c r="C18" s="151"/>
      <c r="D18" s="153"/>
      <c r="E18" s="153"/>
      <c r="F18" s="153"/>
      <c r="G18" s="153"/>
      <c r="H18" s="153"/>
      <c r="I18" s="153"/>
      <c r="J18" s="153"/>
      <c r="K18" s="159"/>
      <c r="L18" s="153"/>
      <c r="M18" s="153"/>
      <c r="N18" s="153"/>
      <c r="O18" s="153"/>
      <c r="P18" s="153"/>
      <c r="Q18" s="153"/>
      <c r="R18" s="153"/>
      <c r="S18" s="159"/>
      <c r="T18" s="153"/>
      <c r="U18" s="153"/>
      <c r="V18" s="153" t="s">
        <v>9</v>
      </c>
      <c r="W18" s="153" t="s">
        <v>9</v>
      </c>
      <c r="X18" s="153"/>
      <c r="Y18" s="153"/>
      <c r="Z18" s="153"/>
      <c r="AA18" s="159"/>
      <c r="AB18" s="153"/>
      <c r="AC18" s="153"/>
      <c r="AD18" s="153"/>
      <c r="AE18" s="153"/>
      <c r="AF18" s="153"/>
      <c r="AG18" s="153"/>
      <c r="AH18" s="153"/>
      <c r="AI18" s="159"/>
      <c r="AJ18" s="153"/>
      <c r="AK18" s="153"/>
      <c r="AL18" s="153"/>
      <c r="AM18" s="153"/>
      <c r="AN18" s="153"/>
      <c r="AO18" s="153"/>
      <c r="AP18" s="169"/>
      <c r="AQ18" s="158"/>
      <c r="AR18" s="152"/>
      <c r="AS18" s="152"/>
      <c r="AT18" s="152"/>
      <c r="AU18" s="152"/>
      <c r="AV18" s="152"/>
      <c r="AW18" s="152"/>
      <c r="AX18" s="152"/>
      <c r="AY18" s="158"/>
      <c r="AZ18" s="180">
        <v>10040938</v>
      </c>
      <c r="BA18" s="179" t="s">
        <v>50</v>
      </c>
      <c r="BB18" s="126">
        <v>1</v>
      </c>
      <c r="BC18" s="126" t="s">
        <v>51</v>
      </c>
      <c r="BD18" s="179" t="s">
        <v>52</v>
      </c>
      <c r="BE18" s="179" t="s">
        <v>53</v>
      </c>
      <c r="BF18" s="179"/>
      <c r="BG18" s="179"/>
    </row>
    <row r="19" spans="1:59">
      <c r="A19" s="127">
        <f t="shared" si="10"/>
        <v>1</v>
      </c>
      <c r="B19" s="150" t="str">
        <f t="shared" si="11"/>
        <v>1/1</v>
      </c>
      <c r="C19" s="151"/>
      <c r="D19" s="153"/>
      <c r="E19" s="153"/>
      <c r="F19" s="153"/>
      <c r="G19" s="153"/>
      <c r="H19" s="153"/>
      <c r="I19" s="153"/>
      <c r="J19" s="153"/>
      <c r="K19" s="159"/>
      <c r="L19" s="153"/>
      <c r="M19" s="153"/>
      <c r="N19" s="153"/>
      <c r="O19" s="153"/>
      <c r="P19" s="153"/>
      <c r="Q19" s="153"/>
      <c r="R19" s="153"/>
      <c r="S19" s="159"/>
      <c r="T19" s="153"/>
      <c r="U19" s="153"/>
      <c r="V19" s="153"/>
      <c r="W19" s="153"/>
      <c r="X19" s="153" t="s">
        <v>9</v>
      </c>
      <c r="Y19" s="153"/>
      <c r="Z19" s="153"/>
      <c r="AA19" s="159"/>
      <c r="AB19" s="153"/>
      <c r="AC19" s="153"/>
      <c r="AD19" s="153"/>
      <c r="AE19" s="153"/>
      <c r="AF19" s="153"/>
      <c r="AG19" s="153"/>
      <c r="AH19" s="153"/>
      <c r="AI19" s="159"/>
      <c r="AJ19" s="153"/>
      <c r="AK19" s="153"/>
      <c r="AL19" s="153"/>
      <c r="AM19" s="153"/>
      <c r="AN19" s="153"/>
      <c r="AO19" s="153"/>
      <c r="AP19" s="169"/>
      <c r="AQ19" s="158"/>
      <c r="AR19" s="152"/>
      <c r="AS19" s="152"/>
      <c r="AT19" s="152"/>
      <c r="AU19" s="152"/>
      <c r="AV19" s="152"/>
      <c r="AW19" s="152"/>
      <c r="AX19" s="152"/>
      <c r="AY19" s="158"/>
      <c r="AZ19" s="180">
        <v>10042780</v>
      </c>
      <c r="BA19" s="179" t="s">
        <v>54</v>
      </c>
      <c r="BB19" s="126">
        <v>1</v>
      </c>
      <c r="BC19" s="126" t="s">
        <v>51</v>
      </c>
      <c r="BD19" s="179" t="s">
        <v>55</v>
      </c>
      <c r="BE19" s="179" t="s">
        <v>53</v>
      </c>
      <c r="BF19" s="179"/>
      <c r="BG19" s="179"/>
    </row>
    <row r="20" spans="1:59">
      <c r="A20" s="127">
        <f t="shared" si="10"/>
        <v>1</v>
      </c>
      <c r="B20" s="150" t="str">
        <f t="shared" si="11"/>
        <v>1/1</v>
      </c>
      <c r="C20" s="151"/>
      <c r="D20" s="153"/>
      <c r="E20" s="153"/>
      <c r="F20" s="153"/>
      <c r="G20" s="153"/>
      <c r="H20" s="153"/>
      <c r="I20" s="153"/>
      <c r="J20" s="153"/>
      <c r="K20" s="159"/>
      <c r="L20" s="153"/>
      <c r="M20" s="153"/>
      <c r="N20" s="153"/>
      <c r="O20" s="153"/>
      <c r="P20" s="153"/>
      <c r="Q20" s="153"/>
      <c r="R20" s="153"/>
      <c r="S20" s="159"/>
      <c r="T20" s="153"/>
      <c r="U20" s="153"/>
      <c r="V20" s="153"/>
      <c r="W20" s="153"/>
      <c r="X20" s="153"/>
      <c r="Y20" s="153" t="s">
        <v>9</v>
      </c>
      <c r="Z20" s="153"/>
      <c r="AA20" s="159"/>
      <c r="AB20" s="153"/>
      <c r="AC20" s="153"/>
      <c r="AD20" s="153"/>
      <c r="AE20" s="153"/>
      <c r="AF20" s="153"/>
      <c r="AG20" s="153"/>
      <c r="AH20" s="153"/>
      <c r="AI20" s="159"/>
      <c r="AJ20" s="153"/>
      <c r="AK20" s="153"/>
      <c r="AL20" s="153"/>
      <c r="AM20" s="153"/>
      <c r="AN20" s="153"/>
      <c r="AO20" s="153"/>
      <c r="AP20" s="169"/>
      <c r="AQ20" s="158"/>
      <c r="AR20" s="152"/>
      <c r="AS20" s="152"/>
      <c r="AT20" s="152"/>
      <c r="AU20" s="152"/>
      <c r="AV20" s="152"/>
      <c r="AW20" s="152"/>
      <c r="AX20" s="152"/>
      <c r="AY20" s="158"/>
      <c r="AZ20" s="180">
        <v>10044549</v>
      </c>
      <c r="BA20" s="179" t="s">
        <v>56</v>
      </c>
      <c r="BB20" s="126">
        <v>1</v>
      </c>
      <c r="BC20" s="126" t="s">
        <v>51</v>
      </c>
      <c r="BD20" s="179" t="s">
        <v>57</v>
      </c>
      <c r="BE20" s="179" t="s">
        <v>53</v>
      </c>
      <c r="BF20" s="179"/>
      <c r="BG20" s="179"/>
    </row>
    <row r="21" spans="1:59">
      <c r="A21" s="127">
        <f t="shared" si="10"/>
        <v>1</v>
      </c>
      <c r="B21" s="150" t="str">
        <f t="shared" si="11"/>
        <v>1/1</v>
      </c>
      <c r="C21" s="151"/>
      <c r="D21" s="153"/>
      <c r="E21" s="153"/>
      <c r="F21" s="153"/>
      <c r="G21" s="153"/>
      <c r="H21" s="153"/>
      <c r="I21" s="153"/>
      <c r="J21" s="153"/>
      <c r="K21" s="159"/>
      <c r="L21" s="153"/>
      <c r="M21" s="153"/>
      <c r="N21" s="153"/>
      <c r="O21" s="153"/>
      <c r="P21" s="153"/>
      <c r="Q21" s="153"/>
      <c r="R21" s="153"/>
      <c r="S21" s="159"/>
      <c r="T21" s="153"/>
      <c r="U21" s="153"/>
      <c r="V21" s="153"/>
      <c r="W21" s="153"/>
      <c r="X21" s="153"/>
      <c r="Y21" s="153"/>
      <c r="Z21" s="153"/>
      <c r="AA21" s="159"/>
      <c r="AB21" s="153"/>
      <c r="AC21" s="153" t="s">
        <v>9</v>
      </c>
      <c r="AD21" s="153"/>
      <c r="AE21" s="153"/>
      <c r="AF21" s="153"/>
      <c r="AG21" s="153"/>
      <c r="AH21" s="153"/>
      <c r="AI21" s="159"/>
      <c r="AJ21" s="153"/>
      <c r="AK21" s="153"/>
      <c r="AL21" s="153"/>
      <c r="AM21" s="153"/>
      <c r="AN21" s="153"/>
      <c r="AO21" s="153"/>
      <c r="AP21" s="169"/>
      <c r="AQ21" s="158"/>
      <c r="AR21" s="152"/>
      <c r="AS21" s="152"/>
      <c r="AT21" s="152"/>
      <c r="AU21" s="152"/>
      <c r="AV21" s="152"/>
      <c r="AW21" s="152"/>
      <c r="AX21" s="152"/>
      <c r="AY21" s="158"/>
      <c r="AZ21" s="180">
        <v>10046046</v>
      </c>
      <c r="BA21" s="179" t="s">
        <v>58</v>
      </c>
      <c r="BB21" s="126">
        <v>1</v>
      </c>
      <c r="BC21" s="126" t="s">
        <v>51</v>
      </c>
      <c r="BD21" s="179" t="s">
        <v>59</v>
      </c>
      <c r="BE21" s="179" t="s">
        <v>53</v>
      </c>
      <c r="BF21" s="179"/>
      <c r="BG21" s="179"/>
    </row>
    <row r="22" spans="1:59">
      <c r="A22" s="127">
        <f t="shared" si="10"/>
        <v>2</v>
      </c>
      <c r="B22" s="150" t="str">
        <f t="shared" si="11"/>
        <v>3/1</v>
      </c>
      <c r="C22" s="151"/>
      <c r="D22" s="153"/>
      <c r="E22" s="153"/>
      <c r="F22" s="153"/>
      <c r="G22" s="153"/>
      <c r="H22" s="153"/>
      <c r="I22" s="153"/>
      <c r="J22" s="153"/>
      <c r="K22" s="159"/>
      <c r="L22" s="153"/>
      <c r="M22" s="153"/>
      <c r="N22" s="153"/>
      <c r="O22" s="153"/>
      <c r="P22" s="153"/>
      <c r="Q22" s="153"/>
      <c r="R22" s="153"/>
      <c r="S22" s="159"/>
      <c r="T22" s="153"/>
      <c r="U22" s="153"/>
      <c r="V22" s="153"/>
      <c r="W22" s="153"/>
      <c r="X22" s="153"/>
      <c r="Y22" s="153"/>
      <c r="Z22" s="153"/>
      <c r="AA22" s="159"/>
      <c r="AB22" s="153"/>
      <c r="AC22" s="153" t="s">
        <v>9</v>
      </c>
      <c r="AD22" s="153" t="s">
        <v>9</v>
      </c>
      <c r="AE22" s="153" t="s">
        <v>9</v>
      </c>
      <c r="AF22" s="153"/>
      <c r="AG22" s="153"/>
      <c r="AH22" s="153"/>
      <c r="AI22" s="159"/>
      <c r="AJ22" s="153"/>
      <c r="AK22" s="153"/>
      <c r="AL22" s="153"/>
      <c r="AM22" s="153"/>
      <c r="AN22" s="153"/>
      <c r="AO22" s="153"/>
      <c r="AP22" s="169"/>
      <c r="AQ22" s="158"/>
      <c r="AR22" s="152"/>
      <c r="AS22" s="152"/>
      <c r="AT22" s="152"/>
      <c r="AU22" s="152"/>
      <c r="AV22" s="152"/>
      <c r="AW22" s="152"/>
      <c r="AX22" s="152"/>
      <c r="AY22" s="158"/>
      <c r="AZ22" s="180">
        <v>10045082</v>
      </c>
      <c r="BA22" s="179" t="s">
        <v>60</v>
      </c>
      <c r="BB22" s="126">
        <v>1</v>
      </c>
      <c r="BC22" s="126" t="s">
        <v>61</v>
      </c>
      <c r="BD22" s="179" t="s">
        <v>62</v>
      </c>
      <c r="BE22" s="179" t="s">
        <v>63</v>
      </c>
      <c r="BF22" s="179"/>
      <c r="BG22" s="179"/>
    </row>
    <row r="23" spans="1:59">
      <c r="A23" s="127">
        <f t="shared" si="10"/>
        <v>1</v>
      </c>
      <c r="B23" s="150" t="str">
        <f t="shared" si="11"/>
        <v>1/1</v>
      </c>
      <c r="C23" s="151"/>
      <c r="D23" s="153"/>
      <c r="E23" s="153"/>
      <c r="F23" s="153"/>
      <c r="G23" s="153"/>
      <c r="H23" s="153"/>
      <c r="I23" s="153"/>
      <c r="J23" s="153"/>
      <c r="K23" s="159"/>
      <c r="L23" s="153"/>
      <c r="M23" s="153"/>
      <c r="N23" s="153"/>
      <c r="O23" s="153"/>
      <c r="P23" s="153"/>
      <c r="Q23" s="153"/>
      <c r="R23" s="153"/>
      <c r="S23" s="159"/>
      <c r="T23" s="153"/>
      <c r="U23" s="153"/>
      <c r="V23" s="153"/>
      <c r="W23" s="153"/>
      <c r="X23" s="153"/>
      <c r="Y23" s="153"/>
      <c r="Z23" s="153"/>
      <c r="AA23" s="159"/>
      <c r="AB23" s="153"/>
      <c r="AC23" s="153"/>
      <c r="AD23" s="153"/>
      <c r="AE23" s="153" t="s">
        <v>9</v>
      </c>
      <c r="AF23" s="153"/>
      <c r="AG23" s="153"/>
      <c r="AH23" s="153"/>
      <c r="AI23" s="159"/>
      <c r="AJ23" s="153"/>
      <c r="AK23" s="153"/>
      <c r="AL23" s="153"/>
      <c r="AM23" s="153"/>
      <c r="AN23" s="153"/>
      <c r="AO23" s="153"/>
      <c r="AP23" s="169"/>
      <c r="AQ23" s="158"/>
      <c r="AR23" s="152"/>
      <c r="AS23" s="152"/>
      <c r="AT23" s="152"/>
      <c r="AU23" s="152"/>
      <c r="AV23" s="152"/>
      <c r="AW23" s="152"/>
      <c r="AX23" s="152"/>
      <c r="AY23" s="158"/>
      <c r="AZ23" s="180">
        <v>10042714</v>
      </c>
      <c r="BA23" s="179" t="s">
        <v>64</v>
      </c>
      <c r="BB23" s="126">
        <v>1</v>
      </c>
      <c r="BC23" s="126" t="s">
        <v>65</v>
      </c>
      <c r="BD23" s="179" t="s">
        <v>66</v>
      </c>
      <c r="BE23" s="179" t="s">
        <v>67</v>
      </c>
      <c r="BF23" s="179"/>
      <c r="BG23" s="179"/>
    </row>
    <row r="24" spans="1:59">
      <c r="A24" s="127">
        <f t="shared" si="10"/>
        <v>1</v>
      </c>
      <c r="B24" s="150" t="str">
        <f t="shared" si="11"/>
        <v>1/1</v>
      </c>
      <c r="C24" s="151"/>
      <c r="D24" s="153"/>
      <c r="E24" s="153"/>
      <c r="F24" s="153"/>
      <c r="G24" s="153"/>
      <c r="H24" s="153"/>
      <c r="I24" s="153"/>
      <c r="J24" s="153"/>
      <c r="K24" s="159"/>
      <c r="L24" s="153"/>
      <c r="M24" s="153"/>
      <c r="N24" s="153"/>
      <c r="O24" s="153"/>
      <c r="P24" s="153"/>
      <c r="Q24" s="153"/>
      <c r="R24" s="153"/>
      <c r="S24" s="159"/>
      <c r="T24" s="153"/>
      <c r="U24" s="153"/>
      <c r="V24" s="153"/>
      <c r="W24" s="153"/>
      <c r="X24" s="153"/>
      <c r="Y24" s="153"/>
      <c r="Z24" s="153"/>
      <c r="AA24" s="159"/>
      <c r="AB24" s="153"/>
      <c r="AC24" s="153"/>
      <c r="AD24" s="153"/>
      <c r="AE24" s="153" t="s">
        <v>9</v>
      </c>
      <c r="AF24" s="153"/>
      <c r="AG24" s="153"/>
      <c r="AH24" s="153"/>
      <c r="AI24" s="159"/>
      <c r="AJ24" s="153"/>
      <c r="AK24" s="153"/>
      <c r="AL24" s="153"/>
      <c r="AM24" s="153"/>
      <c r="AN24" s="153"/>
      <c r="AO24" s="153"/>
      <c r="AP24" s="169"/>
      <c r="AQ24" s="158"/>
      <c r="AR24" s="152"/>
      <c r="AS24" s="152"/>
      <c r="AT24" s="152"/>
      <c r="AU24" s="152"/>
      <c r="AV24" s="152"/>
      <c r="AW24" s="152"/>
      <c r="AX24" s="152"/>
      <c r="AY24" s="158"/>
      <c r="AZ24" s="180">
        <v>10043488</v>
      </c>
      <c r="BA24" s="179" t="s">
        <v>68</v>
      </c>
      <c r="BB24" s="126">
        <v>1</v>
      </c>
      <c r="BC24" s="126" t="s">
        <v>69</v>
      </c>
      <c r="BD24" s="179" t="s">
        <v>16</v>
      </c>
      <c r="BE24" s="179" t="s">
        <v>70</v>
      </c>
      <c r="BF24" s="179"/>
      <c r="BG24" s="179"/>
    </row>
    <row r="25" spans="1:59">
      <c r="A25" s="127">
        <f t="shared" si="10"/>
        <v>1</v>
      </c>
      <c r="B25" s="150" t="str">
        <f t="shared" si="11"/>
        <v>1/1</v>
      </c>
      <c r="C25" s="151"/>
      <c r="D25" s="153"/>
      <c r="E25" s="153"/>
      <c r="F25" s="153"/>
      <c r="G25" s="153"/>
      <c r="H25" s="153"/>
      <c r="I25" s="153"/>
      <c r="J25" s="153"/>
      <c r="K25" s="159"/>
      <c r="L25" s="153"/>
      <c r="M25" s="153"/>
      <c r="N25" s="153"/>
      <c r="O25" s="153"/>
      <c r="P25" s="153"/>
      <c r="Q25" s="153"/>
      <c r="R25" s="153"/>
      <c r="S25" s="159"/>
      <c r="T25" s="153"/>
      <c r="U25" s="153"/>
      <c r="V25" s="153"/>
      <c r="W25" s="153"/>
      <c r="X25" s="153"/>
      <c r="Y25" s="153"/>
      <c r="Z25" s="153"/>
      <c r="AA25" s="159"/>
      <c r="AB25" s="153"/>
      <c r="AC25" s="153"/>
      <c r="AD25" s="153"/>
      <c r="AE25" s="153"/>
      <c r="AF25" s="153" t="s">
        <v>9</v>
      </c>
      <c r="AG25" s="153"/>
      <c r="AH25" s="153"/>
      <c r="AI25" s="159"/>
      <c r="AJ25" s="153"/>
      <c r="AK25" s="153"/>
      <c r="AL25" s="153"/>
      <c r="AM25" s="153"/>
      <c r="AN25" s="153"/>
      <c r="AO25" s="153"/>
      <c r="AP25" s="169"/>
      <c r="AQ25" s="158"/>
      <c r="AR25" s="152"/>
      <c r="AS25" s="152"/>
      <c r="AT25" s="152"/>
      <c r="AU25" s="152"/>
      <c r="AV25" s="152"/>
      <c r="AW25" s="152"/>
      <c r="AX25" s="152"/>
      <c r="AY25" s="158"/>
      <c r="AZ25" s="180">
        <v>10014007</v>
      </c>
      <c r="BA25" s="179" t="s">
        <v>71</v>
      </c>
      <c r="BB25" s="126">
        <v>1</v>
      </c>
      <c r="BC25" s="126" t="s">
        <v>72</v>
      </c>
      <c r="BD25" s="179" t="s">
        <v>73</v>
      </c>
      <c r="BE25" s="179" t="s">
        <v>74</v>
      </c>
      <c r="BF25" s="179"/>
      <c r="BG25" s="179"/>
    </row>
    <row r="26" spans="1:59">
      <c r="A26" s="127">
        <f t="shared" si="10"/>
        <v>1</v>
      </c>
      <c r="B26" s="150" t="str">
        <f t="shared" si="11"/>
        <v>1/1</v>
      </c>
      <c r="C26" s="151"/>
      <c r="D26" s="153"/>
      <c r="E26" s="153"/>
      <c r="F26" s="153"/>
      <c r="G26" s="153"/>
      <c r="H26" s="153"/>
      <c r="I26" s="153"/>
      <c r="J26" s="153"/>
      <c r="K26" s="159"/>
      <c r="L26" s="153"/>
      <c r="M26" s="153"/>
      <c r="N26" s="153"/>
      <c r="O26" s="153"/>
      <c r="P26" s="153"/>
      <c r="Q26" s="153"/>
      <c r="R26" s="153"/>
      <c r="S26" s="159"/>
      <c r="T26" s="153"/>
      <c r="U26" s="153"/>
      <c r="V26" s="153"/>
      <c r="W26" s="153"/>
      <c r="X26" s="153"/>
      <c r="Y26" s="153"/>
      <c r="Z26" s="153"/>
      <c r="AA26" s="159"/>
      <c r="AB26" s="153"/>
      <c r="AC26" s="153"/>
      <c r="AD26" s="153"/>
      <c r="AE26" s="153"/>
      <c r="AF26" s="153"/>
      <c r="AG26" s="153" t="s">
        <v>9</v>
      </c>
      <c r="AH26" s="153"/>
      <c r="AI26" s="159"/>
      <c r="AJ26" s="153"/>
      <c r="AK26" s="153"/>
      <c r="AL26" s="153"/>
      <c r="AM26" s="153"/>
      <c r="AN26" s="153"/>
      <c r="AO26" s="153"/>
      <c r="AP26" s="169"/>
      <c r="AQ26" s="158"/>
      <c r="AR26" s="152"/>
      <c r="AS26" s="152"/>
      <c r="AT26" s="152"/>
      <c r="AU26" s="152"/>
      <c r="AV26" s="152"/>
      <c r="AW26" s="152"/>
      <c r="AX26" s="152"/>
      <c r="AY26" s="158"/>
      <c r="AZ26" s="180">
        <v>10044309</v>
      </c>
      <c r="BA26" s="179" t="s">
        <v>75</v>
      </c>
      <c r="BB26" s="126">
        <v>1</v>
      </c>
      <c r="BC26" s="126" t="s">
        <v>72</v>
      </c>
      <c r="BD26" s="179" t="s">
        <v>76</v>
      </c>
      <c r="BE26" s="179" t="s">
        <v>74</v>
      </c>
      <c r="BF26" s="179"/>
      <c r="BG26" s="179"/>
    </row>
    <row r="27" spans="1:59">
      <c r="A27" s="127">
        <f t="shared" si="10"/>
        <v>1</v>
      </c>
      <c r="B27" s="150" t="str">
        <f t="shared" si="11"/>
        <v>1/1</v>
      </c>
      <c r="C27" s="151"/>
      <c r="D27" s="153"/>
      <c r="E27" s="153"/>
      <c r="F27" s="153"/>
      <c r="G27" s="153"/>
      <c r="H27" s="153"/>
      <c r="I27" s="153"/>
      <c r="J27" s="153"/>
      <c r="K27" s="159"/>
      <c r="L27" s="153"/>
      <c r="M27" s="153"/>
      <c r="N27" s="153"/>
      <c r="O27" s="153"/>
      <c r="P27" s="153"/>
      <c r="Q27" s="153"/>
      <c r="R27" s="153"/>
      <c r="S27" s="159"/>
      <c r="T27" s="153"/>
      <c r="U27" s="153"/>
      <c r="V27" s="153"/>
      <c r="W27" s="153"/>
      <c r="X27" s="153"/>
      <c r="Y27" s="153"/>
      <c r="Z27" s="153"/>
      <c r="AA27" s="159"/>
      <c r="AB27" s="153"/>
      <c r="AC27" s="153"/>
      <c r="AD27" s="153"/>
      <c r="AE27" s="153"/>
      <c r="AF27" s="153"/>
      <c r="AG27" s="153"/>
      <c r="AH27" s="153"/>
      <c r="AI27" s="159"/>
      <c r="AJ27" s="153"/>
      <c r="AK27" s="153" t="s">
        <v>9</v>
      </c>
      <c r="AL27" s="153"/>
      <c r="AM27" s="153"/>
      <c r="AN27" s="153"/>
      <c r="AO27" s="153"/>
      <c r="AP27" s="169"/>
      <c r="AQ27" s="158"/>
      <c r="AR27" s="152"/>
      <c r="AS27" s="152"/>
      <c r="AT27" s="152"/>
      <c r="AU27" s="152"/>
      <c r="AV27" s="152"/>
      <c r="AW27" s="152"/>
      <c r="AX27" s="152"/>
      <c r="AY27" s="158"/>
      <c r="AZ27" s="180">
        <v>10045755</v>
      </c>
      <c r="BA27" s="179" t="s">
        <v>77</v>
      </c>
      <c r="BB27" s="126">
        <v>1</v>
      </c>
      <c r="BC27" s="126" t="s">
        <v>78</v>
      </c>
      <c r="BD27" s="179" t="s">
        <v>79</v>
      </c>
      <c r="BE27" s="179" t="s">
        <v>80</v>
      </c>
      <c r="BF27" s="179"/>
      <c r="BG27" s="179"/>
    </row>
    <row r="28" spans="1:59">
      <c r="A28" s="127">
        <f t="shared" si="10"/>
        <v>1</v>
      </c>
      <c r="B28" s="150" t="str">
        <f t="shared" si="11"/>
        <v>1/1</v>
      </c>
      <c r="C28" s="151"/>
      <c r="D28" s="153"/>
      <c r="E28" s="153"/>
      <c r="F28" s="153"/>
      <c r="G28" s="153"/>
      <c r="H28" s="153"/>
      <c r="I28" s="153"/>
      <c r="J28" s="153"/>
      <c r="K28" s="159"/>
      <c r="L28" s="153"/>
      <c r="M28" s="153"/>
      <c r="N28" s="153"/>
      <c r="O28" s="153"/>
      <c r="P28" s="153"/>
      <c r="Q28" s="153"/>
      <c r="R28" s="153"/>
      <c r="S28" s="159"/>
      <c r="T28" s="153"/>
      <c r="U28" s="153"/>
      <c r="V28" s="153"/>
      <c r="W28" s="153"/>
      <c r="X28" s="153"/>
      <c r="Y28" s="153"/>
      <c r="Z28" s="153"/>
      <c r="AA28" s="159"/>
      <c r="AB28" s="153"/>
      <c r="AC28" s="153"/>
      <c r="AD28" s="153"/>
      <c r="AE28" s="153"/>
      <c r="AF28" s="153"/>
      <c r="AG28" s="153"/>
      <c r="AH28" s="153"/>
      <c r="AI28" s="159"/>
      <c r="AJ28" s="153"/>
      <c r="AK28" s="153"/>
      <c r="AL28" s="153" t="s">
        <v>9</v>
      </c>
      <c r="AM28" s="153"/>
      <c r="AN28" s="153"/>
      <c r="AO28" s="153"/>
      <c r="AP28" s="169"/>
      <c r="AQ28" s="158"/>
      <c r="AR28" s="152"/>
      <c r="AS28" s="152"/>
      <c r="AT28" s="152"/>
      <c r="AU28" s="152"/>
      <c r="AV28" s="152"/>
      <c r="AW28" s="152"/>
      <c r="AX28" s="152"/>
      <c r="AY28" s="158"/>
      <c r="AZ28" s="180">
        <v>10043615</v>
      </c>
      <c r="BA28" s="179" t="s">
        <v>81</v>
      </c>
      <c r="BB28" s="126">
        <v>1</v>
      </c>
      <c r="BC28" s="126" t="s">
        <v>82</v>
      </c>
      <c r="BD28" s="179" t="s">
        <v>83</v>
      </c>
      <c r="BE28" s="179" t="s">
        <v>84</v>
      </c>
      <c r="BF28" s="179"/>
      <c r="BG28" s="179"/>
    </row>
    <row r="29" spans="1:59">
      <c r="A29" s="127">
        <f t="shared" si="10"/>
        <v>2</v>
      </c>
      <c r="B29" s="150" t="str">
        <f t="shared" si="11"/>
        <v>2/1</v>
      </c>
      <c r="C29" s="151"/>
      <c r="D29" s="153"/>
      <c r="E29" s="153"/>
      <c r="F29" s="153"/>
      <c r="G29" s="153"/>
      <c r="H29" s="153"/>
      <c r="I29" s="153"/>
      <c r="J29" s="153"/>
      <c r="K29" s="159"/>
      <c r="L29" s="153"/>
      <c r="M29" s="153"/>
      <c r="N29" s="153"/>
      <c r="O29" s="153"/>
      <c r="P29" s="153"/>
      <c r="Q29" s="153"/>
      <c r="R29" s="153"/>
      <c r="S29" s="159"/>
      <c r="T29" s="153"/>
      <c r="U29" s="153"/>
      <c r="V29" s="153"/>
      <c r="W29" s="153"/>
      <c r="X29" s="153"/>
      <c r="Y29" s="153"/>
      <c r="Z29" s="153"/>
      <c r="AA29" s="159"/>
      <c r="AB29" s="153"/>
      <c r="AC29" s="153"/>
      <c r="AD29" s="153"/>
      <c r="AE29" s="153"/>
      <c r="AF29" s="153"/>
      <c r="AG29" s="153"/>
      <c r="AH29" s="153"/>
      <c r="AI29" s="159"/>
      <c r="AJ29" s="153"/>
      <c r="AK29" s="153"/>
      <c r="AL29" s="153"/>
      <c r="AM29" s="153" t="s">
        <v>9</v>
      </c>
      <c r="AN29" s="153" t="s">
        <v>9</v>
      </c>
      <c r="AO29" s="153"/>
      <c r="AP29" s="169"/>
      <c r="AQ29" s="158"/>
      <c r="AR29" s="152"/>
      <c r="AS29" s="152"/>
      <c r="AT29" s="152"/>
      <c r="AU29" s="152"/>
      <c r="AV29" s="152"/>
      <c r="AW29" s="152"/>
      <c r="AX29" s="152"/>
      <c r="AY29" s="158"/>
      <c r="AZ29" s="180">
        <v>10009421</v>
      </c>
      <c r="BA29" s="179" t="s">
        <v>85</v>
      </c>
      <c r="BB29" s="126">
        <v>1</v>
      </c>
      <c r="BC29" s="126" t="s">
        <v>86</v>
      </c>
      <c r="BD29" s="179" t="s">
        <v>87</v>
      </c>
      <c r="BE29" s="179" t="s">
        <v>88</v>
      </c>
      <c r="BF29" s="179"/>
      <c r="BG29" s="179"/>
    </row>
    <row r="30" spans="1:59">
      <c r="A30" s="127">
        <f t="shared" si="10"/>
        <v>2</v>
      </c>
      <c r="B30" s="150" t="str">
        <f t="shared" si="11"/>
        <v>2/1</v>
      </c>
      <c r="C30" s="151"/>
      <c r="D30" s="153"/>
      <c r="E30" s="153"/>
      <c r="F30" s="153"/>
      <c r="G30" s="153"/>
      <c r="H30" s="153"/>
      <c r="I30" s="153"/>
      <c r="J30" s="153"/>
      <c r="K30" s="159"/>
      <c r="L30" s="153"/>
      <c r="M30" s="153"/>
      <c r="N30" s="153"/>
      <c r="O30" s="153"/>
      <c r="P30" s="153"/>
      <c r="Q30" s="153"/>
      <c r="R30" s="153"/>
      <c r="S30" s="159"/>
      <c r="T30" s="153"/>
      <c r="U30" s="153"/>
      <c r="V30" s="153"/>
      <c r="W30" s="153"/>
      <c r="X30" s="153"/>
      <c r="Y30" s="153"/>
      <c r="Z30" s="153"/>
      <c r="AA30" s="159"/>
      <c r="AB30" s="153"/>
      <c r="AC30" s="153"/>
      <c r="AD30" s="153"/>
      <c r="AE30" s="153"/>
      <c r="AF30" s="153"/>
      <c r="AG30" s="153"/>
      <c r="AH30" s="153"/>
      <c r="AI30" s="159"/>
      <c r="AJ30" s="153"/>
      <c r="AK30" s="153"/>
      <c r="AL30" s="153"/>
      <c r="AM30" s="153"/>
      <c r="AN30" s="153" t="s">
        <v>9</v>
      </c>
      <c r="AO30" s="153" t="s">
        <v>9</v>
      </c>
      <c r="AP30" s="169"/>
      <c r="AQ30" s="158"/>
      <c r="AR30" s="152"/>
      <c r="AS30" s="152"/>
      <c r="AT30" s="152"/>
      <c r="AU30" s="152"/>
      <c r="AV30" s="152"/>
      <c r="AW30" s="152"/>
      <c r="AX30" s="152"/>
      <c r="AY30" s="158"/>
      <c r="AZ30" s="180">
        <v>10025636</v>
      </c>
      <c r="BA30" s="179" t="s">
        <v>89</v>
      </c>
      <c r="BB30" s="126">
        <v>1</v>
      </c>
      <c r="BC30" s="126" t="s">
        <v>86</v>
      </c>
      <c r="BD30" s="179" t="s">
        <v>90</v>
      </c>
      <c r="BE30" s="179" t="s">
        <v>88</v>
      </c>
      <c r="BF30" s="179"/>
      <c r="BG30" s="179"/>
    </row>
    <row r="31" spans="1:59">
      <c r="A31" s="127">
        <f t="shared" si="10"/>
        <v>1</v>
      </c>
      <c r="B31" s="150" t="str">
        <f t="shared" si="11"/>
        <v>1/1</v>
      </c>
      <c r="C31" s="151"/>
      <c r="D31" s="153"/>
      <c r="E31" s="153"/>
      <c r="F31" s="153"/>
      <c r="G31" s="153"/>
      <c r="H31" s="153"/>
      <c r="I31" s="153"/>
      <c r="J31" s="153"/>
      <c r="K31" s="159"/>
      <c r="L31" s="153"/>
      <c r="M31" s="153"/>
      <c r="N31" s="153"/>
      <c r="O31" s="153"/>
      <c r="P31" s="153"/>
      <c r="Q31" s="153"/>
      <c r="R31" s="153"/>
      <c r="S31" s="159"/>
      <c r="T31" s="153"/>
      <c r="U31" s="153"/>
      <c r="V31" s="153"/>
      <c r="W31" s="153"/>
      <c r="X31" s="153"/>
      <c r="Y31" s="153"/>
      <c r="Z31" s="153"/>
      <c r="AA31" s="159"/>
      <c r="AB31" s="153"/>
      <c r="AC31" s="153"/>
      <c r="AD31" s="153"/>
      <c r="AE31" s="153"/>
      <c r="AF31" s="153"/>
      <c r="AG31" s="153"/>
      <c r="AH31" s="153"/>
      <c r="AI31" s="159"/>
      <c r="AJ31" s="153"/>
      <c r="AK31" s="153"/>
      <c r="AL31" s="153"/>
      <c r="AM31" s="153" t="s">
        <v>9</v>
      </c>
      <c r="AN31" s="153"/>
      <c r="AO31" s="153"/>
      <c r="AP31" s="169"/>
      <c r="AQ31" s="158"/>
      <c r="AR31" s="152"/>
      <c r="AS31" s="152"/>
      <c r="AT31" s="152"/>
      <c r="AU31" s="152"/>
      <c r="AV31" s="152"/>
      <c r="AW31" s="152"/>
      <c r="AX31" s="152"/>
      <c r="AY31" s="158"/>
      <c r="AZ31" s="180">
        <v>10044213</v>
      </c>
      <c r="BA31" s="179" t="s">
        <v>91</v>
      </c>
      <c r="BB31" s="126">
        <v>1</v>
      </c>
      <c r="BC31" s="126" t="s">
        <v>86</v>
      </c>
      <c r="BD31" s="179" t="s">
        <v>92</v>
      </c>
      <c r="BE31" s="179" t="s">
        <v>88</v>
      </c>
      <c r="BF31" s="179"/>
      <c r="BG31" s="179"/>
    </row>
    <row r="32" spans="1:59">
      <c r="A32" s="127">
        <f t="shared" si="10"/>
        <v>2</v>
      </c>
      <c r="B32" s="150" t="str">
        <f t="shared" si="11"/>
        <v>2/1</v>
      </c>
      <c r="C32" s="151"/>
      <c r="D32" s="153"/>
      <c r="E32" s="153"/>
      <c r="F32" s="153"/>
      <c r="G32" s="153"/>
      <c r="H32" s="153"/>
      <c r="I32" s="153"/>
      <c r="J32" s="153"/>
      <c r="K32" s="159"/>
      <c r="L32" s="153"/>
      <c r="M32" s="153"/>
      <c r="N32" s="153"/>
      <c r="O32" s="153"/>
      <c r="P32" s="153"/>
      <c r="Q32" s="153"/>
      <c r="R32" s="153"/>
      <c r="S32" s="159"/>
      <c r="T32" s="153"/>
      <c r="U32" s="153"/>
      <c r="V32" s="153"/>
      <c r="W32" s="153"/>
      <c r="X32" s="153"/>
      <c r="Y32" s="153"/>
      <c r="Z32" s="153"/>
      <c r="AA32" s="159"/>
      <c r="AB32" s="153"/>
      <c r="AC32" s="153"/>
      <c r="AD32" s="153"/>
      <c r="AE32" s="153"/>
      <c r="AF32" s="153"/>
      <c r="AG32" s="153"/>
      <c r="AH32" s="153"/>
      <c r="AI32" s="159"/>
      <c r="AJ32" s="153"/>
      <c r="AK32" s="153" t="s">
        <v>9</v>
      </c>
      <c r="AL32" s="153" t="s">
        <v>9</v>
      </c>
      <c r="AM32" s="153"/>
      <c r="AN32" s="153"/>
      <c r="AO32" s="153"/>
      <c r="AP32" s="169"/>
      <c r="AQ32" s="158"/>
      <c r="AR32" s="152"/>
      <c r="AS32" s="152"/>
      <c r="AT32" s="152"/>
      <c r="AU32" s="152"/>
      <c r="AV32" s="152"/>
      <c r="AW32" s="152"/>
      <c r="AX32" s="152"/>
      <c r="AY32" s="158"/>
      <c r="AZ32" s="180">
        <v>10034518</v>
      </c>
      <c r="BA32" s="179" t="s">
        <v>93</v>
      </c>
      <c r="BB32" s="126">
        <v>1</v>
      </c>
      <c r="BC32" s="126" t="s">
        <v>94</v>
      </c>
      <c r="BD32" s="179" t="s">
        <v>95</v>
      </c>
      <c r="BE32" s="179" t="s">
        <v>96</v>
      </c>
      <c r="BF32" s="179"/>
      <c r="BG32" s="179"/>
    </row>
    <row r="33" spans="1:59">
      <c r="A33" s="127">
        <f t="shared" si="10"/>
        <v>1</v>
      </c>
      <c r="B33" s="150" t="str">
        <f t="shared" si="11"/>
        <v>1/1</v>
      </c>
      <c r="C33" s="151"/>
      <c r="D33" s="153"/>
      <c r="E33" s="153"/>
      <c r="F33" s="153"/>
      <c r="G33" s="153"/>
      <c r="H33" s="153"/>
      <c r="I33" s="153"/>
      <c r="J33" s="153"/>
      <c r="K33" s="159"/>
      <c r="L33" s="153"/>
      <c r="M33" s="153"/>
      <c r="N33" s="153"/>
      <c r="O33" s="153"/>
      <c r="P33" s="153"/>
      <c r="Q33" s="153"/>
      <c r="R33" s="153"/>
      <c r="S33" s="159"/>
      <c r="T33" s="153"/>
      <c r="U33" s="153"/>
      <c r="V33" s="153"/>
      <c r="W33" s="153"/>
      <c r="X33" s="153"/>
      <c r="Y33" s="153"/>
      <c r="Z33" s="153"/>
      <c r="AA33" s="159"/>
      <c r="AB33" s="153"/>
      <c r="AC33" s="153"/>
      <c r="AD33" s="153"/>
      <c r="AE33" s="153"/>
      <c r="AF33" s="153"/>
      <c r="AG33" s="153"/>
      <c r="AH33" s="153"/>
      <c r="AI33" s="159"/>
      <c r="AJ33" s="153"/>
      <c r="AK33" s="153" t="s">
        <v>9</v>
      </c>
      <c r="AL33" s="153"/>
      <c r="AM33" s="153"/>
      <c r="AN33" s="153"/>
      <c r="AO33" s="153"/>
      <c r="AP33" s="169"/>
      <c r="AQ33" s="158"/>
      <c r="AR33" s="152"/>
      <c r="AS33" s="152"/>
      <c r="AT33" s="152"/>
      <c r="AU33" s="152"/>
      <c r="AV33" s="152"/>
      <c r="AW33" s="152"/>
      <c r="AX33" s="152"/>
      <c r="AY33" s="158"/>
      <c r="AZ33" s="180">
        <v>10013516</v>
      </c>
      <c r="BA33" s="179" t="s">
        <v>97</v>
      </c>
      <c r="BB33" s="126">
        <v>1</v>
      </c>
      <c r="BC33" s="126" t="s">
        <v>98</v>
      </c>
      <c r="BD33" s="179" t="s">
        <v>99</v>
      </c>
      <c r="BE33" s="179" t="s">
        <v>100</v>
      </c>
      <c r="BF33" s="179"/>
      <c r="BG33" s="179"/>
    </row>
    <row r="34" spans="1:59">
      <c r="A34" s="127">
        <f t="shared" si="10"/>
        <v>2</v>
      </c>
      <c r="B34" s="150" t="str">
        <f t="shared" si="11"/>
        <v>2/1</v>
      </c>
      <c r="C34" s="151"/>
      <c r="D34" s="153"/>
      <c r="E34" s="153"/>
      <c r="F34" s="153"/>
      <c r="G34" s="153"/>
      <c r="H34" s="153"/>
      <c r="I34" s="153"/>
      <c r="J34" s="153"/>
      <c r="K34" s="159"/>
      <c r="L34" s="153"/>
      <c r="M34" s="153"/>
      <c r="N34" s="153"/>
      <c r="O34" s="153"/>
      <c r="P34" s="153"/>
      <c r="Q34" s="153"/>
      <c r="R34" s="153"/>
      <c r="S34" s="159"/>
      <c r="T34" s="153"/>
      <c r="U34" s="153"/>
      <c r="V34" s="153"/>
      <c r="W34" s="153"/>
      <c r="X34" s="153"/>
      <c r="Y34" s="153"/>
      <c r="Z34" s="153"/>
      <c r="AA34" s="159"/>
      <c r="AB34" s="153"/>
      <c r="AC34" s="153"/>
      <c r="AD34" s="153"/>
      <c r="AE34" s="153"/>
      <c r="AF34" s="153"/>
      <c r="AG34" s="153"/>
      <c r="AH34" s="153"/>
      <c r="AI34" s="159"/>
      <c r="AJ34" s="153"/>
      <c r="AK34" s="153" t="s">
        <v>9</v>
      </c>
      <c r="AL34" s="153"/>
      <c r="AM34" s="153"/>
      <c r="AN34" s="153" t="s">
        <v>9</v>
      </c>
      <c r="AO34" s="153"/>
      <c r="AP34" s="169"/>
      <c r="AQ34" s="158"/>
      <c r="AR34" s="152"/>
      <c r="AS34" s="152"/>
      <c r="AT34" s="152"/>
      <c r="AU34" s="152"/>
      <c r="AV34" s="152"/>
      <c r="AW34" s="152"/>
      <c r="AX34" s="152"/>
      <c r="AY34" s="158"/>
      <c r="AZ34" s="180">
        <v>10042185</v>
      </c>
      <c r="BA34" s="179" t="s">
        <v>101</v>
      </c>
      <c r="BB34" s="126">
        <v>1</v>
      </c>
      <c r="BC34" s="126" t="s">
        <v>98</v>
      </c>
      <c r="BD34" s="179" t="s">
        <v>102</v>
      </c>
      <c r="BE34" s="179" t="s">
        <v>100</v>
      </c>
      <c r="BF34" s="179"/>
      <c r="BG34" s="179"/>
    </row>
    <row r="35" spans="1:59">
      <c r="A35" s="127">
        <f t="shared" si="10"/>
        <v>2</v>
      </c>
      <c r="B35" s="150" t="str">
        <f t="shared" si="11"/>
        <v>2/1</v>
      </c>
      <c r="C35" s="151"/>
      <c r="D35" s="153"/>
      <c r="E35" s="153"/>
      <c r="F35" s="153"/>
      <c r="G35" s="153"/>
      <c r="H35" s="153"/>
      <c r="I35" s="153"/>
      <c r="J35" s="153"/>
      <c r="K35" s="159"/>
      <c r="L35" s="153"/>
      <c r="M35" s="153"/>
      <c r="N35" s="153"/>
      <c r="O35" s="153"/>
      <c r="P35" s="153"/>
      <c r="Q35" s="153"/>
      <c r="R35" s="153"/>
      <c r="S35" s="159"/>
      <c r="T35" s="153"/>
      <c r="U35" s="153"/>
      <c r="V35" s="153"/>
      <c r="W35" s="153"/>
      <c r="X35" s="153"/>
      <c r="Y35" s="153"/>
      <c r="Z35" s="153"/>
      <c r="AA35" s="159"/>
      <c r="AB35" s="153"/>
      <c r="AC35" s="153"/>
      <c r="AD35" s="153"/>
      <c r="AE35" s="153"/>
      <c r="AF35" s="153" t="s">
        <v>9</v>
      </c>
      <c r="AG35" s="153"/>
      <c r="AH35" s="153"/>
      <c r="AI35" s="159"/>
      <c r="AJ35" s="153"/>
      <c r="AK35" s="153"/>
      <c r="AL35" s="153"/>
      <c r="AM35" s="153"/>
      <c r="AN35" s="153" t="s">
        <v>9</v>
      </c>
      <c r="AO35" s="153"/>
      <c r="AP35" s="169"/>
      <c r="AQ35" s="158"/>
      <c r="AR35" s="152"/>
      <c r="AS35" s="152"/>
      <c r="AT35" s="152"/>
      <c r="AU35" s="152"/>
      <c r="AV35" s="152"/>
      <c r="AW35" s="152"/>
      <c r="AX35" s="152"/>
      <c r="AY35" s="158"/>
      <c r="AZ35" s="180">
        <v>10045878</v>
      </c>
      <c r="BA35" s="179" t="s">
        <v>103</v>
      </c>
      <c r="BB35" s="126">
        <v>1</v>
      </c>
      <c r="BC35" s="126" t="s">
        <v>98</v>
      </c>
      <c r="BD35" s="179" t="s">
        <v>104</v>
      </c>
      <c r="BE35" s="179" t="s">
        <v>100</v>
      </c>
      <c r="BF35" s="179"/>
      <c r="BG35" s="179"/>
    </row>
    <row r="36" spans="1:59">
      <c r="A36" s="127">
        <f t="shared" si="10"/>
        <v>1</v>
      </c>
      <c r="B36" s="150" t="str">
        <f t="shared" si="11"/>
        <v>1/1</v>
      </c>
      <c r="C36" s="151"/>
      <c r="D36" s="153"/>
      <c r="E36" s="153"/>
      <c r="F36" s="153"/>
      <c r="G36" s="153"/>
      <c r="H36" s="153"/>
      <c r="I36" s="153"/>
      <c r="J36" s="153"/>
      <c r="K36" s="159"/>
      <c r="L36" s="153"/>
      <c r="M36" s="153"/>
      <c r="N36" s="153"/>
      <c r="O36" s="153"/>
      <c r="P36" s="153"/>
      <c r="Q36" s="153"/>
      <c r="R36" s="153"/>
      <c r="S36" s="159"/>
      <c r="T36" s="153"/>
      <c r="U36" s="153"/>
      <c r="V36" s="153"/>
      <c r="W36" s="153"/>
      <c r="X36" s="153"/>
      <c r="Y36" s="153"/>
      <c r="Z36" s="153"/>
      <c r="AA36" s="159"/>
      <c r="AB36" s="153"/>
      <c r="AC36" s="153"/>
      <c r="AD36" s="153"/>
      <c r="AE36" s="153" t="s">
        <v>9</v>
      </c>
      <c r="AF36" s="153"/>
      <c r="AG36" s="153"/>
      <c r="AH36" s="153"/>
      <c r="AI36" s="159"/>
      <c r="AJ36" s="153"/>
      <c r="AK36" s="153"/>
      <c r="AL36" s="153"/>
      <c r="AM36" s="153"/>
      <c r="AN36" s="153"/>
      <c r="AO36" s="153"/>
      <c r="AP36" s="169"/>
      <c r="AQ36" s="158"/>
      <c r="AR36" s="152"/>
      <c r="AS36" s="152"/>
      <c r="AT36" s="152"/>
      <c r="AU36" s="152"/>
      <c r="AV36" s="152"/>
      <c r="AW36" s="152"/>
      <c r="AX36" s="152"/>
      <c r="AY36" s="158"/>
      <c r="AZ36" s="180">
        <v>10046113</v>
      </c>
      <c r="BA36" s="179" t="s">
        <v>105</v>
      </c>
      <c r="BB36" s="126">
        <v>1</v>
      </c>
      <c r="BC36" s="126" t="s">
        <v>98</v>
      </c>
      <c r="BD36" s="179" t="s">
        <v>106</v>
      </c>
      <c r="BE36" s="179" t="s">
        <v>100</v>
      </c>
      <c r="BF36" s="179"/>
      <c r="BG36" s="179"/>
    </row>
    <row r="37" spans="1:59">
      <c r="A37" s="127">
        <f t="shared" si="10"/>
        <v>1</v>
      </c>
      <c r="B37" s="150" t="str">
        <f t="shared" si="11"/>
        <v>1/1</v>
      </c>
      <c r="C37" s="151"/>
      <c r="D37" s="153"/>
      <c r="E37" s="153"/>
      <c r="F37" s="153"/>
      <c r="G37" s="153"/>
      <c r="H37" s="153"/>
      <c r="I37" s="153"/>
      <c r="J37" s="153"/>
      <c r="K37" s="159"/>
      <c r="L37" s="153"/>
      <c r="M37" s="153"/>
      <c r="N37" s="153"/>
      <c r="O37" s="153"/>
      <c r="P37" s="153"/>
      <c r="Q37" s="153"/>
      <c r="R37" s="153"/>
      <c r="S37" s="159"/>
      <c r="T37" s="153"/>
      <c r="U37" s="153"/>
      <c r="V37" s="153"/>
      <c r="W37" s="153"/>
      <c r="X37" s="153"/>
      <c r="Y37" s="153"/>
      <c r="Z37" s="153"/>
      <c r="AA37" s="159"/>
      <c r="AB37" s="153"/>
      <c r="AC37" s="153" t="s">
        <v>9</v>
      </c>
      <c r="AD37" s="153"/>
      <c r="AE37" s="153"/>
      <c r="AF37" s="153"/>
      <c r="AG37" s="153"/>
      <c r="AH37" s="153"/>
      <c r="AI37" s="159"/>
      <c r="AJ37" s="153"/>
      <c r="AK37" s="153"/>
      <c r="AL37" s="153"/>
      <c r="AM37" s="153"/>
      <c r="AN37" s="153"/>
      <c r="AO37" s="153"/>
      <c r="AP37" s="169"/>
      <c r="AQ37" s="158"/>
      <c r="AR37" s="152"/>
      <c r="AS37" s="152"/>
      <c r="AT37" s="152"/>
      <c r="AU37" s="152"/>
      <c r="AV37" s="152"/>
      <c r="AW37" s="152"/>
      <c r="AX37" s="152"/>
      <c r="AY37" s="158"/>
      <c r="AZ37" s="180">
        <v>10039693</v>
      </c>
      <c r="BA37" s="179" t="s">
        <v>107</v>
      </c>
      <c r="BB37" s="126">
        <v>1</v>
      </c>
      <c r="BC37" s="126" t="s">
        <v>108</v>
      </c>
      <c r="BD37" s="179" t="s">
        <v>109</v>
      </c>
      <c r="BE37" s="179" t="s">
        <v>110</v>
      </c>
      <c r="BF37" s="179"/>
      <c r="BG37" s="179"/>
    </row>
    <row r="38" spans="1:59">
      <c r="A38" s="127">
        <f t="shared" si="10"/>
        <v>1</v>
      </c>
      <c r="B38" s="150" t="str">
        <f t="shared" si="11"/>
        <v>1/1</v>
      </c>
      <c r="C38" s="151"/>
      <c r="D38" s="153"/>
      <c r="E38" s="153"/>
      <c r="F38" s="153"/>
      <c r="G38" s="153"/>
      <c r="H38" s="153"/>
      <c r="I38" s="153"/>
      <c r="J38" s="153"/>
      <c r="K38" s="159"/>
      <c r="L38" s="153"/>
      <c r="M38" s="153"/>
      <c r="N38" s="153"/>
      <c r="O38" s="153"/>
      <c r="P38" s="153"/>
      <c r="Q38" s="153"/>
      <c r="R38" s="153"/>
      <c r="S38" s="159"/>
      <c r="T38" s="153"/>
      <c r="U38" s="153"/>
      <c r="V38" s="153"/>
      <c r="W38" s="153"/>
      <c r="X38" s="153"/>
      <c r="Y38" s="153" t="s">
        <v>9</v>
      </c>
      <c r="Z38" s="153"/>
      <c r="AA38" s="159"/>
      <c r="AB38" s="153"/>
      <c r="AC38" s="153"/>
      <c r="AD38" s="153"/>
      <c r="AE38" s="153"/>
      <c r="AF38" s="153"/>
      <c r="AG38" s="153"/>
      <c r="AH38" s="153"/>
      <c r="AI38" s="159"/>
      <c r="AJ38" s="153"/>
      <c r="AK38" s="153"/>
      <c r="AL38" s="153"/>
      <c r="AM38" s="153"/>
      <c r="AN38" s="153"/>
      <c r="AO38" s="153"/>
      <c r="AP38" s="169"/>
      <c r="AQ38" s="158"/>
      <c r="AR38" s="152"/>
      <c r="AS38" s="152"/>
      <c r="AT38" s="152"/>
      <c r="AU38" s="152"/>
      <c r="AV38" s="152"/>
      <c r="AW38" s="152"/>
      <c r="AX38" s="152"/>
      <c r="AY38" s="158"/>
      <c r="AZ38" s="180">
        <v>10044217</v>
      </c>
      <c r="BA38" s="179" t="s">
        <v>111</v>
      </c>
      <c r="BB38" s="126">
        <v>1</v>
      </c>
      <c r="BC38" s="126" t="s">
        <v>108</v>
      </c>
      <c r="BD38" s="179" t="s">
        <v>112</v>
      </c>
      <c r="BE38" s="179" t="s">
        <v>110</v>
      </c>
      <c r="BF38" s="179"/>
      <c r="BG38" s="179"/>
    </row>
    <row r="39" spans="1:59">
      <c r="A39" s="127">
        <f t="shared" si="10"/>
        <v>1</v>
      </c>
      <c r="B39" s="150" t="str">
        <f t="shared" si="11"/>
        <v>1/1</v>
      </c>
      <c r="C39" s="151"/>
      <c r="D39" s="153"/>
      <c r="E39" s="153"/>
      <c r="F39" s="153"/>
      <c r="G39" s="153"/>
      <c r="H39" s="153"/>
      <c r="I39" s="153"/>
      <c r="J39" s="153"/>
      <c r="K39" s="159"/>
      <c r="L39" s="153"/>
      <c r="M39" s="153"/>
      <c r="N39" s="153"/>
      <c r="O39" s="153"/>
      <c r="P39" s="153"/>
      <c r="Q39" s="153"/>
      <c r="R39" s="153"/>
      <c r="S39" s="159"/>
      <c r="T39" s="153"/>
      <c r="U39" s="153"/>
      <c r="V39" s="153"/>
      <c r="W39" s="153" t="s">
        <v>9</v>
      </c>
      <c r="X39" s="153"/>
      <c r="Y39" s="153"/>
      <c r="Z39" s="153"/>
      <c r="AA39" s="159"/>
      <c r="AB39" s="153"/>
      <c r="AC39" s="153"/>
      <c r="AD39" s="153"/>
      <c r="AE39" s="153"/>
      <c r="AF39" s="153"/>
      <c r="AG39" s="153"/>
      <c r="AH39" s="153"/>
      <c r="AI39" s="159"/>
      <c r="AJ39" s="153"/>
      <c r="AK39" s="153"/>
      <c r="AL39" s="153"/>
      <c r="AM39" s="153"/>
      <c r="AN39" s="153"/>
      <c r="AO39" s="153"/>
      <c r="AP39" s="169"/>
      <c r="AQ39" s="158"/>
      <c r="AR39" s="152"/>
      <c r="AS39" s="152"/>
      <c r="AT39" s="152"/>
      <c r="AU39" s="152"/>
      <c r="AV39" s="152"/>
      <c r="AW39" s="152"/>
      <c r="AX39" s="152"/>
      <c r="AY39" s="158"/>
      <c r="AZ39" s="180">
        <v>10043250</v>
      </c>
      <c r="BA39" s="179" t="s">
        <v>113</v>
      </c>
      <c r="BB39" s="126">
        <v>1</v>
      </c>
      <c r="BC39" s="126" t="s">
        <v>114</v>
      </c>
      <c r="BD39" s="179" t="s">
        <v>115</v>
      </c>
      <c r="BE39" s="179" t="s">
        <v>116</v>
      </c>
      <c r="BF39" s="179"/>
      <c r="BG39" s="179"/>
    </row>
    <row r="40" spans="1:59">
      <c r="A40" s="127">
        <f t="shared" si="10"/>
        <v>1</v>
      </c>
      <c r="B40" s="150" t="str">
        <f t="shared" si="11"/>
        <v>1/1</v>
      </c>
      <c r="C40" s="151"/>
      <c r="D40" s="153"/>
      <c r="E40" s="153"/>
      <c r="F40" s="153"/>
      <c r="G40" s="153"/>
      <c r="H40" s="153"/>
      <c r="I40" s="153"/>
      <c r="J40" s="153"/>
      <c r="K40" s="159"/>
      <c r="L40" s="153"/>
      <c r="M40" s="153"/>
      <c r="N40" s="153"/>
      <c r="O40" s="153"/>
      <c r="P40" s="153"/>
      <c r="Q40" s="153"/>
      <c r="R40" s="153"/>
      <c r="S40" s="159"/>
      <c r="T40" s="153"/>
      <c r="U40" s="153" t="s">
        <v>9</v>
      </c>
      <c r="V40" s="153"/>
      <c r="W40" s="153"/>
      <c r="X40" s="153"/>
      <c r="Y40" s="153"/>
      <c r="Z40" s="153"/>
      <c r="AA40" s="159"/>
      <c r="AB40" s="153"/>
      <c r="AC40" s="153"/>
      <c r="AD40" s="153"/>
      <c r="AE40" s="153"/>
      <c r="AF40" s="153"/>
      <c r="AG40" s="153"/>
      <c r="AH40" s="153"/>
      <c r="AI40" s="159"/>
      <c r="AJ40" s="153"/>
      <c r="AK40" s="153"/>
      <c r="AL40" s="153"/>
      <c r="AM40" s="153"/>
      <c r="AN40" s="153"/>
      <c r="AO40" s="153"/>
      <c r="AP40" s="169"/>
      <c r="AQ40" s="158"/>
      <c r="AR40" s="152"/>
      <c r="AS40" s="152"/>
      <c r="AT40" s="152"/>
      <c r="AU40" s="152"/>
      <c r="AV40" s="152"/>
      <c r="AW40" s="152"/>
      <c r="AX40" s="152"/>
      <c r="AY40" s="158"/>
      <c r="AZ40" s="180">
        <v>10042156</v>
      </c>
      <c r="BA40" s="179" t="s">
        <v>117</v>
      </c>
      <c r="BB40" s="126">
        <v>1</v>
      </c>
      <c r="BC40" s="126" t="s">
        <v>118</v>
      </c>
      <c r="BD40" s="179" t="s">
        <v>119</v>
      </c>
      <c r="BE40" s="179" t="s">
        <v>120</v>
      </c>
      <c r="BF40" s="179"/>
      <c r="BG40" s="179"/>
    </row>
    <row r="41" spans="1:59">
      <c r="A41" s="127">
        <f t="shared" si="10"/>
        <v>1</v>
      </c>
      <c r="B41" s="150" t="str">
        <f t="shared" si="11"/>
        <v>1/1</v>
      </c>
      <c r="C41" s="151"/>
      <c r="D41" s="153"/>
      <c r="E41" s="153"/>
      <c r="F41" s="153"/>
      <c r="G41" s="153"/>
      <c r="H41" s="153"/>
      <c r="I41" s="153"/>
      <c r="J41" s="153"/>
      <c r="K41" s="159"/>
      <c r="L41" s="153"/>
      <c r="M41" s="153"/>
      <c r="N41" s="153"/>
      <c r="O41" s="153"/>
      <c r="P41" s="153"/>
      <c r="Q41" s="153"/>
      <c r="R41" s="153"/>
      <c r="S41" s="159"/>
      <c r="T41" s="153" t="s">
        <v>9</v>
      </c>
      <c r="U41" s="153"/>
      <c r="V41" s="153"/>
      <c r="W41" s="153"/>
      <c r="X41" s="153"/>
      <c r="Y41" s="153"/>
      <c r="Z41" s="153"/>
      <c r="AA41" s="159"/>
      <c r="AB41" s="153"/>
      <c r="AC41" s="153"/>
      <c r="AD41" s="153"/>
      <c r="AE41" s="153"/>
      <c r="AF41" s="153"/>
      <c r="AG41" s="153"/>
      <c r="AH41" s="153"/>
      <c r="AI41" s="159"/>
      <c r="AJ41" s="153"/>
      <c r="AK41" s="153"/>
      <c r="AL41" s="153"/>
      <c r="AM41" s="153"/>
      <c r="AN41" s="153"/>
      <c r="AO41" s="153"/>
      <c r="AP41" s="169"/>
      <c r="AQ41" s="158"/>
      <c r="AR41" s="152"/>
      <c r="AS41" s="152"/>
      <c r="AT41" s="152"/>
      <c r="AU41" s="152"/>
      <c r="AV41" s="152"/>
      <c r="AW41" s="152"/>
      <c r="AX41" s="152"/>
      <c r="AY41" s="158"/>
      <c r="AZ41" s="180">
        <v>10043353</v>
      </c>
      <c r="BA41" s="179" t="s">
        <v>121</v>
      </c>
      <c r="BB41" s="126">
        <v>1</v>
      </c>
      <c r="BC41" s="126" t="s">
        <v>122</v>
      </c>
      <c r="BD41" s="179" t="s">
        <v>123</v>
      </c>
      <c r="BE41" s="179" t="s">
        <v>124</v>
      </c>
      <c r="BF41" s="179"/>
      <c r="BG41" s="179"/>
    </row>
    <row r="42" spans="1:59">
      <c r="A42" s="127">
        <f t="shared" si="10"/>
        <v>1</v>
      </c>
      <c r="B42" s="150" t="str">
        <f t="shared" si="11"/>
        <v>1/1</v>
      </c>
      <c r="C42" s="151"/>
      <c r="D42" s="153"/>
      <c r="E42" s="153"/>
      <c r="F42" s="153"/>
      <c r="G42" s="153"/>
      <c r="H42" s="153"/>
      <c r="I42" s="153"/>
      <c r="J42" s="153"/>
      <c r="K42" s="159"/>
      <c r="L42" s="153"/>
      <c r="M42" s="153"/>
      <c r="N42" s="153"/>
      <c r="O42" s="153"/>
      <c r="P42" s="153"/>
      <c r="Q42" s="153"/>
      <c r="R42" s="153" t="s">
        <v>9</v>
      </c>
      <c r="S42" s="159"/>
      <c r="T42" s="153"/>
      <c r="U42" s="153"/>
      <c r="V42" s="153"/>
      <c r="W42" s="153"/>
      <c r="X42" s="153"/>
      <c r="Y42" s="153"/>
      <c r="Z42" s="153"/>
      <c r="AA42" s="159"/>
      <c r="AB42" s="153"/>
      <c r="AC42" s="153"/>
      <c r="AD42" s="153"/>
      <c r="AE42" s="153"/>
      <c r="AF42" s="153"/>
      <c r="AG42" s="153"/>
      <c r="AH42" s="153"/>
      <c r="AI42" s="159"/>
      <c r="AJ42" s="153"/>
      <c r="AK42" s="153"/>
      <c r="AL42" s="153"/>
      <c r="AM42" s="153"/>
      <c r="AN42" s="153"/>
      <c r="AO42" s="153"/>
      <c r="AP42" s="169"/>
      <c r="AQ42" s="158"/>
      <c r="AR42" s="152"/>
      <c r="AS42" s="152"/>
      <c r="AT42" s="152"/>
      <c r="AU42" s="152"/>
      <c r="AV42" s="152"/>
      <c r="AW42" s="152"/>
      <c r="AX42" s="152"/>
      <c r="AY42" s="158"/>
      <c r="AZ42" s="180">
        <v>10038696</v>
      </c>
      <c r="BA42" s="179" t="s">
        <v>125</v>
      </c>
      <c r="BB42" s="126">
        <v>1</v>
      </c>
      <c r="BC42" s="126" t="s">
        <v>126</v>
      </c>
      <c r="BD42" s="179" t="s">
        <v>127</v>
      </c>
      <c r="BE42" s="179" t="s">
        <v>128</v>
      </c>
      <c r="BF42" s="179"/>
      <c r="BG42" s="179"/>
    </row>
    <row r="43" spans="1:59">
      <c r="A43" s="127">
        <f t="shared" si="10"/>
        <v>1</v>
      </c>
      <c r="B43" s="150" t="str">
        <f t="shared" si="11"/>
        <v>1/1</v>
      </c>
      <c r="C43" s="151"/>
      <c r="D43" s="153"/>
      <c r="E43" s="153"/>
      <c r="F43" s="153"/>
      <c r="G43" s="153"/>
      <c r="H43" s="153"/>
      <c r="I43" s="153"/>
      <c r="J43" s="153"/>
      <c r="K43" s="159"/>
      <c r="L43" s="153"/>
      <c r="M43" s="153"/>
      <c r="N43" s="153"/>
      <c r="O43" s="153"/>
      <c r="P43" s="153"/>
      <c r="Q43" s="153" t="s">
        <v>9</v>
      </c>
      <c r="R43" s="153"/>
      <c r="S43" s="159"/>
      <c r="T43" s="153"/>
      <c r="U43" s="153"/>
      <c r="V43" s="153"/>
      <c r="W43" s="153"/>
      <c r="X43" s="153"/>
      <c r="Y43" s="153"/>
      <c r="Z43" s="153"/>
      <c r="AA43" s="159"/>
      <c r="AB43" s="153"/>
      <c r="AC43" s="153"/>
      <c r="AD43" s="153"/>
      <c r="AE43" s="153"/>
      <c r="AF43" s="153"/>
      <c r="AG43" s="153"/>
      <c r="AH43" s="153"/>
      <c r="AI43" s="159"/>
      <c r="AJ43" s="153"/>
      <c r="AK43" s="153"/>
      <c r="AL43" s="153"/>
      <c r="AM43" s="153"/>
      <c r="AN43" s="153"/>
      <c r="AO43" s="153"/>
      <c r="AP43" s="169"/>
      <c r="AQ43" s="158"/>
      <c r="AR43" s="152"/>
      <c r="AS43" s="152"/>
      <c r="AT43" s="152"/>
      <c r="AU43" s="152"/>
      <c r="AV43" s="152"/>
      <c r="AW43" s="152"/>
      <c r="AX43" s="152"/>
      <c r="AY43" s="158"/>
      <c r="AZ43" s="180">
        <v>10045652</v>
      </c>
      <c r="BA43" s="179" t="s">
        <v>129</v>
      </c>
      <c r="BB43" s="126">
        <v>1</v>
      </c>
      <c r="BC43" s="126" t="s">
        <v>126</v>
      </c>
      <c r="BD43" s="179" t="s">
        <v>130</v>
      </c>
      <c r="BE43" s="179" t="s">
        <v>128</v>
      </c>
      <c r="BF43" s="179"/>
      <c r="BG43" s="179"/>
    </row>
    <row r="44" spans="1:59">
      <c r="A44" s="127">
        <f t="shared" si="10"/>
        <v>1</v>
      </c>
      <c r="B44" s="150" t="str">
        <f t="shared" si="11"/>
        <v>1/1</v>
      </c>
      <c r="C44" s="151"/>
      <c r="D44" s="153"/>
      <c r="E44" s="153"/>
      <c r="F44" s="153"/>
      <c r="G44" s="153"/>
      <c r="H44" s="153"/>
      <c r="I44" s="153"/>
      <c r="J44" s="153"/>
      <c r="K44" s="159"/>
      <c r="L44" s="153"/>
      <c r="M44" s="153"/>
      <c r="N44" s="153"/>
      <c r="O44" s="153"/>
      <c r="P44" s="153" t="s">
        <v>9</v>
      </c>
      <c r="Q44" s="153"/>
      <c r="R44" s="153"/>
      <c r="S44" s="159"/>
      <c r="T44" s="153"/>
      <c r="U44" s="153"/>
      <c r="V44" s="153"/>
      <c r="W44" s="153"/>
      <c r="X44" s="153"/>
      <c r="Y44" s="153"/>
      <c r="Z44" s="153"/>
      <c r="AA44" s="159"/>
      <c r="AB44" s="153"/>
      <c r="AC44" s="153"/>
      <c r="AD44" s="153"/>
      <c r="AE44" s="153"/>
      <c r="AF44" s="153"/>
      <c r="AG44" s="153"/>
      <c r="AH44" s="153"/>
      <c r="AI44" s="159"/>
      <c r="AJ44" s="153"/>
      <c r="AK44" s="153"/>
      <c r="AL44" s="153"/>
      <c r="AM44" s="153"/>
      <c r="AN44" s="153"/>
      <c r="AO44" s="153"/>
      <c r="AP44" s="169"/>
      <c r="AQ44" s="158"/>
      <c r="AR44" s="152"/>
      <c r="AS44" s="152"/>
      <c r="AT44" s="152"/>
      <c r="AU44" s="152"/>
      <c r="AV44" s="152"/>
      <c r="AW44" s="152"/>
      <c r="AX44" s="152"/>
      <c r="AY44" s="158"/>
      <c r="AZ44" s="180">
        <v>10042230</v>
      </c>
      <c r="BA44" s="179" t="s">
        <v>131</v>
      </c>
      <c r="BB44" s="126">
        <v>1</v>
      </c>
      <c r="BC44" s="126" t="s">
        <v>132</v>
      </c>
      <c r="BD44" s="179" t="s">
        <v>133</v>
      </c>
      <c r="BE44" s="179" t="s">
        <v>134</v>
      </c>
      <c r="BF44" s="179"/>
      <c r="BG44" s="179"/>
    </row>
    <row r="45" spans="1:59">
      <c r="A45" s="127">
        <f t="shared" si="10"/>
        <v>1</v>
      </c>
      <c r="B45" s="150" t="str">
        <f t="shared" si="11"/>
        <v>1/1</v>
      </c>
      <c r="C45" s="151"/>
      <c r="D45" s="153"/>
      <c r="E45" s="153"/>
      <c r="F45" s="153"/>
      <c r="G45" s="153"/>
      <c r="H45" s="153"/>
      <c r="I45" s="153"/>
      <c r="J45" s="153"/>
      <c r="K45" s="159"/>
      <c r="L45" s="153"/>
      <c r="M45" s="153"/>
      <c r="N45" s="153"/>
      <c r="O45" s="153" t="s">
        <v>9</v>
      </c>
      <c r="P45" s="153"/>
      <c r="Q45" s="153"/>
      <c r="R45" s="153"/>
      <c r="S45" s="159"/>
      <c r="T45" s="153"/>
      <c r="U45" s="153"/>
      <c r="V45" s="153"/>
      <c r="W45" s="153"/>
      <c r="X45" s="153"/>
      <c r="Y45" s="153"/>
      <c r="Z45" s="153"/>
      <c r="AA45" s="159"/>
      <c r="AB45" s="153"/>
      <c r="AC45" s="153"/>
      <c r="AD45" s="153"/>
      <c r="AE45" s="153"/>
      <c r="AF45" s="153"/>
      <c r="AG45" s="153"/>
      <c r="AH45" s="153"/>
      <c r="AI45" s="159"/>
      <c r="AJ45" s="153"/>
      <c r="AK45" s="153"/>
      <c r="AL45" s="153"/>
      <c r="AM45" s="153"/>
      <c r="AN45" s="153"/>
      <c r="AO45" s="153"/>
      <c r="AP45" s="169"/>
      <c r="AQ45" s="158"/>
      <c r="AR45" s="152"/>
      <c r="AS45" s="152"/>
      <c r="AT45" s="152"/>
      <c r="AU45" s="152"/>
      <c r="AV45" s="152"/>
      <c r="AW45" s="152"/>
      <c r="AX45" s="152"/>
      <c r="AY45" s="158"/>
      <c r="AZ45" s="180">
        <v>10003939</v>
      </c>
      <c r="BA45" s="179" t="s">
        <v>135</v>
      </c>
      <c r="BB45" s="126">
        <v>1</v>
      </c>
      <c r="BC45" s="126" t="s">
        <v>136</v>
      </c>
      <c r="BD45" s="179" t="s">
        <v>137</v>
      </c>
      <c r="BE45" s="179" t="s">
        <v>138</v>
      </c>
      <c r="BF45" s="179"/>
      <c r="BG45" s="179"/>
    </row>
    <row r="46" spans="1:59">
      <c r="A46" s="127">
        <f t="shared" si="10"/>
        <v>2</v>
      </c>
      <c r="B46" s="150" t="str">
        <f t="shared" si="11"/>
        <v>2/1</v>
      </c>
      <c r="C46" s="151"/>
      <c r="D46" s="153"/>
      <c r="E46" s="153"/>
      <c r="F46" s="153"/>
      <c r="G46" s="153"/>
      <c r="H46" s="153"/>
      <c r="I46" s="153"/>
      <c r="J46" s="153"/>
      <c r="K46" s="159"/>
      <c r="L46" s="153"/>
      <c r="M46" s="153"/>
      <c r="N46" s="153"/>
      <c r="O46" s="153"/>
      <c r="P46" s="153"/>
      <c r="Q46" s="153"/>
      <c r="R46" s="153"/>
      <c r="S46" s="159"/>
      <c r="T46" s="153"/>
      <c r="U46" s="153"/>
      <c r="V46" s="153" t="s">
        <v>9</v>
      </c>
      <c r="W46" s="153"/>
      <c r="X46" s="153" t="s">
        <v>9</v>
      </c>
      <c r="Y46" s="153"/>
      <c r="Z46" s="153"/>
      <c r="AA46" s="159"/>
      <c r="AB46" s="153"/>
      <c r="AC46" s="153"/>
      <c r="AD46" s="153"/>
      <c r="AE46" s="153"/>
      <c r="AF46" s="153"/>
      <c r="AG46" s="153"/>
      <c r="AH46" s="153"/>
      <c r="AI46" s="159"/>
      <c r="AJ46" s="153"/>
      <c r="AK46" s="153"/>
      <c r="AL46" s="153"/>
      <c r="AM46" s="153"/>
      <c r="AN46" s="153"/>
      <c r="AO46" s="153"/>
      <c r="AP46" s="169"/>
      <c r="AQ46" s="158"/>
      <c r="AR46" s="152"/>
      <c r="AS46" s="152"/>
      <c r="AT46" s="152"/>
      <c r="AU46" s="152"/>
      <c r="AV46" s="152"/>
      <c r="AW46" s="152"/>
      <c r="AX46" s="152"/>
      <c r="AY46" s="158"/>
      <c r="AZ46" s="180">
        <v>10042786</v>
      </c>
      <c r="BA46" s="179" t="s">
        <v>139</v>
      </c>
      <c r="BB46" s="126">
        <v>1</v>
      </c>
      <c r="BC46" s="126" t="s">
        <v>140</v>
      </c>
      <c r="BD46" s="179" t="s">
        <v>141</v>
      </c>
      <c r="BE46" s="179" t="s">
        <v>142</v>
      </c>
      <c r="BF46" s="179"/>
      <c r="BG46" s="179"/>
    </row>
    <row r="47" spans="1:59">
      <c r="A47" s="127">
        <f t="shared" si="10"/>
        <v>1</v>
      </c>
      <c r="B47" s="150" t="str">
        <f t="shared" si="11"/>
        <v>1/1</v>
      </c>
      <c r="C47" s="151"/>
      <c r="D47" s="153"/>
      <c r="E47" s="153"/>
      <c r="F47" s="153"/>
      <c r="G47" s="153"/>
      <c r="H47" s="153"/>
      <c r="I47" s="153"/>
      <c r="J47" s="153"/>
      <c r="K47" s="159"/>
      <c r="L47" s="153"/>
      <c r="M47" s="153"/>
      <c r="N47" s="153"/>
      <c r="O47" s="153"/>
      <c r="P47" s="153"/>
      <c r="Q47" s="153"/>
      <c r="R47" s="153"/>
      <c r="S47" s="159"/>
      <c r="T47" s="153"/>
      <c r="U47" s="153"/>
      <c r="V47" s="153"/>
      <c r="W47" s="153"/>
      <c r="X47" s="153"/>
      <c r="Y47" s="153" t="s">
        <v>9</v>
      </c>
      <c r="Z47" s="153"/>
      <c r="AA47" s="159"/>
      <c r="AB47" s="153"/>
      <c r="AC47" s="153"/>
      <c r="AD47" s="153"/>
      <c r="AE47" s="153"/>
      <c r="AF47" s="153"/>
      <c r="AG47" s="153"/>
      <c r="AH47" s="153"/>
      <c r="AI47" s="159"/>
      <c r="AJ47" s="153"/>
      <c r="AK47" s="153"/>
      <c r="AL47" s="153"/>
      <c r="AM47" s="153"/>
      <c r="AN47" s="153"/>
      <c r="AO47" s="153"/>
      <c r="AP47" s="169"/>
      <c r="AQ47" s="158"/>
      <c r="AR47" s="152"/>
      <c r="AS47" s="152"/>
      <c r="AT47" s="152"/>
      <c r="AU47" s="152"/>
      <c r="AV47" s="152"/>
      <c r="AW47" s="152"/>
      <c r="AX47" s="152"/>
      <c r="AY47" s="158"/>
      <c r="AZ47" s="180">
        <v>10037092</v>
      </c>
      <c r="BA47" s="179" t="s">
        <v>143</v>
      </c>
      <c r="BB47" s="126">
        <v>1</v>
      </c>
      <c r="BC47" s="126" t="s">
        <v>144</v>
      </c>
      <c r="BD47" s="179" t="s">
        <v>145</v>
      </c>
      <c r="BE47" s="179" t="s">
        <v>146</v>
      </c>
      <c r="BF47" s="179"/>
      <c r="BG47" s="179"/>
    </row>
    <row r="48" spans="1:59">
      <c r="A48" s="127">
        <f t="shared" si="10"/>
        <v>1</v>
      </c>
      <c r="B48" s="150" t="str">
        <f t="shared" si="11"/>
        <v>1/1</v>
      </c>
      <c r="C48" s="151"/>
      <c r="D48" s="153"/>
      <c r="E48" s="153"/>
      <c r="F48" s="153"/>
      <c r="G48" s="153"/>
      <c r="H48" s="153"/>
      <c r="I48" s="153"/>
      <c r="J48" s="153"/>
      <c r="K48" s="159"/>
      <c r="L48" s="153"/>
      <c r="M48" s="153"/>
      <c r="N48" s="153"/>
      <c r="O48" s="153"/>
      <c r="P48" s="153"/>
      <c r="Q48" s="153"/>
      <c r="R48" s="153"/>
      <c r="S48" s="159"/>
      <c r="T48" s="153"/>
      <c r="U48" s="153"/>
      <c r="V48" s="153"/>
      <c r="W48" s="153"/>
      <c r="X48" s="153"/>
      <c r="Y48" s="153" t="s">
        <v>9</v>
      </c>
      <c r="Z48" s="153"/>
      <c r="AA48" s="159"/>
      <c r="AB48" s="153"/>
      <c r="AC48" s="153"/>
      <c r="AD48" s="153"/>
      <c r="AE48" s="153"/>
      <c r="AF48" s="153"/>
      <c r="AG48" s="153"/>
      <c r="AH48" s="153"/>
      <c r="AI48" s="159"/>
      <c r="AJ48" s="153"/>
      <c r="AK48" s="153"/>
      <c r="AL48" s="153"/>
      <c r="AM48" s="153"/>
      <c r="AN48" s="153"/>
      <c r="AO48" s="153"/>
      <c r="AP48" s="169"/>
      <c r="AQ48" s="158"/>
      <c r="AR48" s="152"/>
      <c r="AS48" s="152"/>
      <c r="AT48" s="152"/>
      <c r="AU48" s="152"/>
      <c r="AV48" s="152"/>
      <c r="AW48" s="152"/>
      <c r="AX48" s="152"/>
      <c r="AY48" s="158"/>
      <c r="AZ48" s="180">
        <v>10006970</v>
      </c>
      <c r="BA48" s="179" t="s">
        <v>147</v>
      </c>
      <c r="BB48" s="126">
        <v>1</v>
      </c>
      <c r="BC48" s="126" t="s">
        <v>148</v>
      </c>
      <c r="BD48" s="179" t="s">
        <v>149</v>
      </c>
      <c r="BE48" s="179" t="s">
        <v>150</v>
      </c>
      <c r="BF48" s="179"/>
      <c r="BG48" s="179"/>
    </row>
    <row r="49" spans="1:59">
      <c r="A49" s="127">
        <f t="shared" si="10"/>
        <v>1</v>
      </c>
      <c r="B49" s="150" t="str">
        <f t="shared" si="11"/>
        <v>1/1</v>
      </c>
      <c r="C49" s="151"/>
      <c r="D49" s="153"/>
      <c r="E49" s="153"/>
      <c r="F49" s="153"/>
      <c r="G49" s="153"/>
      <c r="H49" s="153"/>
      <c r="I49" s="153"/>
      <c r="J49" s="153"/>
      <c r="K49" s="159"/>
      <c r="L49" s="153"/>
      <c r="M49" s="153"/>
      <c r="N49" s="153"/>
      <c r="O49" s="153"/>
      <c r="P49" s="153"/>
      <c r="Q49" s="153"/>
      <c r="R49" s="153"/>
      <c r="S49" s="159"/>
      <c r="T49" s="153"/>
      <c r="U49" s="153"/>
      <c r="V49" s="153"/>
      <c r="W49" s="153"/>
      <c r="X49" s="153"/>
      <c r="Y49" s="153" t="s">
        <v>9</v>
      </c>
      <c r="Z49" s="153"/>
      <c r="AA49" s="159"/>
      <c r="AB49" s="153"/>
      <c r="AC49" s="153"/>
      <c r="AD49" s="153"/>
      <c r="AE49" s="153"/>
      <c r="AF49" s="153"/>
      <c r="AG49" s="153"/>
      <c r="AH49" s="153"/>
      <c r="AI49" s="159"/>
      <c r="AJ49" s="153"/>
      <c r="AK49" s="153"/>
      <c r="AL49" s="153"/>
      <c r="AM49" s="153"/>
      <c r="AN49" s="153"/>
      <c r="AO49" s="153"/>
      <c r="AP49" s="169"/>
      <c r="AQ49" s="158"/>
      <c r="AR49" s="152"/>
      <c r="AS49" s="152"/>
      <c r="AT49" s="152"/>
      <c r="AU49" s="152"/>
      <c r="AV49" s="152"/>
      <c r="AW49" s="152"/>
      <c r="AX49" s="152"/>
      <c r="AY49" s="158"/>
      <c r="AZ49" s="180">
        <v>10012224</v>
      </c>
      <c r="BA49" s="179" t="s">
        <v>151</v>
      </c>
      <c r="BB49" s="126">
        <v>1</v>
      </c>
      <c r="BC49" s="126" t="s">
        <v>152</v>
      </c>
      <c r="BD49" s="179" t="s">
        <v>153</v>
      </c>
      <c r="BE49" s="179" t="s">
        <v>154</v>
      </c>
      <c r="BF49" s="179"/>
      <c r="BG49" s="179"/>
    </row>
    <row r="50" spans="1:59">
      <c r="A50" s="127">
        <f t="shared" si="10"/>
        <v>1</v>
      </c>
      <c r="B50" s="150" t="str">
        <f t="shared" si="11"/>
        <v>1/1</v>
      </c>
      <c r="C50" s="151"/>
      <c r="D50" s="153"/>
      <c r="E50" s="153"/>
      <c r="F50" s="153"/>
      <c r="G50" s="153"/>
      <c r="H50" s="153"/>
      <c r="I50" s="153"/>
      <c r="J50" s="153"/>
      <c r="K50" s="159"/>
      <c r="L50" s="153"/>
      <c r="M50" s="153"/>
      <c r="N50" s="153"/>
      <c r="O50" s="153"/>
      <c r="P50" s="153"/>
      <c r="Q50" s="153"/>
      <c r="R50" s="153"/>
      <c r="S50" s="159"/>
      <c r="T50" s="153"/>
      <c r="U50" s="153"/>
      <c r="V50" s="153"/>
      <c r="W50" s="153"/>
      <c r="X50" s="153"/>
      <c r="Y50" s="153"/>
      <c r="Z50" s="153"/>
      <c r="AA50" s="159"/>
      <c r="AB50" s="153"/>
      <c r="AC50" s="153"/>
      <c r="AD50" s="153" t="s">
        <v>9</v>
      </c>
      <c r="AE50" s="153"/>
      <c r="AF50" s="153"/>
      <c r="AG50" s="153"/>
      <c r="AH50" s="153"/>
      <c r="AI50" s="159"/>
      <c r="AJ50" s="153"/>
      <c r="AK50" s="153"/>
      <c r="AL50" s="153"/>
      <c r="AM50" s="153"/>
      <c r="AN50" s="153"/>
      <c r="AO50" s="153"/>
      <c r="AP50" s="169"/>
      <c r="AQ50" s="158"/>
      <c r="AR50" s="152"/>
      <c r="AS50" s="152"/>
      <c r="AT50" s="152"/>
      <c r="AU50" s="152"/>
      <c r="AV50" s="152"/>
      <c r="AW50" s="152"/>
      <c r="AX50" s="152"/>
      <c r="AY50" s="158"/>
      <c r="AZ50" s="180">
        <v>10045713</v>
      </c>
      <c r="BA50" s="179" t="s">
        <v>155</v>
      </c>
      <c r="BB50" s="126">
        <v>1</v>
      </c>
      <c r="BC50" s="126" t="s">
        <v>156</v>
      </c>
      <c r="BD50" s="179" t="s">
        <v>157</v>
      </c>
      <c r="BE50" s="179" t="s">
        <v>158</v>
      </c>
      <c r="BF50" s="179"/>
      <c r="BG50" s="179"/>
    </row>
    <row r="51" spans="1:59">
      <c r="A51" s="127">
        <f t="shared" si="10"/>
        <v>1</v>
      </c>
      <c r="B51" s="150" t="str">
        <f t="shared" si="11"/>
        <v>1/1</v>
      </c>
      <c r="C51" s="151"/>
      <c r="D51" s="153"/>
      <c r="E51" s="153"/>
      <c r="F51" s="153"/>
      <c r="G51" s="153"/>
      <c r="H51" s="153"/>
      <c r="I51" s="153"/>
      <c r="J51" s="153"/>
      <c r="K51" s="159"/>
      <c r="L51" s="153"/>
      <c r="M51" s="153"/>
      <c r="N51" s="153"/>
      <c r="O51" s="153"/>
      <c r="P51" s="153"/>
      <c r="Q51" s="153"/>
      <c r="R51" s="153"/>
      <c r="S51" s="159"/>
      <c r="T51" s="153"/>
      <c r="U51" s="153"/>
      <c r="V51" s="153"/>
      <c r="W51" s="153"/>
      <c r="X51" s="153"/>
      <c r="Y51" s="153"/>
      <c r="Z51" s="153"/>
      <c r="AA51" s="159"/>
      <c r="AB51" s="153"/>
      <c r="AC51" s="153"/>
      <c r="AD51" s="153" t="s">
        <v>9</v>
      </c>
      <c r="AE51" s="153"/>
      <c r="AF51" s="153"/>
      <c r="AG51" s="153"/>
      <c r="AH51" s="153"/>
      <c r="AI51" s="159"/>
      <c r="AJ51" s="153"/>
      <c r="AK51" s="153"/>
      <c r="AL51" s="153"/>
      <c r="AM51" s="153"/>
      <c r="AN51" s="153"/>
      <c r="AO51" s="153"/>
      <c r="AP51" s="169"/>
      <c r="AQ51" s="158"/>
      <c r="AR51" s="152"/>
      <c r="AS51" s="152"/>
      <c r="AT51" s="152"/>
      <c r="AU51" s="152"/>
      <c r="AV51" s="152"/>
      <c r="AW51" s="152"/>
      <c r="AX51" s="152"/>
      <c r="AY51" s="158"/>
      <c r="AZ51" s="180">
        <v>10044394</v>
      </c>
      <c r="BA51" s="179" t="s">
        <v>159</v>
      </c>
      <c r="BB51" s="126">
        <v>1</v>
      </c>
      <c r="BC51" s="126" t="s">
        <v>160</v>
      </c>
      <c r="BD51" s="179" t="s">
        <v>22</v>
      </c>
      <c r="BE51" s="179" t="s">
        <v>161</v>
      </c>
      <c r="BF51" s="179"/>
      <c r="BG51" s="179"/>
    </row>
    <row r="52" spans="1:59">
      <c r="A52" s="127">
        <f t="shared" si="10"/>
        <v>1</v>
      </c>
      <c r="B52" s="150" t="str">
        <f t="shared" si="11"/>
        <v>1/1</v>
      </c>
      <c r="C52" s="151"/>
      <c r="D52" s="153"/>
      <c r="E52" s="153"/>
      <c r="F52" s="153"/>
      <c r="G52" s="153"/>
      <c r="H52" s="153"/>
      <c r="I52" s="153"/>
      <c r="J52" s="153"/>
      <c r="K52" s="159"/>
      <c r="L52" s="153"/>
      <c r="M52" s="153"/>
      <c r="N52" s="153"/>
      <c r="O52" s="153"/>
      <c r="P52" s="153"/>
      <c r="Q52" s="153"/>
      <c r="R52" s="153"/>
      <c r="S52" s="159"/>
      <c r="T52" s="153"/>
      <c r="U52" s="153"/>
      <c r="V52" s="153"/>
      <c r="W52" s="153"/>
      <c r="X52" s="153"/>
      <c r="Y52" s="153"/>
      <c r="Z52" s="153"/>
      <c r="AA52" s="159"/>
      <c r="AB52" s="153"/>
      <c r="AC52" s="153"/>
      <c r="AD52" s="153"/>
      <c r="AE52" s="153"/>
      <c r="AF52" s="153" t="s">
        <v>9</v>
      </c>
      <c r="AG52" s="153"/>
      <c r="AH52" s="153"/>
      <c r="AI52" s="159"/>
      <c r="AJ52" s="153"/>
      <c r="AK52" s="153"/>
      <c r="AL52" s="153"/>
      <c r="AM52" s="153"/>
      <c r="AN52" s="153"/>
      <c r="AO52" s="153"/>
      <c r="AP52" s="169"/>
      <c r="AQ52" s="158"/>
      <c r="AR52" s="152"/>
      <c r="AS52" s="152"/>
      <c r="AT52" s="152"/>
      <c r="AU52" s="152"/>
      <c r="AV52" s="152"/>
      <c r="AW52" s="152"/>
      <c r="AX52" s="152"/>
      <c r="AY52" s="158"/>
      <c r="AZ52" s="180">
        <v>10010309</v>
      </c>
      <c r="BA52" s="179" t="s">
        <v>162</v>
      </c>
      <c r="BB52" s="126">
        <v>1</v>
      </c>
      <c r="BC52" s="126" t="s">
        <v>163</v>
      </c>
      <c r="BD52" s="179" t="s">
        <v>22</v>
      </c>
      <c r="BE52" s="179" t="s">
        <v>164</v>
      </c>
      <c r="BF52" s="179"/>
      <c r="BG52" s="179"/>
    </row>
    <row r="53" spans="1:59">
      <c r="A53" s="127">
        <f t="shared" si="10"/>
        <v>1</v>
      </c>
      <c r="B53" s="150" t="str">
        <f t="shared" si="11"/>
        <v>1/1</v>
      </c>
      <c r="C53" s="151"/>
      <c r="D53" s="153"/>
      <c r="E53" s="153"/>
      <c r="F53" s="153"/>
      <c r="G53" s="153"/>
      <c r="H53" s="153"/>
      <c r="I53" s="153"/>
      <c r="J53" s="153"/>
      <c r="K53" s="159"/>
      <c r="L53" s="153"/>
      <c r="M53" s="153"/>
      <c r="N53" s="153"/>
      <c r="O53" s="153"/>
      <c r="P53" s="153"/>
      <c r="Q53" s="153"/>
      <c r="R53" s="153"/>
      <c r="S53" s="159"/>
      <c r="T53" s="153"/>
      <c r="U53" s="153"/>
      <c r="V53" s="153"/>
      <c r="W53" s="153"/>
      <c r="X53" s="153"/>
      <c r="Y53" s="153"/>
      <c r="Z53" s="153"/>
      <c r="AA53" s="159"/>
      <c r="AB53" s="153"/>
      <c r="AC53" s="153"/>
      <c r="AD53" s="153"/>
      <c r="AE53" s="153"/>
      <c r="AF53" s="153" t="s">
        <v>9</v>
      </c>
      <c r="AG53" s="153"/>
      <c r="AH53" s="153"/>
      <c r="AI53" s="159"/>
      <c r="AJ53" s="153"/>
      <c r="AK53" s="153"/>
      <c r="AL53" s="153"/>
      <c r="AM53" s="153"/>
      <c r="AN53" s="153"/>
      <c r="AO53" s="153"/>
      <c r="AP53" s="169"/>
      <c r="AQ53" s="158"/>
      <c r="AR53" s="152"/>
      <c r="AS53" s="152"/>
      <c r="AT53" s="152"/>
      <c r="AU53" s="152"/>
      <c r="AV53" s="152"/>
      <c r="AW53" s="152"/>
      <c r="AX53" s="152"/>
      <c r="AY53" s="158"/>
      <c r="AZ53" s="180">
        <v>10037317</v>
      </c>
      <c r="BA53" s="179" t="s">
        <v>165</v>
      </c>
      <c r="BB53" s="126">
        <v>1</v>
      </c>
      <c r="BC53" s="126" t="s">
        <v>166</v>
      </c>
      <c r="BD53" s="179" t="s">
        <v>12</v>
      </c>
      <c r="BE53" s="179" t="s">
        <v>167</v>
      </c>
      <c r="BF53" s="179"/>
      <c r="BG53" s="179"/>
    </row>
    <row r="54" spans="1:59">
      <c r="A54" s="127">
        <f t="shared" si="10"/>
        <v>1</v>
      </c>
      <c r="B54" s="150" t="str">
        <f t="shared" si="11"/>
        <v>1/1</v>
      </c>
      <c r="C54" s="151"/>
      <c r="D54" s="153"/>
      <c r="E54" s="153"/>
      <c r="F54" s="153"/>
      <c r="G54" s="153"/>
      <c r="H54" s="153"/>
      <c r="I54" s="153"/>
      <c r="J54" s="153"/>
      <c r="K54" s="159"/>
      <c r="L54" s="153"/>
      <c r="M54" s="153"/>
      <c r="N54" s="153"/>
      <c r="O54" s="153"/>
      <c r="P54" s="153"/>
      <c r="Q54" s="153"/>
      <c r="R54" s="153"/>
      <c r="S54" s="159"/>
      <c r="T54" s="153"/>
      <c r="U54" s="153"/>
      <c r="V54" s="153"/>
      <c r="W54" s="153"/>
      <c r="X54" s="153"/>
      <c r="Y54" s="153"/>
      <c r="Z54" s="153"/>
      <c r="AA54" s="159"/>
      <c r="AB54" s="153"/>
      <c r="AC54" s="153"/>
      <c r="AD54" s="153"/>
      <c r="AE54" s="153"/>
      <c r="AF54" s="153" t="s">
        <v>9</v>
      </c>
      <c r="AG54" s="153"/>
      <c r="AH54" s="153"/>
      <c r="AI54" s="159"/>
      <c r="AJ54" s="153"/>
      <c r="AK54" s="153"/>
      <c r="AL54" s="153"/>
      <c r="AM54" s="153"/>
      <c r="AN54" s="153"/>
      <c r="AO54" s="153"/>
      <c r="AP54" s="169"/>
      <c r="AQ54" s="158"/>
      <c r="AR54" s="152"/>
      <c r="AS54" s="152"/>
      <c r="AT54" s="152"/>
      <c r="AU54" s="152"/>
      <c r="AV54" s="152"/>
      <c r="AW54" s="152"/>
      <c r="AX54" s="152"/>
      <c r="AY54" s="158"/>
      <c r="AZ54" s="180">
        <v>10046041</v>
      </c>
      <c r="BA54" s="179" t="s">
        <v>168</v>
      </c>
      <c r="BB54" s="126">
        <v>1</v>
      </c>
      <c r="BC54" s="126" t="s">
        <v>169</v>
      </c>
      <c r="BD54" s="179" t="s">
        <v>170</v>
      </c>
      <c r="BE54" s="179" t="s">
        <v>171</v>
      </c>
      <c r="BF54" s="179"/>
      <c r="BG54" s="179"/>
    </row>
    <row r="55" spans="1:59">
      <c r="A55" s="127">
        <f t="shared" si="10"/>
        <v>1</v>
      </c>
      <c r="B55" s="150" t="str">
        <f t="shared" si="11"/>
        <v>1/1</v>
      </c>
      <c r="C55" s="151"/>
      <c r="D55" s="153"/>
      <c r="E55" s="153"/>
      <c r="F55" s="153"/>
      <c r="G55" s="153"/>
      <c r="H55" s="153"/>
      <c r="I55" s="153"/>
      <c r="J55" s="153"/>
      <c r="K55" s="159"/>
      <c r="L55" s="153"/>
      <c r="M55" s="153"/>
      <c r="N55" s="153"/>
      <c r="O55" s="153"/>
      <c r="P55" s="153"/>
      <c r="Q55" s="153"/>
      <c r="R55" s="153"/>
      <c r="S55" s="159"/>
      <c r="T55" s="153"/>
      <c r="U55" s="153"/>
      <c r="V55" s="153"/>
      <c r="W55" s="153"/>
      <c r="X55" s="153"/>
      <c r="Y55" s="153"/>
      <c r="Z55" s="153"/>
      <c r="AA55" s="159"/>
      <c r="AB55" s="153"/>
      <c r="AC55" s="153"/>
      <c r="AD55" s="153"/>
      <c r="AE55" s="153"/>
      <c r="AF55" s="153"/>
      <c r="AG55" s="153"/>
      <c r="AH55" s="153"/>
      <c r="AI55" s="159"/>
      <c r="AJ55" s="153"/>
      <c r="AK55" s="153" t="s">
        <v>9</v>
      </c>
      <c r="AL55" s="153"/>
      <c r="AM55" s="153"/>
      <c r="AN55" s="153"/>
      <c r="AO55" s="153"/>
      <c r="AP55" s="169"/>
      <c r="AQ55" s="158"/>
      <c r="AR55" s="152"/>
      <c r="AS55" s="152"/>
      <c r="AT55" s="152"/>
      <c r="AU55" s="152"/>
      <c r="AV55" s="152"/>
      <c r="AW55" s="152"/>
      <c r="AX55" s="152"/>
      <c r="AY55" s="158"/>
      <c r="AZ55" s="180">
        <v>10045263</v>
      </c>
      <c r="BA55" s="179" t="s">
        <v>172</v>
      </c>
      <c r="BB55" s="126">
        <v>1</v>
      </c>
      <c r="BC55" s="126" t="s">
        <v>173</v>
      </c>
      <c r="BD55" s="179" t="s">
        <v>22</v>
      </c>
      <c r="BE55" s="179" t="s">
        <v>174</v>
      </c>
      <c r="BF55" s="179"/>
      <c r="BG55" s="179"/>
    </row>
    <row r="56" spans="1:59">
      <c r="A56" s="127">
        <f t="shared" si="10"/>
        <v>1</v>
      </c>
      <c r="B56" s="150" t="str">
        <f t="shared" si="11"/>
        <v>1/1</v>
      </c>
      <c r="C56" s="151"/>
      <c r="D56" s="153"/>
      <c r="E56" s="153"/>
      <c r="F56" s="153"/>
      <c r="G56" s="153"/>
      <c r="H56" s="153"/>
      <c r="I56" s="153"/>
      <c r="J56" s="153"/>
      <c r="K56" s="159"/>
      <c r="L56" s="153"/>
      <c r="M56" s="153"/>
      <c r="N56" s="153"/>
      <c r="O56" s="153"/>
      <c r="P56" s="153"/>
      <c r="Q56" s="153"/>
      <c r="R56" s="153"/>
      <c r="S56" s="159"/>
      <c r="T56" s="153"/>
      <c r="U56" s="153"/>
      <c r="V56" s="153"/>
      <c r="W56" s="153"/>
      <c r="X56" s="153"/>
      <c r="Y56" s="153"/>
      <c r="Z56" s="153"/>
      <c r="AA56" s="159"/>
      <c r="AB56" s="153"/>
      <c r="AC56" s="153"/>
      <c r="AD56" s="153"/>
      <c r="AE56" s="153"/>
      <c r="AF56" s="153"/>
      <c r="AG56" s="153"/>
      <c r="AH56" s="153"/>
      <c r="AI56" s="159"/>
      <c r="AJ56" s="153"/>
      <c r="AK56" s="153" t="s">
        <v>9</v>
      </c>
      <c r="AL56" s="153"/>
      <c r="AM56" s="153"/>
      <c r="AN56" s="153"/>
      <c r="AO56" s="153"/>
      <c r="AP56" s="169"/>
      <c r="AQ56" s="158"/>
      <c r="AR56" s="152"/>
      <c r="AS56" s="152"/>
      <c r="AT56" s="152"/>
      <c r="AU56" s="152"/>
      <c r="AV56" s="152"/>
      <c r="AW56" s="152"/>
      <c r="AX56" s="152"/>
      <c r="AY56" s="158"/>
      <c r="AZ56" s="180">
        <v>10044742</v>
      </c>
      <c r="BA56" s="179" t="s">
        <v>175</v>
      </c>
      <c r="BB56" s="126">
        <v>1</v>
      </c>
      <c r="BC56" s="126" t="s">
        <v>176</v>
      </c>
      <c r="BD56" s="179" t="s">
        <v>22</v>
      </c>
      <c r="BE56" s="179" t="s">
        <v>177</v>
      </c>
      <c r="BF56" s="179"/>
      <c r="BG56" s="179"/>
    </row>
    <row r="57" spans="1:59">
      <c r="A57" s="127">
        <f t="shared" si="10"/>
        <v>2</v>
      </c>
      <c r="B57" s="150" t="str">
        <f t="shared" si="11"/>
        <v>2/1</v>
      </c>
      <c r="C57" s="151"/>
      <c r="D57" s="153"/>
      <c r="E57" s="153"/>
      <c r="F57" s="153"/>
      <c r="G57" s="153"/>
      <c r="H57" s="153"/>
      <c r="I57" s="153"/>
      <c r="J57" s="153"/>
      <c r="K57" s="159"/>
      <c r="L57" s="153"/>
      <c r="M57" s="153"/>
      <c r="N57" s="153"/>
      <c r="O57" s="153"/>
      <c r="P57" s="153"/>
      <c r="Q57" s="153"/>
      <c r="R57" s="153"/>
      <c r="S57" s="159"/>
      <c r="T57" s="153"/>
      <c r="U57" s="153"/>
      <c r="V57" s="153"/>
      <c r="W57" s="153"/>
      <c r="X57" s="153"/>
      <c r="Y57" s="153"/>
      <c r="Z57" s="153"/>
      <c r="AA57" s="159"/>
      <c r="AB57" s="153"/>
      <c r="AC57" s="153"/>
      <c r="AD57" s="153"/>
      <c r="AE57" s="153"/>
      <c r="AF57" s="153"/>
      <c r="AG57" s="153"/>
      <c r="AH57" s="153"/>
      <c r="AI57" s="159"/>
      <c r="AJ57" s="153"/>
      <c r="AK57" s="153"/>
      <c r="AL57" s="153" t="s">
        <v>9</v>
      </c>
      <c r="AM57" s="153" t="s">
        <v>9</v>
      </c>
      <c r="AN57" s="153"/>
      <c r="AO57" s="153"/>
      <c r="AP57" s="169"/>
      <c r="AQ57" s="158"/>
      <c r="AR57" s="152"/>
      <c r="AS57" s="152"/>
      <c r="AT57" s="152"/>
      <c r="AU57" s="152"/>
      <c r="AV57" s="152"/>
      <c r="AW57" s="152"/>
      <c r="AX57" s="152"/>
      <c r="AY57" s="158"/>
      <c r="AZ57" s="180">
        <v>10040235</v>
      </c>
      <c r="BA57" s="179" t="s">
        <v>178</v>
      </c>
      <c r="BB57" s="126">
        <v>1</v>
      </c>
      <c r="BC57" s="126" t="s">
        <v>179</v>
      </c>
      <c r="BD57" s="179" t="s">
        <v>22</v>
      </c>
      <c r="BE57" s="179" t="s">
        <v>180</v>
      </c>
      <c r="BF57" s="179"/>
      <c r="BG57" s="179"/>
    </row>
    <row r="58" spans="1:59">
      <c r="A58" s="127">
        <f t="shared" si="10"/>
        <v>1</v>
      </c>
      <c r="B58" s="150" t="str">
        <f t="shared" si="11"/>
        <v>1/1</v>
      </c>
      <c r="C58" s="151"/>
      <c r="D58" s="153"/>
      <c r="E58" s="153"/>
      <c r="F58" s="153"/>
      <c r="G58" s="153"/>
      <c r="H58" s="153"/>
      <c r="I58" s="153"/>
      <c r="J58" s="153"/>
      <c r="K58" s="159"/>
      <c r="L58" s="153"/>
      <c r="M58" s="153"/>
      <c r="N58" s="153"/>
      <c r="O58" s="153"/>
      <c r="P58" s="153"/>
      <c r="Q58" s="153"/>
      <c r="R58" s="153"/>
      <c r="S58" s="159"/>
      <c r="T58" s="153"/>
      <c r="U58" s="153"/>
      <c r="V58" s="153"/>
      <c r="W58" s="153"/>
      <c r="X58" s="153"/>
      <c r="Y58" s="153"/>
      <c r="Z58" s="153"/>
      <c r="AA58" s="159"/>
      <c r="AB58" s="153"/>
      <c r="AC58" s="153"/>
      <c r="AD58" s="153"/>
      <c r="AE58" s="153"/>
      <c r="AF58" s="153"/>
      <c r="AG58" s="153"/>
      <c r="AH58" s="153"/>
      <c r="AI58" s="159"/>
      <c r="AJ58" s="153"/>
      <c r="AK58" s="153"/>
      <c r="AL58" s="153"/>
      <c r="AM58" s="153" t="s">
        <v>9</v>
      </c>
      <c r="AN58" s="153"/>
      <c r="AO58" s="153"/>
      <c r="AP58" s="169"/>
      <c r="AQ58" s="158"/>
      <c r="AR58" s="152"/>
      <c r="AS58" s="152"/>
      <c r="AT58" s="152"/>
      <c r="AU58" s="152"/>
      <c r="AV58" s="152"/>
      <c r="AW58" s="152"/>
      <c r="AX58" s="152"/>
      <c r="AY58" s="158"/>
      <c r="AZ58" s="180">
        <v>10045194</v>
      </c>
      <c r="BA58" s="179" t="s">
        <v>181</v>
      </c>
      <c r="BB58" s="126">
        <v>1</v>
      </c>
      <c r="BC58" s="126" t="s">
        <v>182</v>
      </c>
      <c r="BD58" s="179" t="s">
        <v>22</v>
      </c>
      <c r="BE58" s="179" t="s">
        <v>183</v>
      </c>
      <c r="BF58" s="179"/>
      <c r="BG58" s="179"/>
    </row>
    <row r="59" spans="1:59">
      <c r="A59" s="127">
        <f t="shared" si="10"/>
        <v>1</v>
      </c>
      <c r="B59" s="150" t="str">
        <f t="shared" si="11"/>
        <v>1/1</v>
      </c>
      <c r="C59" s="151"/>
      <c r="D59" s="153"/>
      <c r="E59" s="153"/>
      <c r="F59" s="153"/>
      <c r="G59" s="153"/>
      <c r="H59" s="153"/>
      <c r="I59" s="153"/>
      <c r="J59" s="153"/>
      <c r="K59" s="159"/>
      <c r="L59" s="153"/>
      <c r="M59" s="153"/>
      <c r="N59" s="153"/>
      <c r="O59" s="153"/>
      <c r="P59" s="153"/>
      <c r="Q59" s="153"/>
      <c r="R59" s="153"/>
      <c r="S59" s="159"/>
      <c r="T59" s="153"/>
      <c r="U59" s="153"/>
      <c r="V59" s="153"/>
      <c r="W59" s="153"/>
      <c r="X59" s="153"/>
      <c r="Y59" s="153"/>
      <c r="Z59" s="153"/>
      <c r="AA59" s="159"/>
      <c r="AB59" s="153"/>
      <c r="AC59" s="153"/>
      <c r="AD59" s="153"/>
      <c r="AE59" s="153"/>
      <c r="AF59" s="153"/>
      <c r="AG59" s="153"/>
      <c r="AH59" s="153"/>
      <c r="AI59" s="159"/>
      <c r="AJ59" s="153"/>
      <c r="AK59" s="153"/>
      <c r="AL59" s="153"/>
      <c r="AM59" s="153" t="s">
        <v>9</v>
      </c>
      <c r="AN59" s="153"/>
      <c r="AO59" s="153"/>
      <c r="AP59" s="169"/>
      <c r="AQ59" s="158"/>
      <c r="AR59" s="152"/>
      <c r="AS59" s="152"/>
      <c r="AT59" s="152"/>
      <c r="AU59" s="152"/>
      <c r="AV59" s="152"/>
      <c r="AW59" s="152"/>
      <c r="AX59" s="152"/>
      <c r="AY59" s="158"/>
      <c r="AZ59" s="180">
        <v>10044015</v>
      </c>
      <c r="BA59" s="179" t="s">
        <v>184</v>
      </c>
      <c r="BB59" s="126">
        <v>1</v>
      </c>
      <c r="BC59" s="126" t="s">
        <v>185</v>
      </c>
      <c r="BD59" s="179" t="s">
        <v>22</v>
      </c>
      <c r="BE59" s="179" t="s">
        <v>186</v>
      </c>
      <c r="BF59" s="179"/>
      <c r="BG59" s="179"/>
    </row>
    <row r="60" spans="1:59">
      <c r="A60" s="127">
        <f t="shared" si="10"/>
        <v>1</v>
      </c>
      <c r="B60" s="150" t="str">
        <f t="shared" si="11"/>
        <v>1/1</v>
      </c>
      <c r="C60" s="151"/>
      <c r="D60" s="153"/>
      <c r="E60" s="153"/>
      <c r="F60" s="153"/>
      <c r="G60" s="153"/>
      <c r="H60" s="153"/>
      <c r="I60" s="153"/>
      <c r="J60" s="153"/>
      <c r="K60" s="159"/>
      <c r="L60" s="153"/>
      <c r="M60" s="153"/>
      <c r="N60" s="153"/>
      <c r="O60" s="153"/>
      <c r="P60" s="153"/>
      <c r="Q60" s="153"/>
      <c r="R60" s="153"/>
      <c r="S60" s="159"/>
      <c r="T60" s="153"/>
      <c r="U60" s="153"/>
      <c r="V60" s="153"/>
      <c r="W60" s="153"/>
      <c r="X60" s="153"/>
      <c r="Y60" s="153"/>
      <c r="Z60" s="153"/>
      <c r="AA60" s="159"/>
      <c r="AB60" s="153"/>
      <c r="AC60" s="153"/>
      <c r="AD60" s="153"/>
      <c r="AE60" s="153"/>
      <c r="AF60" s="153"/>
      <c r="AG60" s="153"/>
      <c r="AH60" s="153"/>
      <c r="AI60" s="159"/>
      <c r="AJ60" s="153"/>
      <c r="AK60" s="153"/>
      <c r="AL60" s="153"/>
      <c r="AM60" s="153" t="s">
        <v>9</v>
      </c>
      <c r="AN60" s="153"/>
      <c r="AO60" s="153"/>
      <c r="AP60" s="169"/>
      <c r="AQ60" s="158"/>
      <c r="AR60" s="152"/>
      <c r="AS60" s="152"/>
      <c r="AT60" s="152"/>
      <c r="AU60" s="152"/>
      <c r="AV60" s="152"/>
      <c r="AW60" s="152"/>
      <c r="AX60" s="152"/>
      <c r="AY60" s="158"/>
      <c r="AZ60" s="180">
        <v>10026381</v>
      </c>
      <c r="BA60" s="179" t="s">
        <v>187</v>
      </c>
      <c r="BB60" s="126">
        <v>1</v>
      </c>
      <c r="BC60" s="126" t="s">
        <v>188</v>
      </c>
      <c r="BD60" s="179" t="s">
        <v>22</v>
      </c>
      <c r="BE60" s="179" t="s">
        <v>189</v>
      </c>
      <c r="BF60" s="179"/>
      <c r="BG60" s="179"/>
    </row>
    <row r="61" spans="1:59">
      <c r="A61" s="127">
        <f t="shared" si="10"/>
        <v>1</v>
      </c>
      <c r="B61" s="150" t="str">
        <f t="shared" si="11"/>
        <v>1/1</v>
      </c>
      <c r="C61" s="151"/>
      <c r="D61" s="153"/>
      <c r="E61" s="153"/>
      <c r="F61" s="153"/>
      <c r="G61" s="153"/>
      <c r="H61" s="153" t="s">
        <v>9</v>
      </c>
      <c r="I61" s="153"/>
      <c r="J61" s="153"/>
      <c r="K61" s="159"/>
      <c r="L61" s="153"/>
      <c r="M61" s="153"/>
      <c r="N61" s="153"/>
      <c r="O61" s="153"/>
      <c r="P61" s="153"/>
      <c r="Q61" s="153"/>
      <c r="R61" s="153"/>
      <c r="S61" s="159"/>
      <c r="T61" s="153"/>
      <c r="U61" s="153"/>
      <c r="V61" s="153"/>
      <c r="W61" s="153"/>
      <c r="X61" s="153"/>
      <c r="Y61" s="153"/>
      <c r="Z61" s="153"/>
      <c r="AA61" s="159"/>
      <c r="AB61" s="153"/>
      <c r="AC61" s="153"/>
      <c r="AD61" s="153"/>
      <c r="AE61" s="153"/>
      <c r="AF61" s="153"/>
      <c r="AG61" s="153"/>
      <c r="AH61" s="153"/>
      <c r="AI61" s="159"/>
      <c r="AJ61" s="153"/>
      <c r="AK61" s="153"/>
      <c r="AL61" s="153"/>
      <c r="AM61" s="153"/>
      <c r="AN61" s="153"/>
      <c r="AO61" s="153"/>
      <c r="AP61" s="169"/>
      <c r="AQ61" s="158"/>
      <c r="AR61" s="152"/>
      <c r="AS61" s="152"/>
      <c r="AT61" s="152"/>
      <c r="AU61" s="152"/>
      <c r="AV61" s="152"/>
      <c r="AW61" s="152"/>
      <c r="AX61" s="152"/>
      <c r="AY61" s="158"/>
      <c r="AZ61" s="180">
        <v>10009565</v>
      </c>
      <c r="BA61" s="179" t="s">
        <v>190</v>
      </c>
      <c r="BB61" s="126">
        <v>1</v>
      </c>
      <c r="BC61" s="126" t="s">
        <v>191</v>
      </c>
      <c r="BD61" s="179" t="s">
        <v>22</v>
      </c>
      <c r="BE61" s="179" t="s">
        <v>192</v>
      </c>
      <c r="BF61" s="179"/>
      <c r="BG61" s="179"/>
    </row>
    <row r="62" spans="1:59">
      <c r="A62" s="127">
        <f t="shared" si="10"/>
        <v>1</v>
      </c>
      <c r="B62" s="150" t="str">
        <f t="shared" si="11"/>
        <v>1/1</v>
      </c>
      <c r="C62" s="151"/>
      <c r="D62" s="153"/>
      <c r="E62" s="153"/>
      <c r="F62" s="153"/>
      <c r="G62" s="153"/>
      <c r="H62" s="153" t="s">
        <v>9</v>
      </c>
      <c r="I62" s="153"/>
      <c r="J62" s="153"/>
      <c r="K62" s="159"/>
      <c r="L62" s="153"/>
      <c r="M62" s="153"/>
      <c r="N62" s="153"/>
      <c r="O62" s="153"/>
      <c r="P62" s="153"/>
      <c r="Q62" s="153"/>
      <c r="R62" s="153"/>
      <c r="S62" s="159"/>
      <c r="T62" s="153"/>
      <c r="U62" s="153"/>
      <c r="V62" s="153"/>
      <c r="W62" s="153"/>
      <c r="X62" s="153"/>
      <c r="Y62" s="153"/>
      <c r="Z62" s="153"/>
      <c r="AA62" s="159"/>
      <c r="AB62" s="153"/>
      <c r="AC62" s="153"/>
      <c r="AD62" s="153"/>
      <c r="AE62" s="153"/>
      <c r="AF62" s="153"/>
      <c r="AG62" s="153"/>
      <c r="AH62" s="153"/>
      <c r="AI62" s="159"/>
      <c r="AJ62" s="153"/>
      <c r="AK62" s="153"/>
      <c r="AL62" s="153"/>
      <c r="AM62" s="153"/>
      <c r="AN62" s="153"/>
      <c r="AO62" s="153"/>
      <c r="AP62" s="169"/>
      <c r="AQ62" s="158"/>
      <c r="AR62" s="152"/>
      <c r="AS62" s="152"/>
      <c r="AT62" s="152"/>
      <c r="AU62" s="152"/>
      <c r="AV62" s="152"/>
      <c r="AW62" s="152"/>
      <c r="AX62" s="152"/>
      <c r="AY62" s="158"/>
      <c r="AZ62" s="180">
        <v>10040774</v>
      </c>
      <c r="BA62" s="179" t="s">
        <v>193</v>
      </c>
      <c r="BB62" s="126">
        <v>1</v>
      </c>
      <c r="BC62" s="126" t="s">
        <v>194</v>
      </c>
      <c r="BD62" s="179" t="s">
        <v>195</v>
      </c>
      <c r="BE62" s="179" t="s">
        <v>196</v>
      </c>
      <c r="BF62" s="179"/>
      <c r="BG62" s="179"/>
    </row>
    <row r="63" spans="1:59">
      <c r="A63" s="127">
        <f t="shared" si="10"/>
        <v>1</v>
      </c>
      <c r="B63" s="150" t="str">
        <f t="shared" si="11"/>
        <v>1/1</v>
      </c>
      <c r="C63" s="151"/>
      <c r="D63" s="153"/>
      <c r="E63" s="153"/>
      <c r="F63" s="153"/>
      <c r="G63" s="153" t="s">
        <v>9</v>
      </c>
      <c r="H63" s="153"/>
      <c r="I63" s="153"/>
      <c r="J63" s="153"/>
      <c r="K63" s="159"/>
      <c r="L63" s="153"/>
      <c r="M63" s="153"/>
      <c r="N63" s="153"/>
      <c r="O63" s="153"/>
      <c r="P63" s="153"/>
      <c r="Q63" s="153"/>
      <c r="R63" s="153"/>
      <c r="S63" s="159"/>
      <c r="T63" s="153"/>
      <c r="U63" s="153"/>
      <c r="V63" s="153"/>
      <c r="W63" s="153"/>
      <c r="X63" s="153"/>
      <c r="Y63" s="153"/>
      <c r="Z63" s="153"/>
      <c r="AA63" s="159"/>
      <c r="AB63" s="153"/>
      <c r="AC63" s="153"/>
      <c r="AD63" s="153"/>
      <c r="AE63" s="153"/>
      <c r="AF63" s="153"/>
      <c r="AG63" s="153"/>
      <c r="AH63" s="153"/>
      <c r="AI63" s="159"/>
      <c r="AJ63" s="153"/>
      <c r="AK63" s="153"/>
      <c r="AL63" s="153"/>
      <c r="AM63" s="153"/>
      <c r="AN63" s="153"/>
      <c r="AO63" s="153"/>
      <c r="AP63" s="169"/>
      <c r="AQ63" s="158"/>
      <c r="AR63" s="152"/>
      <c r="AS63" s="152"/>
      <c r="AT63" s="152"/>
      <c r="AU63" s="152"/>
      <c r="AV63" s="152"/>
      <c r="AW63" s="152"/>
      <c r="AX63" s="152"/>
      <c r="AY63" s="158"/>
      <c r="AZ63" s="180">
        <v>10039922</v>
      </c>
      <c r="BA63" s="179" t="s">
        <v>197</v>
      </c>
      <c r="BB63" s="126">
        <v>1</v>
      </c>
      <c r="BC63" s="126" t="s">
        <v>198</v>
      </c>
      <c r="BD63" s="179" t="s">
        <v>199</v>
      </c>
      <c r="BE63" s="179" t="s">
        <v>200</v>
      </c>
      <c r="BF63" s="179"/>
      <c r="BG63" s="179"/>
    </row>
    <row r="64" spans="1:59">
      <c r="A64" s="127">
        <f t="shared" si="10"/>
        <v>1</v>
      </c>
      <c r="B64" s="150" t="str">
        <f t="shared" si="11"/>
        <v>1/1</v>
      </c>
      <c r="C64" s="151"/>
      <c r="D64" s="153"/>
      <c r="E64" s="153"/>
      <c r="F64" s="153"/>
      <c r="G64" s="153"/>
      <c r="H64" s="153" t="s">
        <v>9</v>
      </c>
      <c r="I64" s="153"/>
      <c r="J64" s="153"/>
      <c r="K64" s="159"/>
      <c r="L64" s="153"/>
      <c r="M64" s="153"/>
      <c r="N64" s="153"/>
      <c r="O64" s="153"/>
      <c r="P64" s="153"/>
      <c r="Q64" s="153"/>
      <c r="R64" s="153"/>
      <c r="S64" s="159"/>
      <c r="T64" s="153"/>
      <c r="U64" s="153"/>
      <c r="V64" s="153"/>
      <c r="W64" s="153"/>
      <c r="X64" s="153"/>
      <c r="Y64" s="153"/>
      <c r="Z64" s="153"/>
      <c r="AA64" s="159"/>
      <c r="AB64" s="153"/>
      <c r="AC64" s="153"/>
      <c r="AD64" s="153"/>
      <c r="AE64" s="153"/>
      <c r="AF64" s="153"/>
      <c r="AG64" s="153"/>
      <c r="AH64" s="153"/>
      <c r="AI64" s="159"/>
      <c r="AJ64" s="153"/>
      <c r="AK64" s="153"/>
      <c r="AL64" s="153"/>
      <c r="AM64" s="153"/>
      <c r="AN64" s="153"/>
      <c r="AO64" s="153"/>
      <c r="AP64" s="169"/>
      <c r="AQ64" s="158"/>
      <c r="AR64" s="152"/>
      <c r="AS64" s="152"/>
      <c r="AT64" s="152"/>
      <c r="AU64" s="152"/>
      <c r="AV64" s="152"/>
      <c r="AW64" s="152"/>
      <c r="AX64" s="152"/>
      <c r="AY64" s="158"/>
      <c r="AZ64" s="180">
        <v>10027030</v>
      </c>
      <c r="BA64" s="179" t="s">
        <v>201</v>
      </c>
      <c r="BB64" s="126">
        <v>1</v>
      </c>
      <c r="BC64" s="126" t="s">
        <v>202</v>
      </c>
      <c r="BD64" s="179" t="s">
        <v>203</v>
      </c>
      <c r="BE64" s="179" t="s">
        <v>204</v>
      </c>
      <c r="BF64" s="179"/>
      <c r="BG64" s="179"/>
    </row>
    <row r="65" spans="1:59">
      <c r="A65" s="127">
        <f t="shared" si="10"/>
        <v>1</v>
      </c>
      <c r="B65" s="150" t="str">
        <f t="shared" si="11"/>
        <v>1/1</v>
      </c>
      <c r="C65" s="151"/>
      <c r="D65" s="153"/>
      <c r="E65" s="153"/>
      <c r="F65" s="153"/>
      <c r="G65" s="153"/>
      <c r="H65" s="153"/>
      <c r="I65" s="153" t="s">
        <v>9</v>
      </c>
      <c r="J65" s="153"/>
      <c r="K65" s="159"/>
      <c r="L65" s="153"/>
      <c r="M65" s="153"/>
      <c r="N65" s="153"/>
      <c r="O65" s="153"/>
      <c r="P65" s="153"/>
      <c r="Q65" s="153"/>
      <c r="R65" s="153"/>
      <c r="S65" s="159"/>
      <c r="T65" s="153"/>
      <c r="U65" s="153"/>
      <c r="V65" s="153"/>
      <c r="W65" s="153"/>
      <c r="X65" s="153"/>
      <c r="Y65" s="153"/>
      <c r="Z65" s="153"/>
      <c r="AA65" s="159"/>
      <c r="AB65" s="153"/>
      <c r="AC65" s="153"/>
      <c r="AD65" s="153"/>
      <c r="AE65" s="153"/>
      <c r="AF65" s="153"/>
      <c r="AG65" s="153"/>
      <c r="AH65" s="153"/>
      <c r="AI65" s="159"/>
      <c r="AJ65" s="153"/>
      <c r="AK65" s="153"/>
      <c r="AL65" s="153"/>
      <c r="AM65" s="153"/>
      <c r="AN65" s="153"/>
      <c r="AO65" s="153"/>
      <c r="AP65" s="169"/>
      <c r="AQ65" s="158"/>
      <c r="AR65" s="152"/>
      <c r="AS65" s="152"/>
      <c r="AT65" s="152"/>
      <c r="AU65" s="152"/>
      <c r="AV65" s="152"/>
      <c r="AW65" s="152"/>
      <c r="AX65" s="152"/>
      <c r="AY65" s="158"/>
      <c r="AZ65" s="180">
        <v>10016667</v>
      </c>
      <c r="BA65" s="179" t="s">
        <v>205</v>
      </c>
      <c r="BB65" s="126">
        <v>1</v>
      </c>
      <c r="BC65" s="126" t="s">
        <v>206</v>
      </c>
      <c r="BD65" s="179" t="s">
        <v>12</v>
      </c>
      <c r="BE65" s="179" t="s">
        <v>207</v>
      </c>
      <c r="BF65" s="179"/>
      <c r="BG65" s="179"/>
    </row>
    <row r="66" spans="1:59">
      <c r="A66" s="127">
        <f t="shared" si="10"/>
        <v>1</v>
      </c>
      <c r="B66" s="150" t="str">
        <f t="shared" si="11"/>
        <v>1/1</v>
      </c>
      <c r="C66" s="151"/>
      <c r="D66" s="153"/>
      <c r="E66" s="153"/>
      <c r="F66" s="153"/>
      <c r="G66" s="153"/>
      <c r="H66" s="153"/>
      <c r="I66" s="153" t="s">
        <v>9</v>
      </c>
      <c r="J66" s="153"/>
      <c r="K66" s="159"/>
      <c r="L66" s="153"/>
      <c r="M66" s="153"/>
      <c r="N66" s="153"/>
      <c r="O66" s="153"/>
      <c r="P66" s="153"/>
      <c r="Q66" s="153"/>
      <c r="R66" s="153"/>
      <c r="S66" s="159"/>
      <c r="T66" s="153"/>
      <c r="U66" s="153"/>
      <c r="V66" s="153"/>
      <c r="W66" s="153"/>
      <c r="X66" s="153"/>
      <c r="Y66" s="153"/>
      <c r="Z66" s="153"/>
      <c r="AA66" s="159"/>
      <c r="AB66" s="153"/>
      <c r="AC66" s="153"/>
      <c r="AD66" s="153"/>
      <c r="AE66" s="153"/>
      <c r="AF66" s="153"/>
      <c r="AG66" s="153"/>
      <c r="AH66" s="153"/>
      <c r="AI66" s="159"/>
      <c r="AJ66" s="153"/>
      <c r="AK66" s="153"/>
      <c r="AL66" s="153"/>
      <c r="AM66" s="153"/>
      <c r="AN66" s="153"/>
      <c r="AO66" s="153"/>
      <c r="AP66" s="169"/>
      <c r="AQ66" s="158"/>
      <c r="AR66" s="152"/>
      <c r="AS66" s="152"/>
      <c r="AT66" s="152"/>
      <c r="AU66" s="152"/>
      <c r="AV66" s="152"/>
      <c r="AW66" s="152"/>
      <c r="AX66" s="152"/>
      <c r="AY66" s="158"/>
      <c r="AZ66" s="180">
        <v>10043631</v>
      </c>
      <c r="BA66" s="179" t="s">
        <v>208</v>
      </c>
      <c r="BB66" s="126">
        <v>1</v>
      </c>
      <c r="BC66" s="126" t="s">
        <v>209</v>
      </c>
      <c r="BD66" s="179" t="s">
        <v>210</v>
      </c>
      <c r="BE66" s="179" t="s">
        <v>211</v>
      </c>
      <c r="BF66" s="179"/>
      <c r="BG66" s="179"/>
    </row>
    <row r="67" spans="1:59">
      <c r="A67" s="127">
        <f t="shared" si="10"/>
        <v>1</v>
      </c>
      <c r="B67" s="150" t="str">
        <f t="shared" si="11"/>
        <v>1/1</v>
      </c>
      <c r="C67" s="151"/>
      <c r="D67" s="153"/>
      <c r="E67" s="153"/>
      <c r="F67" s="153"/>
      <c r="G67" s="153"/>
      <c r="H67" s="153" t="s">
        <v>9</v>
      </c>
      <c r="I67" s="153"/>
      <c r="J67" s="153"/>
      <c r="K67" s="159"/>
      <c r="L67" s="153"/>
      <c r="M67" s="153"/>
      <c r="N67" s="153"/>
      <c r="O67" s="153"/>
      <c r="P67" s="153"/>
      <c r="Q67" s="153"/>
      <c r="R67" s="153"/>
      <c r="S67" s="159"/>
      <c r="T67" s="153"/>
      <c r="U67" s="153"/>
      <c r="V67" s="153"/>
      <c r="W67" s="153"/>
      <c r="X67" s="153"/>
      <c r="Y67" s="153"/>
      <c r="Z67" s="153"/>
      <c r="AA67" s="159"/>
      <c r="AB67" s="153"/>
      <c r="AC67" s="153"/>
      <c r="AD67" s="153"/>
      <c r="AE67" s="153"/>
      <c r="AF67" s="153"/>
      <c r="AG67" s="153"/>
      <c r="AH67" s="153"/>
      <c r="AI67" s="159"/>
      <c r="AJ67" s="153"/>
      <c r="AK67" s="153"/>
      <c r="AL67" s="153"/>
      <c r="AM67" s="153"/>
      <c r="AN67" s="153"/>
      <c r="AO67" s="153"/>
      <c r="AP67" s="169"/>
      <c r="AQ67" s="158"/>
      <c r="AR67" s="152"/>
      <c r="AS67" s="152"/>
      <c r="AT67" s="152"/>
      <c r="AU67" s="152"/>
      <c r="AV67" s="152"/>
      <c r="AW67" s="152"/>
      <c r="AX67" s="152"/>
      <c r="AY67" s="158"/>
      <c r="AZ67" s="180">
        <v>10044496</v>
      </c>
      <c r="BA67" s="179" t="s">
        <v>212</v>
      </c>
      <c r="BB67" s="126">
        <v>1</v>
      </c>
      <c r="BC67" s="126" t="s">
        <v>209</v>
      </c>
      <c r="BD67" s="179" t="s">
        <v>213</v>
      </c>
      <c r="BE67" s="179" t="s">
        <v>211</v>
      </c>
      <c r="BF67" s="179"/>
      <c r="BG67" s="179"/>
    </row>
    <row r="68" spans="1:59">
      <c r="A68" s="127">
        <f t="shared" si="10"/>
        <v>0</v>
      </c>
      <c r="B68" s="150" t="str">
        <f t="shared" si="11"/>
        <v>1/2</v>
      </c>
      <c r="C68" s="151"/>
      <c r="D68" s="153"/>
      <c r="E68" s="153"/>
      <c r="F68" s="153"/>
      <c r="G68" s="153"/>
      <c r="H68" s="153"/>
      <c r="I68" s="153" t="s">
        <v>9</v>
      </c>
      <c r="J68" s="153"/>
      <c r="K68" s="159"/>
      <c r="L68" s="153"/>
      <c r="M68" s="153"/>
      <c r="N68" s="153"/>
      <c r="O68" s="153"/>
      <c r="P68" s="153"/>
      <c r="Q68" s="153"/>
      <c r="R68" s="153"/>
      <c r="S68" s="159"/>
      <c r="T68" s="153"/>
      <c r="U68" s="153"/>
      <c r="V68" s="153"/>
      <c r="W68" s="153"/>
      <c r="X68" s="153"/>
      <c r="Y68" s="153"/>
      <c r="Z68" s="153"/>
      <c r="AA68" s="159"/>
      <c r="AB68" s="153"/>
      <c r="AC68" s="153"/>
      <c r="AD68" s="153"/>
      <c r="AE68" s="153"/>
      <c r="AF68" s="153"/>
      <c r="AG68" s="153"/>
      <c r="AH68" s="153"/>
      <c r="AI68" s="159"/>
      <c r="AJ68" s="153"/>
      <c r="AK68" s="153"/>
      <c r="AL68" s="153"/>
      <c r="AM68" s="153"/>
      <c r="AN68" s="153"/>
      <c r="AO68" s="153"/>
      <c r="AP68" s="169"/>
      <c r="AQ68" s="158"/>
      <c r="AR68" s="152"/>
      <c r="AS68" s="152"/>
      <c r="AT68" s="152"/>
      <c r="AU68" s="152"/>
      <c r="AV68" s="152"/>
      <c r="AW68" s="152"/>
      <c r="AX68" s="152"/>
      <c r="AY68" s="158"/>
      <c r="AZ68" s="180">
        <v>10041276</v>
      </c>
      <c r="BA68" s="179" t="s">
        <v>214</v>
      </c>
      <c r="BB68" s="126">
        <v>2</v>
      </c>
      <c r="BC68" s="126" t="s">
        <v>215</v>
      </c>
      <c r="BD68" s="179" t="s">
        <v>12</v>
      </c>
      <c r="BE68" s="179" t="s">
        <v>216</v>
      </c>
      <c r="BF68" s="179"/>
      <c r="BG68" s="179"/>
    </row>
    <row r="69" spans="1:59">
      <c r="A69" s="127">
        <f t="shared" si="10"/>
        <v>1</v>
      </c>
      <c r="B69" s="150" t="str">
        <f t="shared" si="11"/>
        <v>1/1</v>
      </c>
      <c r="C69" s="151"/>
      <c r="D69" s="153"/>
      <c r="E69" s="153"/>
      <c r="F69" s="153"/>
      <c r="G69" s="153"/>
      <c r="H69" s="153"/>
      <c r="I69" s="153"/>
      <c r="J69" s="153"/>
      <c r="K69" s="159"/>
      <c r="L69" s="153"/>
      <c r="M69" s="153"/>
      <c r="N69" s="153"/>
      <c r="O69" s="153"/>
      <c r="P69" s="153"/>
      <c r="Q69" s="153" t="s">
        <v>9</v>
      </c>
      <c r="R69" s="153"/>
      <c r="S69" s="159"/>
      <c r="T69" s="153"/>
      <c r="U69" s="153"/>
      <c r="V69" s="153"/>
      <c r="W69" s="153"/>
      <c r="X69" s="153"/>
      <c r="Y69" s="153"/>
      <c r="Z69" s="153"/>
      <c r="AA69" s="159"/>
      <c r="AB69" s="153"/>
      <c r="AC69" s="153"/>
      <c r="AD69" s="153"/>
      <c r="AE69" s="153"/>
      <c r="AF69" s="153"/>
      <c r="AG69" s="153"/>
      <c r="AH69" s="153"/>
      <c r="AI69" s="159"/>
      <c r="AJ69" s="153"/>
      <c r="AK69" s="153"/>
      <c r="AL69" s="153"/>
      <c r="AM69" s="153"/>
      <c r="AN69" s="153"/>
      <c r="AO69" s="153"/>
      <c r="AP69" s="169"/>
      <c r="AQ69" s="158"/>
      <c r="AR69" s="152"/>
      <c r="AS69" s="152"/>
      <c r="AT69" s="152"/>
      <c r="AU69" s="152"/>
      <c r="AV69" s="152"/>
      <c r="AW69" s="152"/>
      <c r="AX69" s="152"/>
      <c r="AY69" s="158"/>
      <c r="AZ69" s="180">
        <v>10040476</v>
      </c>
      <c r="BA69" s="179" t="s">
        <v>217</v>
      </c>
      <c r="BB69" s="126">
        <v>1</v>
      </c>
      <c r="BC69" s="126" t="s">
        <v>218</v>
      </c>
      <c r="BD69" s="179" t="s">
        <v>219</v>
      </c>
      <c r="BE69" s="179" t="s">
        <v>220</v>
      </c>
      <c r="BF69" s="179"/>
      <c r="BG69" s="179"/>
    </row>
    <row r="70" spans="1:59">
      <c r="A70" s="127">
        <f t="shared" ref="A70:A133" si="12">IF($AZ70&lt;&gt;"",IF(COUNTIF($D70:$AP70,"a")&gt;$BB70,2,IF(COUNTIF($D70:$AP70,"a")=$BB70,1,0)),"")</f>
        <v>1</v>
      </c>
      <c r="B70" s="150" t="str">
        <f t="shared" ref="B70:B133" si="13">IF($AZ70&lt;&gt;"",COUNTIF($D70:$AP70,"a")&amp;"/"&amp;BB70,"")</f>
        <v>1/1</v>
      </c>
      <c r="C70" s="151"/>
      <c r="D70" s="153"/>
      <c r="E70" s="153"/>
      <c r="F70" s="153"/>
      <c r="G70" s="153"/>
      <c r="H70" s="153"/>
      <c r="I70" s="153"/>
      <c r="J70" s="153"/>
      <c r="K70" s="159"/>
      <c r="L70" s="153"/>
      <c r="M70" s="153"/>
      <c r="N70" s="153"/>
      <c r="O70" s="153"/>
      <c r="P70" s="153"/>
      <c r="Q70" s="153"/>
      <c r="R70" s="153"/>
      <c r="S70" s="159"/>
      <c r="T70" s="153"/>
      <c r="U70" s="153"/>
      <c r="V70" s="153" t="s">
        <v>9</v>
      </c>
      <c r="W70" s="153"/>
      <c r="X70" s="153"/>
      <c r="Y70" s="153"/>
      <c r="Z70" s="153"/>
      <c r="AA70" s="159"/>
      <c r="AB70" s="153"/>
      <c r="AC70" s="153"/>
      <c r="AD70" s="153"/>
      <c r="AE70" s="153"/>
      <c r="AF70" s="153"/>
      <c r="AG70" s="153"/>
      <c r="AH70" s="153"/>
      <c r="AI70" s="159"/>
      <c r="AJ70" s="153"/>
      <c r="AK70" s="153"/>
      <c r="AL70" s="153"/>
      <c r="AM70" s="153"/>
      <c r="AN70" s="153"/>
      <c r="AO70" s="153"/>
      <c r="AP70" s="169"/>
      <c r="AQ70" s="158"/>
      <c r="AR70" s="152"/>
      <c r="AS70" s="152"/>
      <c r="AT70" s="152"/>
      <c r="AU70" s="152"/>
      <c r="AV70" s="152"/>
      <c r="AW70" s="152"/>
      <c r="AX70" s="152"/>
      <c r="AY70" s="158"/>
      <c r="AZ70" s="180">
        <v>10028964</v>
      </c>
      <c r="BA70" s="179" t="s">
        <v>221</v>
      </c>
      <c r="BB70" s="126">
        <v>1</v>
      </c>
      <c r="BC70" s="126" t="s">
        <v>222</v>
      </c>
      <c r="BD70" s="179" t="s">
        <v>223</v>
      </c>
      <c r="BE70" s="179" t="s">
        <v>224</v>
      </c>
      <c r="BF70" s="179"/>
      <c r="BG70" s="179"/>
    </row>
    <row r="71" spans="1:59">
      <c r="A71" s="127">
        <f t="shared" si="12"/>
        <v>1</v>
      </c>
      <c r="B71" s="150" t="str">
        <f t="shared" si="13"/>
        <v>1/1</v>
      </c>
      <c r="C71" s="151"/>
      <c r="D71" s="153"/>
      <c r="E71" s="153"/>
      <c r="F71" s="153"/>
      <c r="G71" s="153"/>
      <c r="H71" s="153"/>
      <c r="I71" s="153"/>
      <c r="J71" s="153"/>
      <c r="K71" s="159"/>
      <c r="L71" s="153"/>
      <c r="M71" s="153"/>
      <c r="N71" s="153"/>
      <c r="O71" s="153"/>
      <c r="P71" s="153"/>
      <c r="Q71" s="153"/>
      <c r="R71" s="153"/>
      <c r="S71" s="159"/>
      <c r="T71" s="153"/>
      <c r="U71" s="153"/>
      <c r="V71" s="153"/>
      <c r="W71" s="153"/>
      <c r="X71" s="153"/>
      <c r="Y71" s="153" t="s">
        <v>9</v>
      </c>
      <c r="Z71" s="153"/>
      <c r="AA71" s="159"/>
      <c r="AB71" s="153"/>
      <c r="AC71" s="153"/>
      <c r="AD71" s="153"/>
      <c r="AE71" s="153"/>
      <c r="AF71" s="153"/>
      <c r="AG71" s="153"/>
      <c r="AH71" s="153"/>
      <c r="AI71" s="159"/>
      <c r="AJ71" s="153"/>
      <c r="AK71" s="153"/>
      <c r="AL71" s="153"/>
      <c r="AM71" s="153"/>
      <c r="AN71" s="153"/>
      <c r="AO71" s="153"/>
      <c r="AP71" s="169"/>
      <c r="AQ71" s="158"/>
      <c r="AR71" s="152"/>
      <c r="AS71" s="152"/>
      <c r="AT71" s="152"/>
      <c r="AU71" s="152"/>
      <c r="AV71" s="152"/>
      <c r="AW71" s="152"/>
      <c r="AX71" s="152"/>
      <c r="AY71" s="158"/>
      <c r="AZ71" s="180">
        <v>10017231</v>
      </c>
      <c r="BA71" s="179" t="s">
        <v>225</v>
      </c>
      <c r="BB71" s="126">
        <v>1</v>
      </c>
      <c r="BC71" s="126" t="s">
        <v>226</v>
      </c>
      <c r="BD71" s="179" t="s">
        <v>227</v>
      </c>
      <c r="BE71" s="179" t="s">
        <v>228</v>
      </c>
      <c r="BF71" s="179"/>
      <c r="BG71" s="179"/>
    </row>
    <row r="72" spans="1:59">
      <c r="A72" s="127">
        <f t="shared" si="12"/>
        <v>0</v>
      </c>
      <c r="B72" s="150" t="str">
        <f t="shared" si="13"/>
        <v>1/2</v>
      </c>
      <c r="C72" s="151"/>
      <c r="D72" s="153"/>
      <c r="E72" s="153"/>
      <c r="F72" s="153"/>
      <c r="G72" s="153"/>
      <c r="H72" s="153"/>
      <c r="I72" s="153"/>
      <c r="J72" s="153"/>
      <c r="K72" s="159"/>
      <c r="L72" s="153"/>
      <c r="M72" s="153"/>
      <c r="N72" s="153"/>
      <c r="O72" s="153"/>
      <c r="P72" s="153"/>
      <c r="Q72" s="153"/>
      <c r="R72" s="153"/>
      <c r="S72" s="159"/>
      <c r="T72" s="153"/>
      <c r="U72" s="153"/>
      <c r="V72" s="153"/>
      <c r="W72" s="153"/>
      <c r="X72" s="153"/>
      <c r="Y72" s="153"/>
      <c r="Z72" s="153"/>
      <c r="AA72" s="159"/>
      <c r="AB72" s="153"/>
      <c r="AC72" s="153"/>
      <c r="AD72" s="153" t="s">
        <v>9</v>
      </c>
      <c r="AE72" s="153"/>
      <c r="AF72" s="153"/>
      <c r="AG72" s="153"/>
      <c r="AH72" s="153"/>
      <c r="AI72" s="159"/>
      <c r="AJ72" s="153"/>
      <c r="AK72" s="153"/>
      <c r="AL72" s="153"/>
      <c r="AM72" s="153"/>
      <c r="AN72" s="153"/>
      <c r="AO72" s="153"/>
      <c r="AP72" s="169"/>
      <c r="AQ72" s="158"/>
      <c r="AR72" s="152"/>
      <c r="AS72" s="152"/>
      <c r="AT72" s="152"/>
      <c r="AU72" s="152"/>
      <c r="AV72" s="152"/>
      <c r="AW72" s="152"/>
      <c r="AX72" s="152"/>
      <c r="AY72" s="158"/>
      <c r="AZ72" s="180">
        <v>10043580</v>
      </c>
      <c r="BA72" s="179" t="s">
        <v>229</v>
      </c>
      <c r="BB72" s="126">
        <v>2</v>
      </c>
      <c r="BC72" s="126" t="s">
        <v>230</v>
      </c>
      <c r="BD72" s="179" t="s">
        <v>12</v>
      </c>
      <c r="BE72" s="179" t="s">
        <v>231</v>
      </c>
      <c r="BF72" s="179"/>
      <c r="BG72" s="179"/>
    </row>
    <row r="73" spans="1:59">
      <c r="A73" s="127">
        <f t="shared" si="12"/>
        <v>1</v>
      </c>
      <c r="B73" s="150" t="str">
        <f t="shared" si="13"/>
        <v>1/1</v>
      </c>
      <c r="C73" s="151"/>
      <c r="D73" s="153"/>
      <c r="E73" s="153"/>
      <c r="F73" s="153"/>
      <c r="G73" s="153"/>
      <c r="H73" s="153"/>
      <c r="I73" s="153"/>
      <c r="J73" s="153"/>
      <c r="K73" s="159"/>
      <c r="L73" s="153"/>
      <c r="M73" s="153"/>
      <c r="N73" s="153"/>
      <c r="O73" s="153"/>
      <c r="P73" s="153"/>
      <c r="Q73" s="153"/>
      <c r="R73" s="153"/>
      <c r="S73" s="159"/>
      <c r="T73" s="153"/>
      <c r="U73" s="153"/>
      <c r="V73" s="153"/>
      <c r="W73" s="153"/>
      <c r="X73" s="153"/>
      <c r="Y73" s="153"/>
      <c r="Z73" s="153"/>
      <c r="AA73" s="159"/>
      <c r="AB73" s="153"/>
      <c r="AC73" s="153"/>
      <c r="AD73" s="153"/>
      <c r="AE73" s="153" t="s">
        <v>9</v>
      </c>
      <c r="AF73" s="153"/>
      <c r="AG73" s="153"/>
      <c r="AH73" s="153"/>
      <c r="AI73" s="159"/>
      <c r="AJ73" s="153"/>
      <c r="AK73" s="153"/>
      <c r="AL73" s="153"/>
      <c r="AM73" s="153"/>
      <c r="AN73" s="153"/>
      <c r="AO73" s="153"/>
      <c r="AP73" s="169"/>
      <c r="AQ73" s="158"/>
      <c r="AR73" s="152"/>
      <c r="AS73" s="152"/>
      <c r="AT73" s="152"/>
      <c r="AU73" s="152"/>
      <c r="AV73" s="152"/>
      <c r="AW73" s="152"/>
      <c r="AX73" s="152"/>
      <c r="AY73" s="158"/>
      <c r="AZ73" s="180">
        <v>10014958</v>
      </c>
      <c r="BA73" s="179" t="s">
        <v>232</v>
      </c>
      <c r="BB73" s="126">
        <v>1</v>
      </c>
      <c r="BC73" s="126" t="s">
        <v>233</v>
      </c>
      <c r="BD73" s="179" t="s">
        <v>12</v>
      </c>
      <c r="BE73" s="179" t="s">
        <v>234</v>
      </c>
      <c r="BF73" s="179"/>
      <c r="BG73" s="179"/>
    </row>
    <row r="74" spans="1:59">
      <c r="A74" s="127">
        <f t="shared" si="12"/>
        <v>1</v>
      </c>
      <c r="B74" s="150" t="str">
        <f t="shared" si="13"/>
        <v>1/1</v>
      </c>
      <c r="C74" s="151"/>
      <c r="D74" s="153"/>
      <c r="E74" s="153"/>
      <c r="F74" s="153"/>
      <c r="G74" s="153"/>
      <c r="H74" s="153"/>
      <c r="I74" s="153"/>
      <c r="J74" s="153"/>
      <c r="K74" s="159"/>
      <c r="L74" s="153"/>
      <c r="M74" s="153"/>
      <c r="N74" s="153"/>
      <c r="O74" s="153"/>
      <c r="P74" s="153"/>
      <c r="Q74" s="153"/>
      <c r="R74" s="153"/>
      <c r="S74" s="159"/>
      <c r="T74" s="153"/>
      <c r="U74" s="153"/>
      <c r="V74" s="153"/>
      <c r="W74" s="153"/>
      <c r="X74" s="153"/>
      <c r="Y74" s="153"/>
      <c r="Z74" s="153"/>
      <c r="AA74" s="159"/>
      <c r="AB74" s="153"/>
      <c r="AC74" s="153"/>
      <c r="AD74" s="153"/>
      <c r="AE74" s="153" t="s">
        <v>9</v>
      </c>
      <c r="AF74" s="153"/>
      <c r="AG74" s="153"/>
      <c r="AH74" s="153"/>
      <c r="AI74" s="159"/>
      <c r="AJ74" s="153"/>
      <c r="AK74" s="153"/>
      <c r="AL74" s="153"/>
      <c r="AM74" s="153"/>
      <c r="AN74" s="153"/>
      <c r="AO74" s="153"/>
      <c r="AP74" s="169"/>
      <c r="AQ74" s="158"/>
      <c r="AR74" s="152"/>
      <c r="AS74" s="152"/>
      <c r="AT74" s="152"/>
      <c r="AU74" s="152"/>
      <c r="AV74" s="152"/>
      <c r="AW74" s="152"/>
      <c r="AX74" s="152"/>
      <c r="AY74" s="158"/>
      <c r="AZ74" s="180">
        <v>10044458</v>
      </c>
      <c r="BA74" s="179" t="s">
        <v>235</v>
      </c>
      <c r="BB74" s="126">
        <v>1</v>
      </c>
      <c r="BC74" s="126" t="s">
        <v>236</v>
      </c>
      <c r="BD74" s="179" t="s">
        <v>237</v>
      </c>
      <c r="BE74" s="179" t="s">
        <v>238</v>
      </c>
      <c r="BF74" s="179"/>
      <c r="BG74" s="179"/>
    </row>
    <row r="75" spans="1:59">
      <c r="A75" s="127">
        <f t="shared" si="12"/>
        <v>1</v>
      </c>
      <c r="B75" s="150" t="str">
        <f t="shared" si="13"/>
        <v>1/1</v>
      </c>
      <c r="C75" s="151"/>
      <c r="D75" s="153"/>
      <c r="E75" s="153"/>
      <c r="F75" s="153"/>
      <c r="G75" s="153"/>
      <c r="H75" s="153"/>
      <c r="I75" s="153"/>
      <c r="J75" s="153"/>
      <c r="K75" s="159"/>
      <c r="L75" s="153"/>
      <c r="M75" s="153"/>
      <c r="N75" s="153"/>
      <c r="O75" s="153"/>
      <c r="P75" s="153"/>
      <c r="Q75" s="153"/>
      <c r="R75" s="153"/>
      <c r="S75" s="159"/>
      <c r="T75" s="153"/>
      <c r="U75" s="153"/>
      <c r="V75" s="153"/>
      <c r="W75" s="153"/>
      <c r="X75" s="153"/>
      <c r="Y75" s="153"/>
      <c r="Z75" s="153"/>
      <c r="AA75" s="159"/>
      <c r="AB75" s="153"/>
      <c r="AC75" s="153"/>
      <c r="AD75" s="153"/>
      <c r="AE75" s="153"/>
      <c r="AF75" s="153"/>
      <c r="AG75" s="153"/>
      <c r="AH75" s="153"/>
      <c r="AI75" s="159"/>
      <c r="AJ75" s="153"/>
      <c r="AK75" s="153"/>
      <c r="AL75" s="153" t="s">
        <v>9</v>
      </c>
      <c r="AM75" s="153"/>
      <c r="AN75" s="153"/>
      <c r="AO75" s="153"/>
      <c r="AP75" s="169"/>
      <c r="AQ75" s="158"/>
      <c r="AR75" s="152"/>
      <c r="AS75" s="152"/>
      <c r="AT75" s="152"/>
      <c r="AU75" s="152"/>
      <c r="AV75" s="152"/>
      <c r="AW75" s="152"/>
      <c r="AX75" s="152"/>
      <c r="AY75" s="158"/>
      <c r="AZ75" s="180">
        <v>10045350</v>
      </c>
      <c r="BA75" s="179" t="s">
        <v>239</v>
      </c>
      <c r="BB75" s="126">
        <v>1</v>
      </c>
      <c r="BC75" s="126" t="s">
        <v>240</v>
      </c>
      <c r="BD75" s="179" t="s">
        <v>241</v>
      </c>
      <c r="BE75" s="179" t="s">
        <v>242</v>
      </c>
      <c r="BF75" s="179"/>
      <c r="BG75" s="179"/>
    </row>
    <row r="76" spans="1:59">
      <c r="A76" s="127">
        <f t="shared" si="12"/>
        <v>1</v>
      </c>
      <c r="B76" s="150" t="str">
        <f t="shared" si="13"/>
        <v>1/1</v>
      </c>
      <c r="C76" s="151"/>
      <c r="D76" s="153"/>
      <c r="E76" s="153"/>
      <c r="F76" s="153"/>
      <c r="G76" s="153"/>
      <c r="H76" s="153"/>
      <c r="I76" s="153"/>
      <c r="J76" s="153"/>
      <c r="K76" s="159"/>
      <c r="L76" s="153"/>
      <c r="M76" s="153"/>
      <c r="N76" s="153"/>
      <c r="O76" s="153"/>
      <c r="P76" s="153"/>
      <c r="Q76" s="153"/>
      <c r="R76" s="153"/>
      <c r="S76" s="159"/>
      <c r="T76" s="153"/>
      <c r="U76" s="153"/>
      <c r="V76" s="153"/>
      <c r="W76" s="153"/>
      <c r="X76" s="153"/>
      <c r="Y76" s="153"/>
      <c r="Z76" s="153"/>
      <c r="AA76" s="159"/>
      <c r="AB76" s="153"/>
      <c r="AC76" s="153"/>
      <c r="AD76" s="153"/>
      <c r="AE76" s="153" t="s">
        <v>9</v>
      </c>
      <c r="AF76" s="153"/>
      <c r="AG76" s="153"/>
      <c r="AH76" s="153"/>
      <c r="AI76" s="159"/>
      <c r="AJ76" s="153"/>
      <c r="AK76" s="153"/>
      <c r="AL76" s="153"/>
      <c r="AM76" s="153"/>
      <c r="AN76" s="153"/>
      <c r="AO76" s="153"/>
      <c r="AP76" s="169"/>
      <c r="AQ76" s="158"/>
      <c r="AR76" s="152"/>
      <c r="AS76" s="152"/>
      <c r="AT76" s="152"/>
      <c r="AU76" s="152"/>
      <c r="AV76" s="152"/>
      <c r="AW76" s="152"/>
      <c r="AX76" s="152"/>
      <c r="AY76" s="158"/>
      <c r="AZ76" s="180">
        <v>10044684</v>
      </c>
      <c r="BA76" s="179" t="s">
        <v>243</v>
      </c>
      <c r="BB76" s="126">
        <v>1</v>
      </c>
      <c r="BC76" s="126" t="s">
        <v>244</v>
      </c>
      <c r="BD76" s="179" t="s">
        <v>22</v>
      </c>
      <c r="BE76" s="179" t="s">
        <v>245</v>
      </c>
      <c r="BF76" s="179"/>
      <c r="BG76" s="179"/>
    </row>
    <row r="77" spans="1:59">
      <c r="A77" s="127">
        <f t="shared" si="12"/>
        <v>1</v>
      </c>
      <c r="B77" s="150" t="str">
        <f t="shared" si="13"/>
        <v>1/1</v>
      </c>
      <c r="C77" s="151"/>
      <c r="D77" s="153"/>
      <c r="E77" s="153"/>
      <c r="F77" s="153"/>
      <c r="G77" s="153"/>
      <c r="H77" s="153"/>
      <c r="I77" s="153"/>
      <c r="J77" s="153"/>
      <c r="K77" s="159"/>
      <c r="L77" s="153"/>
      <c r="M77" s="153"/>
      <c r="N77" s="153"/>
      <c r="O77" s="153"/>
      <c r="P77" s="153"/>
      <c r="Q77" s="153"/>
      <c r="R77" s="153"/>
      <c r="S77" s="159"/>
      <c r="T77" s="153"/>
      <c r="U77" s="153"/>
      <c r="V77" s="153"/>
      <c r="W77" s="153"/>
      <c r="X77" s="153"/>
      <c r="Y77" s="153"/>
      <c r="Z77" s="153"/>
      <c r="AA77" s="159"/>
      <c r="AB77" s="153"/>
      <c r="AC77" s="153"/>
      <c r="AD77" s="153"/>
      <c r="AE77" s="153"/>
      <c r="AF77" s="153"/>
      <c r="AG77" s="153"/>
      <c r="AH77" s="153"/>
      <c r="AI77" s="159"/>
      <c r="AJ77" s="153"/>
      <c r="AK77" s="153"/>
      <c r="AL77" s="153" t="s">
        <v>9</v>
      </c>
      <c r="AM77" s="153"/>
      <c r="AN77" s="153"/>
      <c r="AO77" s="153"/>
      <c r="AP77" s="169"/>
      <c r="AQ77" s="158"/>
      <c r="AR77" s="152"/>
      <c r="AS77" s="152"/>
      <c r="AT77" s="152"/>
      <c r="AU77" s="152"/>
      <c r="AV77" s="152"/>
      <c r="AW77" s="152"/>
      <c r="AX77" s="152"/>
      <c r="AY77" s="158"/>
      <c r="AZ77" s="180">
        <v>10002899</v>
      </c>
      <c r="BA77" s="179" t="s">
        <v>246</v>
      </c>
      <c r="BB77" s="126">
        <v>1</v>
      </c>
      <c r="BC77" s="126" t="s">
        <v>247</v>
      </c>
      <c r="BD77" s="179" t="s">
        <v>22</v>
      </c>
      <c r="BE77" s="179" t="s">
        <v>248</v>
      </c>
      <c r="BF77" s="179"/>
      <c r="BG77" s="179"/>
    </row>
    <row r="78" spans="1:59">
      <c r="A78" s="127">
        <f t="shared" si="12"/>
        <v>1</v>
      </c>
      <c r="B78" s="150" t="str">
        <f t="shared" si="13"/>
        <v>1/1</v>
      </c>
      <c r="C78" s="151"/>
      <c r="D78" s="153"/>
      <c r="E78" s="153"/>
      <c r="F78" s="153"/>
      <c r="G78" s="153"/>
      <c r="H78" s="153"/>
      <c r="I78" s="153"/>
      <c r="J78" s="153"/>
      <c r="K78" s="159"/>
      <c r="L78" s="153"/>
      <c r="M78" s="153"/>
      <c r="N78" s="153"/>
      <c r="O78" s="153"/>
      <c r="P78" s="153"/>
      <c r="Q78" s="153"/>
      <c r="R78" s="153"/>
      <c r="S78" s="159"/>
      <c r="T78" s="153"/>
      <c r="U78" s="153"/>
      <c r="V78" s="153"/>
      <c r="W78" s="153"/>
      <c r="X78" s="153"/>
      <c r="Y78" s="153"/>
      <c r="Z78" s="153"/>
      <c r="AA78" s="159"/>
      <c r="AB78" s="153"/>
      <c r="AC78" s="153"/>
      <c r="AD78" s="153"/>
      <c r="AE78" s="153"/>
      <c r="AF78" s="153"/>
      <c r="AG78" s="153"/>
      <c r="AH78" s="153"/>
      <c r="AI78" s="159"/>
      <c r="AJ78" s="153"/>
      <c r="AK78" s="153"/>
      <c r="AL78" s="153" t="s">
        <v>9</v>
      </c>
      <c r="AM78" s="153"/>
      <c r="AN78" s="153"/>
      <c r="AO78" s="153"/>
      <c r="AP78" s="169"/>
      <c r="AQ78" s="158"/>
      <c r="AR78" s="152"/>
      <c r="AS78" s="152"/>
      <c r="AT78" s="152"/>
      <c r="AU78" s="152"/>
      <c r="AV78" s="152"/>
      <c r="AW78" s="152"/>
      <c r="AX78" s="152"/>
      <c r="AY78" s="158"/>
      <c r="AZ78" s="180">
        <v>10044280</v>
      </c>
      <c r="BA78" s="179" t="s">
        <v>249</v>
      </c>
      <c r="BB78" s="126">
        <v>1</v>
      </c>
      <c r="BC78" s="126" t="s">
        <v>250</v>
      </c>
      <c r="BD78" s="179" t="s">
        <v>251</v>
      </c>
      <c r="BE78" s="179" t="s">
        <v>252</v>
      </c>
      <c r="BF78" s="179"/>
      <c r="BG78" s="179"/>
    </row>
    <row r="79" spans="1:59">
      <c r="A79" s="127">
        <f t="shared" si="12"/>
        <v>1</v>
      </c>
      <c r="B79" s="150" t="str">
        <f t="shared" si="13"/>
        <v>1/1</v>
      </c>
      <c r="C79" s="151"/>
      <c r="D79" s="153"/>
      <c r="E79" s="153"/>
      <c r="F79" s="153"/>
      <c r="G79" s="153"/>
      <c r="H79" s="153"/>
      <c r="I79" s="153"/>
      <c r="J79" s="153"/>
      <c r="K79" s="159"/>
      <c r="L79" s="153"/>
      <c r="M79" s="153"/>
      <c r="N79" s="153"/>
      <c r="O79" s="153"/>
      <c r="P79" s="153"/>
      <c r="Q79" s="153"/>
      <c r="R79" s="153"/>
      <c r="S79" s="159"/>
      <c r="T79" s="153"/>
      <c r="U79" s="153"/>
      <c r="V79" s="153"/>
      <c r="W79" s="153"/>
      <c r="X79" s="153"/>
      <c r="Y79" s="153"/>
      <c r="Z79" s="153"/>
      <c r="AA79" s="159"/>
      <c r="AB79" s="153"/>
      <c r="AC79" s="153"/>
      <c r="AD79" s="153"/>
      <c r="AE79" s="153"/>
      <c r="AF79" s="153"/>
      <c r="AG79" s="153" t="s">
        <v>9</v>
      </c>
      <c r="AH79" s="153"/>
      <c r="AI79" s="159"/>
      <c r="AJ79" s="153"/>
      <c r="AK79" s="153"/>
      <c r="AL79" s="153"/>
      <c r="AM79" s="153"/>
      <c r="AN79" s="153"/>
      <c r="AO79" s="153"/>
      <c r="AP79" s="169"/>
      <c r="AQ79" s="158"/>
      <c r="AR79" s="152"/>
      <c r="AS79" s="152"/>
      <c r="AT79" s="152"/>
      <c r="AU79" s="152"/>
      <c r="AV79" s="152"/>
      <c r="AW79" s="152"/>
      <c r="AX79" s="152"/>
      <c r="AY79" s="158"/>
      <c r="AZ79" s="180">
        <v>10044069</v>
      </c>
      <c r="BA79" s="179" t="s">
        <v>253</v>
      </c>
      <c r="BB79" s="126">
        <v>1</v>
      </c>
      <c r="BC79" s="126" t="s">
        <v>254</v>
      </c>
      <c r="BD79" s="179" t="s">
        <v>255</v>
      </c>
      <c r="BE79" s="179" t="s">
        <v>256</v>
      </c>
      <c r="BF79" s="179"/>
      <c r="BG79" s="179"/>
    </row>
    <row r="80" spans="1:59">
      <c r="A80" s="127">
        <f t="shared" si="12"/>
        <v>1</v>
      </c>
      <c r="B80" s="150" t="str">
        <f t="shared" si="13"/>
        <v>1/1</v>
      </c>
      <c r="C80" s="151"/>
      <c r="D80" s="153"/>
      <c r="E80" s="153"/>
      <c r="F80" s="153"/>
      <c r="G80" s="153"/>
      <c r="H80" s="153"/>
      <c r="I80" s="153"/>
      <c r="J80" s="153"/>
      <c r="K80" s="159"/>
      <c r="L80" s="153"/>
      <c r="M80" s="153"/>
      <c r="N80" s="153"/>
      <c r="O80" s="153"/>
      <c r="P80" s="153"/>
      <c r="Q80" s="153"/>
      <c r="R80" s="153"/>
      <c r="S80" s="159"/>
      <c r="T80" s="153"/>
      <c r="U80" s="153"/>
      <c r="V80" s="153"/>
      <c r="W80" s="153"/>
      <c r="X80" s="153" t="s">
        <v>9</v>
      </c>
      <c r="Y80" s="153"/>
      <c r="Z80" s="153"/>
      <c r="AA80" s="159"/>
      <c r="AB80" s="153"/>
      <c r="AC80" s="153"/>
      <c r="AD80" s="153"/>
      <c r="AE80" s="153"/>
      <c r="AF80" s="153"/>
      <c r="AG80" s="153"/>
      <c r="AH80" s="153"/>
      <c r="AI80" s="159"/>
      <c r="AJ80" s="153"/>
      <c r="AK80" s="153"/>
      <c r="AL80" s="153"/>
      <c r="AM80" s="153"/>
      <c r="AN80" s="153"/>
      <c r="AO80" s="153"/>
      <c r="AP80" s="169"/>
      <c r="AQ80" s="158"/>
      <c r="AR80" s="152"/>
      <c r="AS80" s="152"/>
      <c r="AT80" s="152"/>
      <c r="AU80" s="152"/>
      <c r="AV80" s="152"/>
      <c r="AW80" s="152"/>
      <c r="AX80" s="152"/>
      <c r="AY80" s="158"/>
      <c r="AZ80" s="180">
        <v>10046272</v>
      </c>
      <c r="BA80" s="179" t="s">
        <v>257</v>
      </c>
      <c r="BB80" s="126">
        <v>1</v>
      </c>
      <c r="BC80" s="126" t="s">
        <v>254</v>
      </c>
      <c r="BD80" s="179" t="s">
        <v>251</v>
      </c>
      <c r="BE80" s="179" t="s">
        <v>256</v>
      </c>
      <c r="BF80" s="179"/>
      <c r="BG80" s="179"/>
    </row>
    <row r="81" spans="1:59">
      <c r="A81" s="127">
        <f t="shared" si="12"/>
        <v>1</v>
      </c>
      <c r="B81" s="150" t="str">
        <f t="shared" si="13"/>
        <v>1/1</v>
      </c>
      <c r="C81" s="151"/>
      <c r="D81" s="153"/>
      <c r="E81" s="153"/>
      <c r="F81" s="153"/>
      <c r="G81" s="153"/>
      <c r="H81" s="153"/>
      <c r="I81" s="153"/>
      <c r="J81" s="153"/>
      <c r="K81" s="159"/>
      <c r="L81" s="153"/>
      <c r="M81" s="153"/>
      <c r="N81" s="153"/>
      <c r="O81" s="153"/>
      <c r="P81" s="153"/>
      <c r="Q81" s="153"/>
      <c r="R81" s="153"/>
      <c r="S81" s="159"/>
      <c r="T81" s="153"/>
      <c r="U81" s="153"/>
      <c r="V81" s="153"/>
      <c r="W81" s="153"/>
      <c r="X81" s="153" t="s">
        <v>9</v>
      </c>
      <c r="Y81" s="153"/>
      <c r="Z81" s="153"/>
      <c r="AA81" s="159"/>
      <c r="AB81" s="153"/>
      <c r="AC81" s="153"/>
      <c r="AD81" s="153"/>
      <c r="AE81" s="153"/>
      <c r="AF81" s="153"/>
      <c r="AG81" s="153"/>
      <c r="AH81" s="153"/>
      <c r="AI81" s="159"/>
      <c r="AJ81" s="153"/>
      <c r="AK81" s="153"/>
      <c r="AL81" s="153"/>
      <c r="AM81" s="153"/>
      <c r="AN81" s="153"/>
      <c r="AO81" s="153"/>
      <c r="AP81" s="169"/>
      <c r="AQ81" s="158"/>
      <c r="AR81" s="152"/>
      <c r="AS81" s="152"/>
      <c r="AT81" s="152"/>
      <c r="AU81" s="152"/>
      <c r="AV81" s="152"/>
      <c r="AW81" s="152"/>
      <c r="AX81" s="152"/>
      <c r="AY81" s="158"/>
      <c r="AZ81" s="180">
        <v>10040014</v>
      </c>
      <c r="BA81" s="179" t="s">
        <v>258</v>
      </c>
      <c r="BB81" s="126">
        <v>1</v>
      </c>
      <c r="BC81" s="126" t="s">
        <v>259</v>
      </c>
      <c r="BD81" s="179" t="s">
        <v>260</v>
      </c>
      <c r="BE81" s="179" t="s">
        <v>261</v>
      </c>
      <c r="BF81" s="179"/>
      <c r="BG81" s="179"/>
    </row>
    <row r="82" spans="1:59">
      <c r="A82" s="127">
        <f t="shared" si="12"/>
        <v>1</v>
      </c>
      <c r="B82" s="150" t="str">
        <f t="shared" si="13"/>
        <v>1/1</v>
      </c>
      <c r="C82" s="151"/>
      <c r="D82" s="153"/>
      <c r="E82" s="153"/>
      <c r="F82" s="153"/>
      <c r="G82" s="153"/>
      <c r="H82" s="153"/>
      <c r="I82" s="153"/>
      <c r="J82" s="153"/>
      <c r="K82" s="159"/>
      <c r="L82" s="153"/>
      <c r="M82" s="153"/>
      <c r="N82" s="153"/>
      <c r="O82" s="153" t="s">
        <v>9</v>
      </c>
      <c r="P82" s="153"/>
      <c r="Q82" s="153"/>
      <c r="R82" s="153"/>
      <c r="S82" s="159"/>
      <c r="T82" s="153"/>
      <c r="U82" s="153"/>
      <c r="V82" s="153"/>
      <c r="W82" s="153"/>
      <c r="X82" s="153"/>
      <c r="Y82" s="153"/>
      <c r="Z82" s="153"/>
      <c r="AA82" s="159"/>
      <c r="AB82" s="153"/>
      <c r="AC82" s="153"/>
      <c r="AD82" s="153"/>
      <c r="AE82" s="153"/>
      <c r="AF82" s="153"/>
      <c r="AG82" s="153"/>
      <c r="AH82" s="153"/>
      <c r="AI82" s="159"/>
      <c r="AJ82" s="153"/>
      <c r="AK82" s="153"/>
      <c r="AL82" s="153"/>
      <c r="AM82" s="153"/>
      <c r="AN82" s="153"/>
      <c r="AO82" s="153"/>
      <c r="AP82" s="169"/>
      <c r="AQ82" s="158"/>
      <c r="AR82" s="152"/>
      <c r="AS82" s="152"/>
      <c r="AT82" s="152"/>
      <c r="AU82" s="152"/>
      <c r="AV82" s="152"/>
      <c r="AW82" s="152"/>
      <c r="AX82" s="152"/>
      <c r="AY82" s="158"/>
      <c r="AZ82" s="180">
        <v>10045991</v>
      </c>
      <c r="BA82" s="179" t="s">
        <v>262</v>
      </c>
      <c r="BB82" s="126">
        <v>1</v>
      </c>
      <c r="BC82" s="126" t="s">
        <v>263</v>
      </c>
      <c r="BD82" s="179" t="s">
        <v>264</v>
      </c>
      <c r="BE82" s="179" t="s">
        <v>265</v>
      </c>
      <c r="BF82" s="179"/>
      <c r="BG82" s="179"/>
    </row>
    <row r="83" spans="1:59">
      <c r="A83" s="127">
        <f t="shared" si="12"/>
        <v>1</v>
      </c>
      <c r="B83" s="150" t="str">
        <f t="shared" si="13"/>
        <v>1/1</v>
      </c>
      <c r="C83" s="151"/>
      <c r="D83" s="153"/>
      <c r="E83" s="153"/>
      <c r="F83" s="153"/>
      <c r="G83" s="153"/>
      <c r="H83" s="153"/>
      <c r="I83" s="153"/>
      <c r="J83" s="153"/>
      <c r="K83" s="159"/>
      <c r="L83" s="153"/>
      <c r="M83" s="153"/>
      <c r="N83" s="153"/>
      <c r="O83" s="153" t="s">
        <v>9</v>
      </c>
      <c r="P83" s="153"/>
      <c r="Q83" s="153"/>
      <c r="R83" s="153"/>
      <c r="S83" s="159"/>
      <c r="T83" s="153"/>
      <c r="U83" s="153"/>
      <c r="V83" s="153"/>
      <c r="W83" s="153"/>
      <c r="X83" s="153"/>
      <c r="Y83" s="153"/>
      <c r="Z83" s="153"/>
      <c r="AA83" s="159"/>
      <c r="AB83" s="153"/>
      <c r="AC83" s="153"/>
      <c r="AD83" s="153"/>
      <c r="AE83" s="153"/>
      <c r="AF83" s="153"/>
      <c r="AG83" s="153"/>
      <c r="AH83" s="153"/>
      <c r="AI83" s="159"/>
      <c r="AJ83" s="153"/>
      <c r="AK83" s="153"/>
      <c r="AL83" s="153"/>
      <c r="AM83" s="153"/>
      <c r="AN83" s="153"/>
      <c r="AO83" s="153"/>
      <c r="AP83" s="169"/>
      <c r="AQ83" s="158"/>
      <c r="AR83" s="152"/>
      <c r="AS83" s="152"/>
      <c r="AT83" s="152"/>
      <c r="AU83" s="152"/>
      <c r="AV83" s="152"/>
      <c r="AW83" s="152"/>
      <c r="AX83" s="152"/>
      <c r="AY83" s="158"/>
      <c r="AZ83" s="180">
        <v>10044118</v>
      </c>
      <c r="BA83" s="179" t="s">
        <v>266</v>
      </c>
      <c r="BB83" s="126">
        <v>1</v>
      </c>
      <c r="BC83" s="126" t="s">
        <v>267</v>
      </c>
      <c r="BD83" s="179" t="s">
        <v>268</v>
      </c>
      <c r="BE83" s="179" t="s">
        <v>269</v>
      </c>
      <c r="BF83" s="179"/>
      <c r="BG83" s="179"/>
    </row>
    <row r="84" spans="1:59">
      <c r="A84" s="127">
        <f t="shared" si="12"/>
        <v>1</v>
      </c>
      <c r="B84" s="150" t="str">
        <f t="shared" si="13"/>
        <v>1/1</v>
      </c>
      <c r="C84" s="151"/>
      <c r="D84" s="153"/>
      <c r="E84" s="153"/>
      <c r="F84" s="153"/>
      <c r="G84" s="153"/>
      <c r="H84" s="153"/>
      <c r="I84" s="153"/>
      <c r="J84" s="153"/>
      <c r="K84" s="159"/>
      <c r="L84" s="153"/>
      <c r="M84" s="153"/>
      <c r="N84" s="153"/>
      <c r="O84" s="153" t="s">
        <v>9</v>
      </c>
      <c r="P84" s="153"/>
      <c r="Q84" s="153"/>
      <c r="R84" s="153"/>
      <c r="S84" s="159"/>
      <c r="T84" s="153"/>
      <c r="U84" s="153"/>
      <c r="V84" s="153"/>
      <c r="W84" s="153"/>
      <c r="X84" s="153"/>
      <c r="Y84" s="153"/>
      <c r="Z84" s="153"/>
      <c r="AA84" s="159"/>
      <c r="AB84" s="153"/>
      <c r="AC84" s="153"/>
      <c r="AD84" s="153"/>
      <c r="AE84" s="153"/>
      <c r="AF84" s="153"/>
      <c r="AG84" s="153"/>
      <c r="AH84" s="153"/>
      <c r="AI84" s="159"/>
      <c r="AJ84" s="153"/>
      <c r="AK84" s="153"/>
      <c r="AL84" s="153"/>
      <c r="AM84" s="153"/>
      <c r="AN84" s="153"/>
      <c r="AO84" s="153"/>
      <c r="AP84" s="169"/>
      <c r="AQ84" s="158"/>
      <c r="AR84" s="152"/>
      <c r="AS84" s="152"/>
      <c r="AT84" s="152"/>
      <c r="AU84" s="152"/>
      <c r="AV84" s="152"/>
      <c r="AW84" s="152"/>
      <c r="AX84" s="152"/>
      <c r="AY84" s="158"/>
      <c r="AZ84" s="180">
        <v>10046044</v>
      </c>
      <c r="BA84" s="179" t="s">
        <v>270</v>
      </c>
      <c r="BB84" s="126">
        <v>1</v>
      </c>
      <c r="BC84" s="126" t="s">
        <v>271</v>
      </c>
      <c r="BD84" s="179" t="s">
        <v>272</v>
      </c>
      <c r="BE84" s="179" t="s">
        <v>273</v>
      </c>
      <c r="BF84" s="179"/>
      <c r="BG84" s="179"/>
    </row>
    <row r="85" spans="1:59">
      <c r="A85" s="127">
        <f t="shared" si="12"/>
        <v>1</v>
      </c>
      <c r="B85" s="150" t="str">
        <f t="shared" si="13"/>
        <v>1/1</v>
      </c>
      <c r="C85" s="151"/>
      <c r="D85" s="153"/>
      <c r="E85" s="153"/>
      <c r="F85" s="153"/>
      <c r="G85" s="153" t="s">
        <v>9</v>
      </c>
      <c r="H85" s="153"/>
      <c r="I85" s="153"/>
      <c r="J85" s="153"/>
      <c r="K85" s="159"/>
      <c r="L85" s="153"/>
      <c r="M85" s="153"/>
      <c r="N85" s="153"/>
      <c r="O85" s="153"/>
      <c r="P85" s="153"/>
      <c r="Q85" s="153"/>
      <c r="R85" s="153"/>
      <c r="S85" s="159"/>
      <c r="T85" s="153"/>
      <c r="U85" s="153"/>
      <c r="V85" s="153"/>
      <c r="W85" s="153"/>
      <c r="X85" s="153"/>
      <c r="Y85" s="153"/>
      <c r="Z85" s="153"/>
      <c r="AA85" s="159"/>
      <c r="AB85" s="153"/>
      <c r="AC85" s="153"/>
      <c r="AD85" s="153"/>
      <c r="AE85" s="153"/>
      <c r="AF85" s="153"/>
      <c r="AG85" s="153"/>
      <c r="AH85" s="153"/>
      <c r="AI85" s="159"/>
      <c r="AJ85" s="153"/>
      <c r="AK85" s="153"/>
      <c r="AL85" s="153"/>
      <c r="AM85" s="153"/>
      <c r="AN85" s="153"/>
      <c r="AO85" s="153"/>
      <c r="AP85" s="169"/>
      <c r="AQ85" s="158"/>
      <c r="AR85" s="152"/>
      <c r="AS85" s="152"/>
      <c r="AT85" s="152"/>
      <c r="AU85" s="152"/>
      <c r="AV85" s="152"/>
      <c r="AW85" s="152"/>
      <c r="AX85" s="152"/>
      <c r="AY85" s="158"/>
      <c r="AZ85" s="180">
        <v>10038811</v>
      </c>
      <c r="BA85" s="179" t="s">
        <v>274</v>
      </c>
      <c r="BB85" s="126">
        <v>1</v>
      </c>
      <c r="BC85" s="126" t="s">
        <v>275</v>
      </c>
      <c r="BD85" s="179" t="s">
        <v>276</v>
      </c>
      <c r="BE85" s="179" t="s">
        <v>277</v>
      </c>
      <c r="BF85" s="179"/>
      <c r="BG85" s="179"/>
    </row>
    <row r="86" spans="1:59">
      <c r="A86" s="127">
        <f t="shared" si="12"/>
        <v>1</v>
      </c>
      <c r="B86" s="150" t="str">
        <f t="shared" si="13"/>
        <v>1/1</v>
      </c>
      <c r="C86" s="151"/>
      <c r="D86" s="153"/>
      <c r="E86" s="153"/>
      <c r="F86" s="153"/>
      <c r="G86" s="153" t="s">
        <v>9</v>
      </c>
      <c r="H86" s="153"/>
      <c r="I86" s="153"/>
      <c r="J86" s="153"/>
      <c r="K86" s="159"/>
      <c r="L86" s="153"/>
      <c r="M86" s="153"/>
      <c r="N86" s="153"/>
      <c r="O86" s="153"/>
      <c r="P86" s="153"/>
      <c r="Q86" s="153"/>
      <c r="R86" s="153"/>
      <c r="S86" s="159"/>
      <c r="T86" s="153"/>
      <c r="U86" s="153"/>
      <c r="V86" s="153"/>
      <c r="W86" s="153"/>
      <c r="X86" s="153"/>
      <c r="Y86" s="153"/>
      <c r="Z86" s="153"/>
      <c r="AA86" s="159"/>
      <c r="AB86" s="153"/>
      <c r="AC86" s="153"/>
      <c r="AD86" s="153"/>
      <c r="AE86" s="153"/>
      <c r="AF86" s="153"/>
      <c r="AG86" s="153"/>
      <c r="AH86" s="153"/>
      <c r="AI86" s="159"/>
      <c r="AJ86" s="153"/>
      <c r="AK86" s="153"/>
      <c r="AL86" s="153"/>
      <c r="AM86" s="153"/>
      <c r="AN86" s="153"/>
      <c r="AO86" s="153"/>
      <c r="AP86" s="169"/>
      <c r="AQ86" s="158"/>
      <c r="AR86" s="152"/>
      <c r="AS86" s="152"/>
      <c r="AT86" s="152"/>
      <c r="AU86" s="152"/>
      <c r="AV86" s="152"/>
      <c r="AW86" s="152"/>
      <c r="AX86" s="152"/>
      <c r="AY86" s="158"/>
      <c r="AZ86" s="180">
        <v>10012276</v>
      </c>
      <c r="BA86" s="179" t="s">
        <v>278</v>
      </c>
      <c r="BB86" s="126">
        <v>1</v>
      </c>
      <c r="BC86" s="126" t="s">
        <v>279</v>
      </c>
      <c r="BD86" s="179" t="s">
        <v>280</v>
      </c>
      <c r="BE86" s="179" t="s">
        <v>281</v>
      </c>
      <c r="BF86" s="179"/>
      <c r="BG86" s="179"/>
    </row>
    <row r="87" spans="1:59">
      <c r="A87" s="127">
        <f t="shared" si="12"/>
        <v>1</v>
      </c>
      <c r="B87" s="150" t="str">
        <f t="shared" si="13"/>
        <v>1/1</v>
      </c>
      <c r="C87" s="151"/>
      <c r="D87" s="153"/>
      <c r="E87" s="153"/>
      <c r="F87" s="153"/>
      <c r="G87" s="153" t="s">
        <v>9</v>
      </c>
      <c r="H87" s="153"/>
      <c r="I87" s="153"/>
      <c r="J87" s="153"/>
      <c r="K87" s="159"/>
      <c r="L87" s="153"/>
      <c r="M87" s="153"/>
      <c r="N87" s="153"/>
      <c r="O87" s="153"/>
      <c r="P87" s="153"/>
      <c r="Q87" s="153"/>
      <c r="R87" s="153"/>
      <c r="S87" s="159"/>
      <c r="T87" s="153"/>
      <c r="U87" s="153"/>
      <c r="V87" s="153"/>
      <c r="W87" s="153"/>
      <c r="X87" s="153"/>
      <c r="Y87" s="153"/>
      <c r="Z87" s="153"/>
      <c r="AA87" s="159"/>
      <c r="AB87" s="153"/>
      <c r="AC87" s="153"/>
      <c r="AD87" s="153"/>
      <c r="AE87" s="153"/>
      <c r="AF87" s="153"/>
      <c r="AG87" s="153"/>
      <c r="AH87" s="153"/>
      <c r="AI87" s="159"/>
      <c r="AJ87" s="153"/>
      <c r="AK87" s="153"/>
      <c r="AL87" s="153"/>
      <c r="AM87" s="153"/>
      <c r="AN87" s="153"/>
      <c r="AO87" s="153"/>
      <c r="AP87" s="169"/>
      <c r="AQ87" s="158"/>
      <c r="AR87" s="152"/>
      <c r="AS87" s="152"/>
      <c r="AT87" s="152"/>
      <c r="AU87" s="152"/>
      <c r="AV87" s="152"/>
      <c r="AW87" s="152"/>
      <c r="AX87" s="152"/>
      <c r="AY87" s="158"/>
      <c r="AZ87" s="180">
        <v>10026356</v>
      </c>
      <c r="BA87" s="179" t="s">
        <v>282</v>
      </c>
      <c r="BB87" s="126">
        <v>1</v>
      </c>
      <c r="BC87" s="126" t="s">
        <v>283</v>
      </c>
      <c r="BD87" s="179" t="s">
        <v>284</v>
      </c>
      <c r="BE87" s="179" t="s">
        <v>285</v>
      </c>
      <c r="BF87" s="179"/>
      <c r="BG87" s="179"/>
    </row>
    <row r="88" spans="1:59">
      <c r="A88" s="127">
        <f t="shared" si="12"/>
        <v>1</v>
      </c>
      <c r="B88" s="150" t="str">
        <f t="shared" si="13"/>
        <v>1/1</v>
      </c>
      <c r="C88" s="151"/>
      <c r="D88" s="153"/>
      <c r="E88" s="153"/>
      <c r="F88" s="153"/>
      <c r="G88" s="153" t="s">
        <v>9</v>
      </c>
      <c r="H88" s="153"/>
      <c r="I88" s="153"/>
      <c r="J88" s="153"/>
      <c r="K88" s="159"/>
      <c r="L88" s="153"/>
      <c r="M88" s="153"/>
      <c r="N88" s="153"/>
      <c r="O88" s="153"/>
      <c r="P88" s="153"/>
      <c r="Q88" s="153"/>
      <c r="R88" s="153"/>
      <c r="S88" s="159"/>
      <c r="T88" s="153"/>
      <c r="U88" s="153"/>
      <c r="V88" s="153"/>
      <c r="W88" s="153"/>
      <c r="X88" s="153"/>
      <c r="Y88" s="153"/>
      <c r="Z88" s="153"/>
      <c r="AA88" s="159"/>
      <c r="AB88" s="153"/>
      <c r="AC88" s="153"/>
      <c r="AD88" s="153"/>
      <c r="AE88" s="153"/>
      <c r="AF88" s="153"/>
      <c r="AG88" s="153"/>
      <c r="AH88" s="153"/>
      <c r="AI88" s="159"/>
      <c r="AJ88" s="153"/>
      <c r="AK88" s="153"/>
      <c r="AL88" s="153"/>
      <c r="AM88" s="153"/>
      <c r="AN88" s="153"/>
      <c r="AO88" s="153"/>
      <c r="AP88" s="169"/>
      <c r="AQ88" s="158"/>
      <c r="AR88" s="152"/>
      <c r="AS88" s="152"/>
      <c r="AT88" s="152"/>
      <c r="AU88" s="152"/>
      <c r="AV88" s="152"/>
      <c r="AW88" s="152"/>
      <c r="AX88" s="152"/>
      <c r="AY88" s="158"/>
      <c r="AZ88" s="180">
        <v>10044216</v>
      </c>
      <c r="BA88" s="179" t="s">
        <v>286</v>
      </c>
      <c r="BB88" s="126">
        <v>1</v>
      </c>
      <c r="BC88" s="126" t="s">
        <v>283</v>
      </c>
      <c r="BD88" s="179" t="s">
        <v>287</v>
      </c>
      <c r="BE88" s="179" t="s">
        <v>285</v>
      </c>
      <c r="BF88" s="179"/>
      <c r="BG88" s="179"/>
    </row>
    <row r="89" spans="1:59">
      <c r="A89" s="127">
        <f t="shared" si="12"/>
        <v>1</v>
      </c>
      <c r="B89" s="150" t="str">
        <f t="shared" si="13"/>
        <v>1/1</v>
      </c>
      <c r="C89" s="151"/>
      <c r="D89" s="153"/>
      <c r="E89" s="153"/>
      <c r="F89" s="153"/>
      <c r="G89" s="153" t="s">
        <v>9</v>
      </c>
      <c r="H89" s="153"/>
      <c r="I89" s="153"/>
      <c r="J89" s="153"/>
      <c r="K89" s="159"/>
      <c r="L89" s="153"/>
      <c r="M89" s="153"/>
      <c r="N89" s="153"/>
      <c r="O89" s="153"/>
      <c r="P89" s="153"/>
      <c r="Q89" s="153"/>
      <c r="R89" s="153"/>
      <c r="S89" s="159"/>
      <c r="T89" s="153"/>
      <c r="U89" s="153"/>
      <c r="V89" s="153"/>
      <c r="W89" s="153"/>
      <c r="X89" s="153"/>
      <c r="Y89" s="153"/>
      <c r="Z89" s="153"/>
      <c r="AA89" s="159"/>
      <c r="AB89" s="153"/>
      <c r="AC89" s="153"/>
      <c r="AD89" s="153"/>
      <c r="AE89" s="153"/>
      <c r="AF89" s="153"/>
      <c r="AG89" s="153"/>
      <c r="AH89" s="153"/>
      <c r="AI89" s="159"/>
      <c r="AJ89" s="153"/>
      <c r="AK89" s="153"/>
      <c r="AL89" s="153"/>
      <c r="AM89" s="153"/>
      <c r="AN89" s="153"/>
      <c r="AO89" s="153"/>
      <c r="AP89" s="169"/>
      <c r="AQ89" s="158"/>
      <c r="AR89" s="152"/>
      <c r="AS89" s="152"/>
      <c r="AT89" s="152"/>
      <c r="AU89" s="152"/>
      <c r="AV89" s="152"/>
      <c r="AW89" s="152"/>
      <c r="AX89" s="152"/>
      <c r="AY89" s="158"/>
      <c r="AZ89" s="180">
        <v>10045188</v>
      </c>
      <c r="BA89" s="179" t="s">
        <v>288</v>
      </c>
      <c r="BB89" s="126">
        <v>1</v>
      </c>
      <c r="BC89" s="126" t="s">
        <v>283</v>
      </c>
      <c r="BD89" s="179" t="s">
        <v>289</v>
      </c>
      <c r="BE89" s="179" t="s">
        <v>285</v>
      </c>
      <c r="BF89" s="179"/>
      <c r="BG89" s="179"/>
    </row>
    <row r="90" spans="1:59">
      <c r="A90" s="127">
        <f t="shared" si="12"/>
        <v>1</v>
      </c>
      <c r="B90" s="150" t="str">
        <f t="shared" si="13"/>
        <v>1/1</v>
      </c>
      <c r="C90" s="151"/>
      <c r="D90" s="153"/>
      <c r="E90" s="153"/>
      <c r="F90" s="153"/>
      <c r="G90" s="153" t="s">
        <v>9</v>
      </c>
      <c r="H90" s="153"/>
      <c r="I90" s="153"/>
      <c r="J90" s="153"/>
      <c r="K90" s="159"/>
      <c r="L90" s="153"/>
      <c r="M90" s="153"/>
      <c r="N90" s="153"/>
      <c r="O90" s="153"/>
      <c r="P90" s="153"/>
      <c r="Q90" s="153"/>
      <c r="R90" s="153"/>
      <c r="S90" s="159"/>
      <c r="T90" s="153"/>
      <c r="U90" s="153"/>
      <c r="V90" s="153"/>
      <c r="W90" s="153"/>
      <c r="X90" s="153"/>
      <c r="Y90" s="153"/>
      <c r="Z90" s="153"/>
      <c r="AA90" s="159"/>
      <c r="AB90" s="153"/>
      <c r="AC90" s="153"/>
      <c r="AD90" s="153"/>
      <c r="AE90" s="153"/>
      <c r="AF90" s="153"/>
      <c r="AG90" s="153"/>
      <c r="AH90" s="153"/>
      <c r="AI90" s="159"/>
      <c r="AJ90" s="153"/>
      <c r="AK90" s="153"/>
      <c r="AL90" s="153"/>
      <c r="AM90" s="153"/>
      <c r="AN90" s="153"/>
      <c r="AO90" s="153"/>
      <c r="AP90" s="169"/>
      <c r="AQ90" s="158"/>
      <c r="AR90" s="152"/>
      <c r="AS90" s="152"/>
      <c r="AT90" s="152"/>
      <c r="AU90" s="152"/>
      <c r="AV90" s="152"/>
      <c r="AW90" s="152"/>
      <c r="AX90" s="152"/>
      <c r="AY90" s="158"/>
      <c r="AZ90" s="180">
        <v>10044851</v>
      </c>
      <c r="BA90" s="179" t="s">
        <v>290</v>
      </c>
      <c r="BB90" s="126">
        <v>1</v>
      </c>
      <c r="BC90" s="126" t="s">
        <v>291</v>
      </c>
      <c r="BD90" s="179" t="s">
        <v>292</v>
      </c>
      <c r="BE90" s="179" t="s">
        <v>293</v>
      </c>
      <c r="BF90" s="179"/>
      <c r="BG90" s="179"/>
    </row>
    <row r="91" spans="1:59">
      <c r="A91" s="127">
        <f t="shared" si="12"/>
        <v>1</v>
      </c>
      <c r="B91" s="150" t="str">
        <f t="shared" si="13"/>
        <v>1/1</v>
      </c>
      <c r="C91" s="151"/>
      <c r="D91" s="153"/>
      <c r="E91" s="153"/>
      <c r="F91" s="153"/>
      <c r="G91" s="153"/>
      <c r="H91" s="153"/>
      <c r="I91" s="153"/>
      <c r="J91" s="153"/>
      <c r="K91" s="159"/>
      <c r="L91" s="153"/>
      <c r="M91" s="153"/>
      <c r="N91" s="153" t="s">
        <v>9</v>
      </c>
      <c r="O91" s="153"/>
      <c r="P91" s="153"/>
      <c r="Q91" s="153"/>
      <c r="R91" s="153"/>
      <c r="S91" s="159"/>
      <c r="T91" s="153"/>
      <c r="U91" s="153"/>
      <c r="V91" s="153"/>
      <c r="W91" s="153"/>
      <c r="X91" s="153"/>
      <c r="Y91" s="153"/>
      <c r="Z91" s="153"/>
      <c r="AA91" s="159"/>
      <c r="AB91" s="153"/>
      <c r="AC91" s="153"/>
      <c r="AD91" s="153"/>
      <c r="AE91" s="153"/>
      <c r="AF91" s="153"/>
      <c r="AG91" s="153"/>
      <c r="AH91" s="153"/>
      <c r="AI91" s="159"/>
      <c r="AJ91" s="153"/>
      <c r="AK91" s="153"/>
      <c r="AL91" s="153"/>
      <c r="AM91" s="153"/>
      <c r="AN91" s="153"/>
      <c r="AO91" s="153"/>
      <c r="AP91" s="169"/>
      <c r="AQ91" s="158"/>
      <c r="AR91" s="152"/>
      <c r="AS91" s="152"/>
      <c r="AT91" s="152"/>
      <c r="AU91" s="152"/>
      <c r="AV91" s="152"/>
      <c r="AW91" s="152"/>
      <c r="AX91" s="152"/>
      <c r="AY91" s="158"/>
      <c r="AZ91" s="180">
        <v>10039486</v>
      </c>
      <c r="BA91" s="179" t="s">
        <v>294</v>
      </c>
      <c r="BB91" s="126">
        <v>1</v>
      </c>
      <c r="BC91" s="126" t="s">
        <v>295</v>
      </c>
      <c r="BD91" s="179" t="s">
        <v>296</v>
      </c>
      <c r="BE91" s="179" t="s">
        <v>297</v>
      </c>
      <c r="BF91" s="179"/>
      <c r="BG91" s="179"/>
    </row>
    <row r="92" spans="1:59">
      <c r="A92" s="127">
        <f t="shared" si="12"/>
        <v>1</v>
      </c>
      <c r="B92" s="150" t="str">
        <f t="shared" si="13"/>
        <v>1/1</v>
      </c>
      <c r="C92" s="151"/>
      <c r="D92" s="153"/>
      <c r="E92" s="153"/>
      <c r="F92" s="153"/>
      <c r="G92" s="153"/>
      <c r="H92" s="153"/>
      <c r="I92" s="153"/>
      <c r="J92" s="153"/>
      <c r="K92" s="159"/>
      <c r="L92" s="153"/>
      <c r="M92" s="153"/>
      <c r="N92" s="153" t="s">
        <v>9</v>
      </c>
      <c r="O92" s="153"/>
      <c r="P92" s="153"/>
      <c r="Q92" s="153"/>
      <c r="R92" s="153"/>
      <c r="S92" s="159"/>
      <c r="T92" s="153"/>
      <c r="U92" s="153"/>
      <c r="V92" s="153"/>
      <c r="W92" s="153"/>
      <c r="X92" s="153"/>
      <c r="Y92" s="153"/>
      <c r="Z92" s="153"/>
      <c r="AA92" s="159"/>
      <c r="AB92" s="153"/>
      <c r="AC92" s="153"/>
      <c r="AD92" s="153"/>
      <c r="AE92" s="153"/>
      <c r="AF92" s="153"/>
      <c r="AG92" s="153"/>
      <c r="AH92" s="153"/>
      <c r="AI92" s="159"/>
      <c r="AJ92" s="153"/>
      <c r="AK92" s="153"/>
      <c r="AL92" s="153"/>
      <c r="AM92" s="153"/>
      <c r="AN92" s="153"/>
      <c r="AO92" s="153"/>
      <c r="AP92" s="169"/>
      <c r="AQ92" s="158"/>
      <c r="AR92" s="152"/>
      <c r="AS92" s="152"/>
      <c r="AT92" s="152"/>
      <c r="AU92" s="152"/>
      <c r="AV92" s="152"/>
      <c r="AW92" s="152"/>
      <c r="AX92" s="152"/>
      <c r="AY92" s="158"/>
      <c r="AZ92" s="180">
        <v>10045005</v>
      </c>
      <c r="BA92" s="179" t="s">
        <v>298</v>
      </c>
      <c r="BB92" s="126">
        <v>1</v>
      </c>
      <c r="BC92" s="126" t="s">
        <v>299</v>
      </c>
      <c r="BD92" s="179" t="s">
        <v>300</v>
      </c>
      <c r="BE92" s="179" t="s">
        <v>301</v>
      </c>
      <c r="BF92" s="179"/>
      <c r="BG92" s="179"/>
    </row>
    <row r="93" spans="1:59">
      <c r="A93" s="127">
        <f t="shared" si="12"/>
        <v>1</v>
      </c>
      <c r="B93" s="150" t="str">
        <f t="shared" si="13"/>
        <v>1/1</v>
      </c>
      <c r="C93" s="151"/>
      <c r="D93" s="153"/>
      <c r="E93" s="153"/>
      <c r="F93" s="153"/>
      <c r="G93" s="153"/>
      <c r="H93" s="153"/>
      <c r="I93" s="153"/>
      <c r="J93" s="153"/>
      <c r="K93" s="159"/>
      <c r="L93" s="153"/>
      <c r="M93" s="153"/>
      <c r="N93" s="153" t="s">
        <v>9</v>
      </c>
      <c r="O93" s="153"/>
      <c r="P93" s="153"/>
      <c r="Q93" s="153"/>
      <c r="R93" s="153"/>
      <c r="S93" s="159"/>
      <c r="T93" s="153"/>
      <c r="U93" s="153"/>
      <c r="V93" s="153"/>
      <c r="W93" s="153"/>
      <c r="X93" s="153"/>
      <c r="Y93" s="153"/>
      <c r="Z93" s="153"/>
      <c r="AA93" s="159"/>
      <c r="AB93" s="153"/>
      <c r="AC93" s="153"/>
      <c r="AD93" s="153"/>
      <c r="AE93" s="153"/>
      <c r="AF93" s="153"/>
      <c r="AG93" s="153"/>
      <c r="AH93" s="153"/>
      <c r="AI93" s="159"/>
      <c r="AJ93" s="153"/>
      <c r="AK93" s="153"/>
      <c r="AL93" s="153"/>
      <c r="AM93" s="153"/>
      <c r="AN93" s="153"/>
      <c r="AO93" s="153"/>
      <c r="AP93" s="169"/>
      <c r="AQ93" s="158"/>
      <c r="AR93" s="152"/>
      <c r="AS93" s="152"/>
      <c r="AT93" s="152"/>
      <c r="AU93" s="152"/>
      <c r="AV93" s="152"/>
      <c r="AW93" s="152"/>
      <c r="AX93" s="152"/>
      <c r="AY93" s="158"/>
      <c r="AZ93" s="180">
        <v>10015469</v>
      </c>
      <c r="BA93" s="179" t="s">
        <v>302</v>
      </c>
      <c r="BB93" s="126">
        <v>1</v>
      </c>
      <c r="BC93" s="126" t="s">
        <v>303</v>
      </c>
      <c r="BD93" s="179" t="s">
        <v>304</v>
      </c>
      <c r="BE93" s="179" t="s">
        <v>305</v>
      </c>
      <c r="BF93" s="179"/>
      <c r="BG93" s="179"/>
    </row>
    <row r="94" spans="1:59">
      <c r="A94" s="127">
        <f t="shared" si="12"/>
        <v>1</v>
      </c>
      <c r="B94" s="150" t="str">
        <f t="shared" si="13"/>
        <v>1/1</v>
      </c>
      <c r="C94" s="151"/>
      <c r="D94" s="153"/>
      <c r="E94" s="153"/>
      <c r="F94" s="153"/>
      <c r="G94" s="153"/>
      <c r="H94" s="153"/>
      <c r="I94" s="153"/>
      <c r="J94" s="153"/>
      <c r="K94" s="159"/>
      <c r="L94" s="153"/>
      <c r="M94" s="153"/>
      <c r="N94" s="153" t="s">
        <v>9</v>
      </c>
      <c r="O94" s="153"/>
      <c r="P94" s="153"/>
      <c r="Q94" s="153"/>
      <c r="R94" s="153"/>
      <c r="S94" s="159"/>
      <c r="T94" s="153"/>
      <c r="U94" s="153"/>
      <c r="V94" s="153"/>
      <c r="W94" s="153"/>
      <c r="X94" s="153"/>
      <c r="Y94" s="153"/>
      <c r="Z94" s="153"/>
      <c r="AA94" s="159"/>
      <c r="AB94" s="153"/>
      <c r="AC94" s="153"/>
      <c r="AD94" s="153"/>
      <c r="AE94" s="153"/>
      <c r="AF94" s="153"/>
      <c r="AG94" s="153"/>
      <c r="AH94" s="153"/>
      <c r="AI94" s="159"/>
      <c r="AJ94" s="153"/>
      <c r="AK94" s="153"/>
      <c r="AL94" s="153"/>
      <c r="AM94" s="153"/>
      <c r="AN94" s="153"/>
      <c r="AO94" s="153"/>
      <c r="AP94" s="169"/>
      <c r="AQ94" s="158"/>
      <c r="AR94" s="152"/>
      <c r="AS94" s="152"/>
      <c r="AT94" s="152"/>
      <c r="AU94" s="152"/>
      <c r="AV94" s="152"/>
      <c r="AW94" s="152"/>
      <c r="AX94" s="152"/>
      <c r="AY94" s="158"/>
      <c r="AZ94" s="180">
        <v>10043204</v>
      </c>
      <c r="BA94" s="179" t="s">
        <v>306</v>
      </c>
      <c r="BB94" s="126">
        <v>1</v>
      </c>
      <c r="BC94" s="126" t="s">
        <v>307</v>
      </c>
      <c r="BD94" s="179" t="s">
        <v>308</v>
      </c>
      <c r="BE94" s="179" t="s">
        <v>305</v>
      </c>
      <c r="BF94" s="179"/>
      <c r="BG94" s="179"/>
    </row>
    <row r="95" spans="1:59">
      <c r="A95" s="127">
        <f t="shared" si="12"/>
        <v>1</v>
      </c>
      <c r="B95" s="150" t="str">
        <f t="shared" si="13"/>
        <v>1/1</v>
      </c>
      <c r="C95" s="151"/>
      <c r="D95" s="153"/>
      <c r="E95" s="153"/>
      <c r="F95" s="153"/>
      <c r="G95" s="153"/>
      <c r="H95" s="153"/>
      <c r="I95" s="153"/>
      <c r="J95" s="153"/>
      <c r="K95" s="159"/>
      <c r="L95" s="153"/>
      <c r="M95" s="153"/>
      <c r="N95" s="153" t="s">
        <v>9</v>
      </c>
      <c r="O95" s="153"/>
      <c r="P95" s="153"/>
      <c r="Q95" s="153"/>
      <c r="R95" s="153"/>
      <c r="S95" s="159"/>
      <c r="T95" s="153"/>
      <c r="U95" s="153"/>
      <c r="V95" s="153"/>
      <c r="W95" s="153"/>
      <c r="X95" s="153"/>
      <c r="Y95" s="153"/>
      <c r="Z95" s="153"/>
      <c r="AA95" s="159"/>
      <c r="AB95" s="153"/>
      <c r="AC95" s="153"/>
      <c r="AD95" s="153"/>
      <c r="AE95" s="153"/>
      <c r="AF95" s="153"/>
      <c r="AG95" s="153"/>
      <c r="AH95" s="153"/>
      <c r="AI95" s="159"/>
      <c r="AJ95" s="153"/>
      <c r="AK95" s="153"/>
      <c r="AL95" s="153"/>
      <c r="AM95" s="153"/>
      <c r="AN95" s="153"/>
      <c r="AO95" s="153"/>
      <c r="AP95" s="169"/>
      <c r="AQ95" s="158"/>
      <c r="AR95" s="152"/>
      <c r="AS95" s="152"/>
      <c r="AT95" s="152"/>
      <c r="AU95" s="152"/>
      <c r="AV95" s="152"/>
      <c r="AW95" s="152"/>
      <c r="AX95" s="152"/>
      <c r="AY95" s="158"/>
      <c r="AZ95" s="180">
        <v>10044819</v>
      </c>
      <c r="BA95" s="179" t="s">
        <v>309</v>
      </c>
      <c r="BB95" s="126">
        <v>1</v>
      </c>
      <c r="BC95" s="126" t="s">
        <v>307</v>
      </c>
      <c r="BD95" s="179" t="s">
        <v>310</v>
      </c>
      <c r="BE95" s="179" t="s">
        <v>305</v>
      </c>
      <c r="BF95" s="179"/>
      <c r="BG95" s="179"/>
    </row>
    <row r="96" spans="1:59">
      <c r="A96" s="127">
        <f t="shared" si="12"/>
        <v>1</v>
      </c>
      <c r="B96" s="150" t="str">
        <f t="shared" si="13"/>
        <v>1/1</v>
      </c>
      <c r="C96" s="151"/>
      <c r="D96" s="153"/>
      <c r="E96" s="153"/>
      <c r="F96" s="153"/>
      <c r="G96" s="153"/>
      <c r="H96" s="153"/>
      <c r="I96" s="153"/>
      <c r="J96" s="153"/>
      <c r="K96" s="159"/>
      <c r="L96" s="153"/>
      <c r="M96" s="153"/>
      <c r="N96" s="153" t="s">
        <v>9</v>
      </c>
      <c r="O96" s="153"/>
      <c r="P96" s="153"/>
      <c r="Q96" s="153"/>
      <c r="R96" s="153"/>
      <c r="S96" s="159"/>
      <c r="T96" s="153"/>
      <c r="U96" s="153"/>
      <c r="V96" s="153"/>
      <c r="W96" s="153"/>
      <c r="X96" s="153"/>
      <c r="Y96" s="153"/>
      <c r="Z96" s="153"/>
      <c r="AA96" s="159"/>
      <c r="AB96" s="153"/>
      <c r="AC96" s="153"/>
      <c r="AD96" s="153"/>
      <c r="AE96" s="153"/>
      <c r="AF96" s="153"/>
      <c r="AG96" s="153"/>
      <c r="AH96" s="153"/>
      <c r="AI96" s="159"/>
      <c r="AJ96" s="153"/>
      <c r="AK96" s="153"/>
      <c r="AL96" s="153"/>
      <c r="AM96" s="153"/>
      <c r="AN96" s="153"/>
      <c r="AO96" s="153"/>
      <c r="AP96" s="169"/>
      <c r="AQ96" s="158"/>
      <c r="AR96" s="152"/>
      <c r="AS96" s="152"/>
      <c r="AT96" s="152"/>
      <c r="AU96" s="152"/>
      <c r="AV96" s="152"/>
      <c r="AW96" s="152"/>
      <c r="AX96" s="152"/>
      <c r="AY96" s="158"/>
      <c r="AZ96" s="180">
        <v>10024834</v>
      </c>
      <c r="BA96" s="179" t="s">
        <v>311</v>
      </c>
      <c r="BB96" s="126">
        <v>1</v>
      </c>
      <c r="BC96" s="126" t="s">
        <v>312</v>
      </c>
      <c r="BD96" s="179" t="s">
        <v>313</v>
      </c>
      <c r="BE96" s="179" t="s">
        <v>314</v>
      </c>
      <c r="BF96" s="179"/>
      <c r="BG96" s="179"/>
    </row>
    <row r="97" spans="1:59">
      <c r="A97" s="127">
        <f t="shared" si="12"/>
        <v>2</v>
      </c>
      <c r="B97" s="150" t="str">
        <f t="shared" si="13"/>
        <v>2/1</v>
      </c>
      <c r="C97" s="151"/>
      <c r="D97" s="153"/>
      <c r="E97" s="153"/>
      <c r="F97" s="153"/>
      <c r="G97" s="153"/>
      <c r="H97" s="153"/>
      <c r="I97" s="153"/>
      <c r="J97" s="153"/>
      <c r="K97" s="159"/>
      <c r="L97" s="153"/>
      <c r="M97" s="153"/>
      <c r="N97" s="153"/>
      <c r="O97" s="153"/>
      <c r="P97" s="153"/>
      <c r="Q97" s="153"/>
      <c r="R97" s="153"/>
      <c r="S97" s="159"/>
      <c r="T97" s="153"/>
      <c r="U97" s="153"/>
      <c r="V97" s="153" t="s">
        <v>9</v>
      </c>
      <c r="W97" s="153"/>
      <c r="X97" s="153"/>
      <c r="Y97" s="153"/>
      <c r="Z97" s="153"/>
      <c r="AA97" s="159"/>
      <c r="AB97" s="153"/>
      <c r="AC97" s="153"/>
      <c r="AD97" s="153"/>
      <c r="AE97" s="153"/>
      <c r="AF97" s="153"/>
      <c r="AG97" s="153"/>
      <c r="AH97" s="153"/>
      <c r="AI97" s="159"/>
      <c r="AJ97" s="153"/>
      <c r="AK97" s="153"/>
      <c r="AL97" s="153" t="s">
        <v>9</v>
      </c>
      <c r="AM97" s="153"/>
      <c r="AN97" s="153"/>
      <c r="AO97" s="153"/>
      <c r="AP97" s="169"/>
      <c r="AQ97" s="158"/>
      <c r="AR97" s="152"/>
      <c r="AS97" s="152"/>
      <c r="AT97" s="152"/>
      <c r="AU97" s="152"/>
      <c r="AV97" s="152"/>
      <c r="AW97" s="152"/>
      <c r="AX97" s="152"/>
      <c r="AY97" s="158"/>
      <c r="AZ97" s="180">
        <v>10041964</v>
      </c>
      <c r="BA97" s="179" t="s">
        <v>315</v>
      </c>
      <c r="BB97" s="126">
        <v>1</v>
      </c>
      <c r="BC97" s="126" t="s">
        <v>312</v>
      </c>
      <c r="BD97" s="179" t="s">
        <v>316</v>
      </c>
      <c r="BE97" s="179" t="s">
        <v>314</v>
      </c>
      <c r="BF97" s="179"/>
      <c r="BG97" s="179"/>
    </row>
    <row r="98" spans="1:59">
      <c r="A98" s="127">
        <f t="shared" si="12"/>
        <v>1</v>
      </c>
      <c r="B98" s="150" t="str">
        <f t="shared" si="13"/>
        <v>1/1</v>
      </c>
      <c r="C98" s="151"/>
      <c r="D98" s="153"/>
      <c r="E98" s="153"/>
      <c r="F98" s="153"/>
      <c r="G98" s="153"/>
      <c r="H98" s="153"/>
      <c r="I98" s="153"/>
      <c r="J98" s="153"/>
      <c r="K98" s="159"/>
      <c r="L98" s="153"/>
      <c r="M98" s="153"/>
      <c r="N98" s="153"/>
      <c r="O98" s="153"/>
      <c r="P98" s="153"/>
      <c r="Q98" s="153"/>
      <c r="R98" s="153"/>
      <c r="S98" s="159"/>
      <c r="T98" s="153"/>
      <c r="U98" s="153"/>
      <c r="V98" s="153"/>
      <c r="W98" s="153"/>
      <c r="X98" s="153"/>
      <c r="Y98" s="153"/>
      <c r="Z98" s="153"/>
      <c r="AA98" s="159"/>
      <c r="AB98" s="153"/>
      <c r="AC98" s="153"/>
      <c r="AD98" s="153"/>
      <c r="AE98" s="153"/>
      <c r="AF98" s="153"/>
      <c r="AG98" s="153"/>
      <c r="AH98" s="153"/>
      <c r="AI98" s="159"/>
      <c r="AJ98" s="153"/>
      <c r="AK98" s="153"/>
      <c r="AL98" s="153" t="s">
        <v>9</v>
      </c>
      <c r="AM98" s="153"/>
      <c r="AN98" s="153"/>
      <c r="AO98" s="153"/>
      <c r="AP98" s="169"/>
      <c r="AQ98" s="158"/>
      <c r="AR98" s="152"/>
      <c r="AS98" s="152"/>
      <c r="AT98" s="152"/>
      <c r="AU98" s="152"/>
      <c r="AV98" s="152"/>
      <c r="AW98" s="152"/>
      <c r="AX98" s="152"/>
      <c r="AY98" s="158"/>
      <c r="AZ98" s="180">
        <v>10044486</v>
      </c>
      <c r="BA98" s="179" t="s">
        <v>317</v>
      </c>
      <c r="BB98" s="126">
        <v>1</v>
      </c>
      <c r="BC98" s="126" t="s">
        <v>312</v>
      </c>
      <c r="BD98" s="179" t="s">
        <v>318</v>
      </c>
      <c r="BE98" s="179" t="s">
        <v>314</v>
      </c>
      <c r="BF98" s="179"/>
      <c r="BG98" s="179"/>
    </row>
    <row r="99" spans="1:59">
      <c r="A99" s="127">
        <f t="shared" si="12"/>
        <v>1</v>
      </c>
      <c r="B99" s="150" t="str">
        <f t="shared" si="13"/>
        <v>1/1</v>
      </c>
      <c r="C99" s="151"/>
      <c r="D99" s="153"/>
      <c r="E99" s="153"/>
      <c r="F99" s="153"/>
      <c r="G99" s="153"/>
      <c r="H99" s="153"/>
      <c r="I99" s="153"/>
      <c r="J99" s="153"/>
      <c r="K99" s="159"/>
      <c r="L99" s="153"/>
      <c r="M99" s="153"/>
      <c r="N99" s="153"/>
      <c r="O99" s="153"/>
      <c r="P99" s="153"/>
      <c r="Q99" s="153"/>
      <c r="R99" s="153"/>
      <c r="S99" s="159"/>
      <c r="T99" s="153"/>
      <c r="U99" s="153"/>
      <c r="V99" s="153"/>
      <c r="W99" s="153"/>
      <c r="X99" s="153"/>
      <c r="Y99" s="153"/>
      <c r="Z99" s="153"/>
      <c r="AA99" s="159"/>
      <c r="AB99" s="153"/>
      <c r="AC99" s="153"/>
      <c r="AD99" s="153"/>
      <c r="AE99" s="153"/>
      <c r="AF99" s="153"/>
      <c r="AG99" s="153"/>
      <c r="AH99" s="153"/>
      <c r="AI99" s="159"/>
      <c r="AJ99" s="153"/>
      <c r="AK99" s="153"/>
      <c r="AL99" s="153" t="s">
        <v>9</v>
      </c>
      <c r="AM99" s="153"/>
      <c r="AN99" s="153"/>
      <c r="AO99" s="153"/>
      <c r="AP99" s="169"/>
      <c r="AQ99" s="158"/>
      <c r="AR99" s="152"/>
      <c r="AS99" s="152"/>
      <c r="AT99" s="152"/>
      <c r="AU99" s="152"/>
      <c r="AV99" s="152"/>
      <c r="AW99" s="152"/>
      <c r="AX99" s="152"/>
      <c r="AY99" s="158"/>
      <c r="AZ99" s="180">
        <v>10040377</v>
      </c>
      <c r="BA99" s="179" t="s">
        <v>319</v>
      </c>
      <c r="BB99" s="126">
        <v>1</v>
      </c>
      <c r="BC99" s="126" t="s">
        <v>320</v>
      </c>
      <c r="BD99" s="179" t="s">
        <v>321</v>
      </c>
      <c r="BE99" s="179" t="s">
        <v>322</v>
      </c>
      <c r="BF99" s="179"/>
      <c r="BG99" s="179"/>
    </row>
    <row r="100" spans="1:59">
      <c r="A100" s="127">
        <f t="shared" si="12"/>
        <v>1</v>
      </c>
      <c r="B100" s="150" t="str">
        <f t="shared" si="13"/>
        <v>1/1</v>
      </c>
      <c r="C100" s="151"/>
      <c r="D100" s="153"/>
      <c r="E100" s="153"/>
      <c r="F100" s="153"/>
      <c r="G100" s="153"/>
      <c r="H100" s="153"/>
      <c r="I100" s="153"/>
      <c r="J100" s="153"/>
      <c r="K100" s="159"/>
      <c r="L100" s="153"/>
      <c r="M100" s="153"/>
      <c r="N100" s="153"/>
      <c r="O100" s="153"/>
      <c r="P100" s="153"/>
      <c r="Q100" s="153"/>
      <c r="R100" s="153"/>
      <c r="S100" s="159"/>
      <c r="T100" s="153"/>
      <c r="U100" s="153"/>
      <c r="V100" s="153"/>
      <c r="W100" s="153"/>
      <c r="X100" s="153"/>
      <c r="Y100" s="153"/>
      <c r="Z100" s="153"/>
      <c r="AA100" s="159"/>
      <c r="AB100" s="153"/>
      <c r="AC100" s="153"/>
      <c r="AD100" s="153"/>
      <c r="AE100" s="153"/>
      <c r="AF100" s="153"/>
      <c r="AG100" s="153"/>
      <c r="AH100" s="153"/>
      <c r="AI100" s="159"/>
      <c r="AJ100" s="153"/>
      <c r="AK100" s="153"/>
      <c r="AL100" s="153" t="s">
        <v>9</v>
      </c>
      <c r="AM100" s="153"/>
      <c r="AN100" s="153"/>
      <c r="AO100" s="153"/>
      <c r="AP100" s="169"/>
      <c r="AQ100" s="158"/>
      <c r="AR100" s="152"/>
      <c r="AS100" s="152"/>
      <c r="AT100" s="152"/>
      <c r="AU100" s="152"/>
      <c r="AV100" s="152"/>
      <c r="AW100" s="152"/>
      <c r="AX100" s="152"/>
      <c r="AY100" s="158"/>
      <c r="AZ100" s="180">
        <v>10040706</v>
      </c>
      <c r="BA100" s="179" t="s">
        <v>323</v>
      </c>
      <c r="BB100" s="126">
        <v>1</v>
      </c>
      <c r="BC100" s="126" t="s">
        <v>320</v>
      </c>
      <c r="BD100" s="179" t="s">
        <v>324</v>
      </c>
      <c r="BE100" s="179" t="s">
        <v>322</v>
      </c>
      <c r="BF100" s="179"/>
      <c r="BG100" s="179"/>
    </row>
    <row r="101" spans="1:59">
      <c r="A101" s="127">
        <f t="shared" si="12"/>
        <v>1</v>
      </c>
      <c r="B101" s="150" t="str">
        <f t="shared" si="13"/>
        <v>1/1</v>
      </c>
      <c r="C101" s="151"/>
      <c r="D101" s="153"/>
      <c r="E101" s="153"/>
      <c r="F101" s="153"/>
      <c r="G101" s="153"/>
      <c r="H101" s="153"/>
      <c r="I101" s="153"/>
      <c r="J101" s="153"/>
      <c r="K101" s="159"/>
      <c r="L101" s="153"/>
      <c r="M101" s="153"/>
      <c r="N101" s="153"/>
      <c r="O101" s="153"/>
      <c r="P101" s="153"/>
      <c r="Q101" s="153"/>
      <c r="R101" s="153"/>
      <c r="S101" s="159"/>
      <c r="T101" s="153"/>
      <c r="U101" s="153"/>
      <c r="V101" s="153"/>
      <c r="W101" s="153"/>
      <c r="X101" s="153"/>
      <c r="Y101" s="153"/>
      <c r="Z101" s="153"/>
      <c r="AA101" s="159"/>
      <c r="AB101" s="153"/>
      <c r="AC101" s="153"/>
      <c r="AD101" s="153"/>
      <c r="AE101" s="153"/>
      <c r="AF101" s="153"/>
      <c r="AG101" s="153"/>
      <c r="AH101" s="153"/>
      <c r="AI101" s="159"/>
      <c r="AJ101" s="153"/>
      <c r="AK101" s="153"/>
      <c r="AL101" s="153"/>
      <c r="AM101" s="153" t="s">
        <v>9</v>
      </c>
      <c r="AN101" s="153"/>
      <c r="AO101" s="153"/>
      <c r="AP101" s="169"/>
      <c r="AQ101" s="158"/>
      <c r="AR101" s="152"/>
      <c r="AS101" s="152"/>
      <c r="AT101" s="152"/>
      <c r="AU101" s="152"/>
      <c r="AV101" s="152"/>
      <c r="AW101" s="152"/>
      <c r="AX101" s="152"/>
      <c r="AY101" s="158"/>
      <c r="AZ101" s="180">
        <v>10044580</v>
      </c>
      <c r="BA101" s="179" t="s">
        <v>325</v>
      </c>
      <c r="BB101" s="126">
        <v>1</v>
      </c>
      <c r="BC101" s="126" t="s">
        <v>320</v>
      </c>
      <c r="BD101" s="179" t="s">
        <v>326</v>
      </c>
      <c r="BE101" s="179" t="s">
        <v>322</v>
      </c>
      <c r="BF101" s="179"/>
      <c r="BG101" s="179"/>
    </row>
    <row r="102" spans="1:59">
      <c r="A102" s="127">
        <f t="shared" si="12"/>
        <v>1</v>
      </c>
      <c r="B102" s="150" t="str">
        <f t="shared" si="13"/>
        <v>1/1</v>
      </c>
      <c r="C102" s="151"/>
      <c r="D102" s="153"/>
      <c r="E102" s="153"/>
      <c r="F102" s="153"/>
      <c r="G102" s="153"/>
      <c r="H102" s="153"/>
      <c r="I102" s="153"/>
      <c r="J102" s="153"/>
      <c r="K102" s="159"/>
      <c r="L102" s="153"/>
      <c r="M102" s="153"/>
      <c r="N102" s="153"/>
      <c r="O102" s="153"/>
      <c r="P102" s="153"/>
      <c r="Q102" s="153"/>
      <c r="R102" s="153"/>
      <c r="S102" s="159"/>
      <c r="T102" s="153"/>
      <c r="U102" s="153"/>
      <c r="V102" s="153"/>
      <c r="W102" s="153"/>
      <c r="X102" s="153"/>
      <c r="Y102" s="153"/>
      <c r="Z102" s="153"/>
      <c r="AA102" s="159"/>
      <c r="AB102" s="153"/>
      <c r="AC102" s="153"/>
      <c r="AD102" s="153"/>
      <c r="AE102" s="153"/>
      <c r="AF102" s="153"/>
      <c r="AG102" s="153"/>
      <c r="AH102" s="153"/>
      <c r="AI102" s="159"/>
      <c r="AJ102" s="153"/>
      <c r="AK102" s="153"/>
      <c r="AL102" s="153"/>
      <c r="AM102" s="153" t="s">
        <v>9</v>
      </c>
      <c r="AN102" s="153"/>
      <c r="AO102" s="153"/>
      <c r="AP102" s="169"/>
      <c r="AQ102" s="158"/>
      <c r="AR102" s="152"/>
      <c r="AS102" s="152"/>
      <c r="AT102" s="152"/>
      <c r="AU102" s="152"/>
      <c r="AV102" s="152"/>
      <c r="AW102" s="152"/>
      <c r="AX102" s="152"/>
      <c r="AY102" s="158"/>
      <c r="AZ102" s="180">
        <v>10028946</v>
      </c>
      <c r="BA102" s="179" t="s">
        <v>327</v>
      </c>
      <c r="BB102" s="126">
        <v>1</v>
      </c>
      <c r="BC102" s="126" t="s">
        <v>328</v>
      </c>
      <c r="BD102" s="179" t="s">
        <v>329</v>
      </c>
      <c r="BE102" s="179" t="s">
        <v>330</v>
      </c>
      <c r="BF102" s="179"/>
      <c r="BG102" s="179"/>
    </row>
    <row r="103" spans="1:59">
      <c r="A103" s="127">
        <f t="shared" si="12"/>
        <v>1</v>
      </c>
      <c r="B103" s="150" t="str">
        <f t="shared" si="13"/>
        <v>2/2</v>
      </c>
      <c r="C103" s="151"/>
      <c r="D103" s="153"/>
      <c r="E103" s="153"/>
      <c r="F103" s="153"/>
      <c r="G103" s="153"/>
      <c r="H103" s="153"/>
      <c r="I103" s="153"/>
      <c r="J103" s="153"/>
      <c r="K103" s="159"/>
      <c r="L103" s="153"/>
      <c r="M103" s="153"/>
      <c r="N103" s="153"/>
      <c r="O103" s="153"/>
      <c r="P103" s="153"/>
      <c r="Q103" s="153"/>
      <c r="R103" s="153"/>
      <c r="S103" s="159"/>
      <c r="T103" s="153"/>
      <c r="U103" s="153"/>
      <c r="V103" s="153"/>
      <c r="W103" s="153" t="s">
        <v>9</v>
      </c>
      <c r="X103" s="153"/>
      <c r="Y103" s="153"/>
      <c r="Z103" s="153"/>
      <c r="AA103" s="159"/>
      <c r="AB103" s="153"/>
      <c r="AC103" s="153"/>
      <c r="AD103" s="153"/>
      <c r="AE103" s="153"/>
      <c r="AF103" s="153"/>
      <c r="AG103" s="153"/>
      <c r="AH103" s="153"/>
      <c r="AI103" s="159"/>
      <c r="AJ103" s="153"/>
      <c r="AK103" s="153"/>
      <c r="AL103" s="153"/>
      <c r="AM103" s="153" t="s">
        <v>9</v>
      </c>
      <c r="AN103" s="153"/>
      <c r="AO103" s="153"/>
      <c r="AP103" s="169"/>
      <c r="AQ103" s="158"/>
      <c r="AR103" s="152"/>
      <c r="AS103" s="152"/>
      <c r="AT103" s="152"/>
      <c r="AU103" s="152"/>
      <c r="AV103" s="152"/>
      <c r="AW103" s="152"/>
      <c r="AX103" s="152"/>
      <c r="AY103" s="158"/>
      <c r="AZ103" s="180">
        <v>10044215</v>
      </c>
      <c r="BA103" s="179" t="s">
        <v>331</v>
      </c>
      <c r="BB103" s="126">
        <v>2</v>
      </c>
      <c r="BC103" s="126" t="s">
        <v>332</v>
      </c>
      <c r="BD103" s="179" t="s">
        <v>333</v>
      </c>
      <c r="BE103" s="179" t="s">
        <v>334</v>
      </c>
      <c r="BF103" s="179"/>
      <c r="BG103" s="179"/>
    </row>
    <row r="104" spans="1:59">
      <c r="A104" s="127">
        <f t="shared" si="12"/>
        <v>1</v>
      </c>
      <c r="B104" s="150" t="str">
        <f t="shared" si="13"/>
        <v>1/1</v>
      </c>
      <c r="C104" s="151"/>
      <c r="D104" s="153"/>
      <c r="E104" s="153"/>
      <c r="F104" s="153"/>
      <c r="G104" s="153"/>
      <c r="H104" s="153"/>
      <c r="I104" s="153"/>
      <c r="J104" s="153"/>
      <c r="K104" s="159"/>
      <c r="L104" s="153"/>
      <c r="M104" s="153"/>
      <c r="N104" s="153"/>
      <c r="O104" s="153"/>
      <c r="P104" s="153"/>
      <c r="Q104" s="153"/>
      <c r="R104" s="153"/>
      <c r="S104" s="159"/>
      <c r="T104" s="153"/>
      <c r="U104" s="153"/>
      <c r="V104" s="153"/>
      <c r="W104" s="153" t="s">
        <v>9</v>
      </c>
      <c r="X104" s="153"/>
      <c r="Y104" s="153"/>
      <c r="Z104" s="153"/>
      <c r="AA104" s="159"/>
      <c r="AB104" s="153"/>
      <c r="AC104" s="153"/>
      <c r="AD104" s="153"/>
      <c r="AE104" s="153"/>
      <c r="AF104" s="153"/>
      <c r="AG104" s="153"/>
      <c r="AH104" s="153"/>
      <c r="AI104" s="159"/>
      <c r="AJ104" s="153"/>
      <c r="AK104" s="153"/>
      <c r="AL104" s="153"/>
      <c r="AM104" s="153"/>
      <c r="AN104" s="153"/>
      <c r="AO104" s="153"/>
      <c r="AP104" s="169"/>
      <c r="AQ104" s="158"/>
      <c r="AR104" s="152"/>
      <c r="AS104" s="152"/>
      <c r="AT104" s="152"/>
      <c r="AU104" s="152"/>
      <c r="AV104" s="152"/>
      <c r="AW104" s="152"/>
      <c r="AX104" s="152"/>
      <c r="AY104" s="158"/>
      <c r="AZ104" s="180">
        <v>10039417</v>
      </c>
      <c r="BA104" s="179" t="s">
        <v>335</v>
      </c>
      <c r="BB104" s="126">
        <v>1</v>
      </c>
      <c r="BC104" s="126" t="s">
        <v>336</v>
      </c>
      <c r="BD104" s="179" t="s">
        <v>337</v>
      </c>
      <c r="BE104" s="179" t="s">
        <v>338</v>
      </c>
      <c r="BF104" s="179"/>
      <c r="BG104" s="179"/>
    </row>
    <row r="105" spans="1:59">
      <c r="A105" s="127">
        <f t="shared" si="12"/>
        <v>1</v>
      </c>
      <c r="B105" s="150" t="str">
        <f t="shared" si="13"/>
        <v>2/2</v>
      </c>
      <c r="C105" s="151"/>
      <c r="D105" s="153"/>
      <c r="E105" s="153"/>
      <c r="F105" s="153"/>
      <c r="G105" s="153" t="s">
        <v>9</v>
      </c>
      <c r="H105" s="153"/>
      <c r="I105" s="153"/>
      <c r="J105" s="153"/>
      <c r="K105" s="159"/>
      <c r="L105" s="153"/>
      <c r="M105" s="153"/>
      <c r="N105" s="153"/>
      <c r="O105" s="153"/>
      <c r="P105" s="153"/>
      <c r="Q105" s="153"/>
      <c r="R105" s="153"/>
      <c r="S105" s="159"/>
      <c r="T105" s="153"/>
      <c r="U105" s="153"/>
      <c r="V105" s="153"/>
      <c r="W105" s="153" t="s">
        <v>9</v>
      </c>
      <c r="X105" s="153"/>
      <c r="Y105" s="153"/>
      <c r="Z105" s="153"/>
      <c r="AA105" s="159"/>
      <c r="AB105" s="153"/>
      <c r="AC105" s="153"/>
      <c r="AD105" s="153"/>
      <c r="AE105" s="153"/>
      <c r="AF105" s="153"/>
      <c r="AG105" s="153"/>
      <c r="AH105" s="153"/>
      <c r="AI105" s="159"/>
      <c r="AJ105" s="153"/>
      <c r="AK105" s="153"/>
      <c r="AL105" s="153"/>
      <c r="AM105" s="153"/>
      <c r="AN105" s="153"/>
      <c r="AO105" s="153"/>
      <c r="AP105" s="169"/>
      <c r="AQ105" s="158"/>
      <c r="AR105" s="152"/>
      <c r="AS105" s="152"/>
      <c r="AT105" s="152"/>
      <c r="AU105" s="152"/>
      <c r="AV105" s="152"/>
      <c r="AW105" s="152"/>
      <c r="AX105" s="152"/>
      <c r="AY105" s="158"/>
      <c r="AZ105" s="180">
        <v>10041100</v>
      </c>
      <c r="BA105" s="179" t="s">
        <v>339</v>
      </c>
      <c r="BB105" s="126">
        <v>2</v>
      </c>
      <c r="BC105" s="126" t="s">
        <v>340</v>
      </c>
      <c r="BD105" s="179" t="s">
        <v>12</v>
      </c>
      <c r="BE105" s="179" t="s">
        <v>341</v>
      </c>
      <c r="BF105" s="179"/>
      <c r="BG105" s="179"/>
    </row>
    <row r="106" spans="1:59">
      <c r="A106" s="127">
        <f t="shared" si="12"/>
        <v>1</v>
      </c>
      <c r="B106" s="150" t="str">
        <f t="shared" si="13"/>
        <v>1/1</v>
      </c>
      <c r="C106" s="151"/>
      <c r="D106" s="153"/>
      <c r="E106" s="153"/>
      <c r="F106" s="153"/>
      <c r="G106" s="153"/>
      <c r="H106" s="153"/>
      <c r="I106" s="153"/>
      <c r="J106" s="153"/>
      <c r="K106" s="159"/>
      <c r="L106" s="153"/>
      <c r="M106" s="153"/>
      <c r="N106" s="153"/>
      <c r="O106" s="153"/>
      <c r="P106" s="153"/>
      <c r="Q106" s="153"/>
      <c r="R106" s="153"/>
      <c r="S106" s="159"/>
      <c r="T106" s="153"/>
      <c r="U106" s="153"/>
      <c r="V106" s="153"/>
      <c r="W106" s="153" t="s">
        <v>9</v>
      </c>
      <c r="X106" s="153"/>
      <c r="Y106" s="153"/>
      <c r="Z106" s="153"/>
      <c r="AA106" s="159"/>
      <c r="AB106" s="153"/>
      <c r="AC106" s="153"/>
      <c r="AD106" s="153"/>
      <c r="AE106" s="153"/>
      <c r="AF106" s="153"/>
      <c r="AG106" s="153"/>
      <c r="AH106" s="153"/>
      <c r="AI106" s="159"/>
      <c r="AJ106" s="153"/>
      <c r="AK106" s="153"/>
      <c r="AL106" s="153"/>
      <c r="AM106" s="153"/>
      <c r="AN106" s="153"/>
      <c r="AO106" s="153"/>
      <c r="AP106" s="169"/>
      <c r="AQ106" s="158"/>
      <c r="AR106" s="152"/>
      <c r="AS106" s="152"/>
      <c r="AT106" s="152"/>
      <c r="AU106" s="152"/>
      <c r="AV106" s="152"/>
      <c r="AW106" s="152"/>
      <c r="AX106" s="152"/>
      <c r="AY106" s="158"/>
      <c r="AZ106" s="180">
        <v>10043249</v>
      </c>
      <c r="BA106" s="179" t="s">
        <v>342</v>
      </c>
      <c r="BB106" s="126">
        <v>1</v>
      </c>
      <c r="BC106" s="126" t="s">
        <v>340</v>
      </c>
      <c r="BD106" s="179" t="s">
        <v>343</v>
      </c>
      <c r="BE106" s="179" t="s">
        <v>341</v>
      </c>
      <c r="BF106" s="179"/>
      <c r="BG106" s="179"/>
    </row>
    <row r="107" spans="1:59">
      <c r="A107" s="127">
        <f t="shared" si="12"/>
        <v>1</v>
      </c>
      <c r="B107" s="150" t="str">
        <f t="shared" si="13"/>
        <v>1/1</v>
      </c>
      <c r="C107" s="151"/>
      <c r="D107" s="153"/>
      <c r="E107" s="153"/>
      <c r="F107" s="153"/>
      <c r="G107" s="153" t="s">
        <v>9</v>
      </c>
      <c r="H107" s="153"/>
      <c r="I107" s="153"/>
      <c r="J107" s="153"/>
      <c r="K107" s="159"/>
      <c r="L107" s="153"/>
      <c r="M107" s="153"/>
      <c r="N107" s="153"/>
      <c r="O107" s="153"/>
      <c r="P107" s="153"/>
      <c r="Q107" s="153"/>
      <c r="R107" s="153"/>
      <c r="S107" s="159"/>
      <c r="T107" s="153"/>
      <c r="U107" s="153"/>
      <c r="V107" s="153"/>
      <c r="W107" s="153"/>
      <c r="X107" s="153"/>
      <c r="Y107" s="153"/>
      <c r="Z107" s="153"/>
      <c r="AA107" s="159"/>
      <c r="AB107" s="153"/>
      <c r="AC107" s="153"/>
      <c r="AD107" s="153"/>
      <c r="AE107" s="153"/>
      <c r="AF107" s="153"/>
      <c r="AG107" s="153"/>
      <c r="AH107" s="153"/>
      <c r="AI107" s="159"/>
      <c r="AJ107" s="153"/>
      <c r="AK107" s="153"/>
      <c r="AL107" s="153"/>
      <c r="AM107" s="153"/>
      <c r="AN107" s="153"/>
      <c r="AO107" s="153"/>
      <c r="AP107" s="169"/>
      <c r="AQ107" s="158"/>
      <c r="AR107" s="152"/>
      <c r="AS107" s="152"/>
      <c r="AT107" s="152"/>
      <c r="AU107" s="152"/>
      <c r="AV107" s="152"/>
      <c r="AW107" s="152"/>
      <c r="AX107" s="152"/>
      <c r="AY107" s="158"/>
      <c r="AZ107" s="180">
        <v>10042846</v>
      </c>
      <c r="BA107" s="179" t="s">
        <v>344</v>
      </c>
      <c r="BB107" s="126">
        <v>1</v>
      </c>
      <c r="BC107" s="126" t="s">
        <v>345</v>
      </c>
      <c r="BD107" s="179" t="s">
        <v>12</v>
      </c>
      <c r="BE107" s="179" t="s">
        <v>346</v>
      </c>
      <c r="BF107" s="179"/>
      <c r="BG107" s="179"/>
    </row>
    <row r="108" spans="1:59">
      <c r="A108" s="127">
        <f t="shared" si="12"/>
        <v>1</v>
      </c>
      <c r="B108" s="150" t="str">
        <f t="shared" si="13"/>
        <v>1/1</v>
      </c>
      <c r="C108" s="151"/>
      <c r="D108" s="153"/>
      <c r="E108" s="153"/>
      <c r="F108" s="153"/>
      <c r="G108" s="153"/>
      <c r="H108" s="153"/>
      <c r="I108" s="153"/>
      <c r="J108" s="153"/>
      <c r="K108" s="159"/>
      <c r="L108" s="153"/>
      <c r="M108" s="153"/>
      <c r="N108" s="153"/>
      <c r="O108" s="153"/>
      <c r="P108" s="153"/>
      <c r="Q108" s="153"/>
      <c r="R108" s="153"/>
      <c r="S108" s="159"/>
      <c r="T108" s="153"/>
      <c r="U108" s="153"/>
      <c r="V108" s="153"/>
      <c r="W108" s="153"/>
      <c r="X108" s="153"/>
      <c r="Y108" s="153"/>
      <c r="Z108" s="153"/>
      <c r="AA108" s="159"/>
      <c r="AB108" s="153"/>
      <c r="AC108" s="153"/>
      <c r="AD108" s="153"/>
      <c r="AE108" s="153" t="s">
        <v>9</v>
      </c>
      <c r="AF108" s="153"/>
      <c r="AG108" s="153"/>
      <c r="AH108" s="153"/>
      <c r="AI108" s="159"/>
      <c r="AJ108" s="153"/>
      <c r="AK108" s="153"/>
      <c r="AL108" s="153"/>
      <c r="AM108" s="153"/>
      <c r="AN108" s="153"/>
      <c r="AO108" s="153"/>
      <c r="AP108" s="169"/>
      <c r="AQ108" s="158"/>
      <c r="AR108" s="152"/>
      <c r="AS108" s="152"/>
      <c r="AT108" s="152"/>
      <c r="AU108" s="152"/>
      <c r="AV108" s="152"/>
      <c r="AW108" s="152"/>
      <c r="AX108" s="152"/>
      <c r="AY108" s="158"/>
      <c r="AZ108" s="180">
        <v>10023107</v>
      </c>
      <c r="BA108" s="179" t="s">
        <v>347</v>
      </c>
      <c r="BB108" s="126">
        <v>1</v>
      </c>
      <c r="BC108" s="126" t="s">
        <v>348</v>
      </c>
      <c r="BD108" s="179" t="s">
        <v>112</v>
      </c>
      <c r="BE108" s="179" t="s">
        <v>349</v>
      </c>
      <c r="BF108" s="179"/>
      <c r="BG108" s="179"/>
    </row>
    <row r="109" spans="1:59">
      <c r="A109" s="127">
        <f t="shared" si="12"/>
        <v>1</v>
      </c>
      <c r="B109" s="150" t="str">
        <f t="shared" si="13"/>
        <v>1/1</v>
      </c>
      <c r="C109" s="151"/>
      <c r="D109" s="153"/>
      <c r="E109" s="153"/>
      <c r="F109" s="153"/>
      <c r="G109" s="153"/>
      <c r="H109" s="153"/>
      <c r="I109" s="153"/>
      <c r="J109" s="153"/>
      <c r="K109" s="159"/>
      <c r="L109" s="153"/>
      <c r="M109" s="153"/>
      <c r="N109" s="153"/>
      <c r="O109" s="153"/>
      <c r="P109" s="153"/>
      <c r="Q109" s="153"/>
      <c r="R109" s="153"/>
      <c r="S109" s="159"/>
      <c r="T109" s="153"/>
      <c r="U109" s="153"/>
      <c r="V109" s="153"/>
      <c r="W109" s="153"/>
      <c r="X109" s="153"/>
      <c r="Y109" s="153"/>
      <c r="Z109" s="153"/>
      <c r="AA109" s="159"/>
      <c r="AB109" s="153"/>
      <c r="AC109" s="153"/>
      <c r="AD109" s="153"/>
      <c r="AE109" s="153" t="s">
        <v>9</v>
      </c>
      <c r="AF109" s="153"/>
      <c r="AG109" s="153"/>
      <c r="AH109" s="153"/>
      <c r="AI109" s="159"/>
      <c r="AJ109" s="153"/>
      <c r="AK109" s="153"/>
      <c r="AL109" s="153"/>
      <c r="AM109" s="153"/>
      <c r="AN109" s="153"/>
      <c r="AO109" s="153"/>
      <c r="AP109" s="169"/>
      <c r="AQ109" s="158"/>
      <c r="AR109" s="152"/>
      <c r="AS109" s="152"/>
      <c r="AT109" s="152"/>
      <c r="AU109" s="152"/>
      <c r="AV109" s="152"/>
      <c r="AW109" s="152"/>
      <c r="AX109" s="152"/>
      <c r="AY109" s="158"/>
      <c r="AZ109" s="180">
        <v>10046043</v>
      </c>
      <c r="BA109" s="179" t="s">
        <v>350</v>
      </c>
      <c r="BB109" s="126">
        <v>1</v>
      </c>
      <c r="BC109" s="126" t="s">
        <v>351</v>
      </c>
      <c r="BD109" s="179" t="s">
        <v>352</v>
      </c>
      <c r="BE109" s="179" t="s">
        <v>353</v>
      </c>
      <c r="BF109" s="179"/>
      <c r="BG109" s="179"/>
    </row>
    <row r="110" spans="1:59">
      <c r="A110" s="127">
        <f t="shared" si="12"/>
        <v>1</v>
      </c>
      <c r="B110" s="150" t="str">
        <f t="shared" si="13"/>
        <v>1/1</v>
      </c>
      <c r="C110" s="151"/>
      <c r="D110" s="153"/>
      <c r="E110" s="153"/>
      <c r="F110" s="153"/>
      <c r="G110" s="153"/>
      <c r="H110" s="153"/>
      <c r="I110" s="153"/>
      <c r="J110" s="153"/>
      <c r="K110" s="159"/>
      <c r="L110" s="153"/>
      <c r="M110" s="153"/>
      <c r="N110" s="153"/>
      <c r="O110" s="153"/>
      <c r="P110" s="153"/>
      <c r="Q110" s="153"/>
      <c r="R110" s="153"/>
      <c r="S110" s="159"/>
      <c r="T110" s="153"/>
      <c r="U110" s="153"/>
      <c r="V110" s="153"/>
      <c r="W110" s="153"/>
      <c r="X110" s="153"/>
      <c r="Y110" s="153"/>
      <c r="Z110" s="153"/>
      <c r="AA110" s="159"/>
      <c r="AB110" s="153"/>
      <c r="AC110" s="153"/>
      <c r="AD110" s="153" t="s">
        <v>9</v>
      </c>
      <c r="AE110" s="153"/>
      <c r="AF110" s="153"/>
      <c r="AG110" s="153"/>
      <c r="AH110" s="153"/>
      <c r="AI110" s="159"/>
      <c r="AJ110" s="153"/>
      <c r="AK110" s="153"/>
      <c r="AL110" s="153"/>
      <c r="AM110" s="153"/>
      <c r="AN110" s="153"/>
      <c r="AO110" s="153"/>
      <c r="AP110" s="169"/>
      <c r="AQ110" s="158"/>
      <c r="AR110" s="152"/>
      <c r="AS110" s="152"/>
      <c r="AT110" s="152"/>
      <c r="AU110" s="152"/>
      <c r="AV110" s="152"/>
      <c r="AW110" s="152"/>
      <c r="AX110" s="152"/>
      <c r="AY110" s="158"/>
      <c r="AZ110" s="180">
        <v>10044766</v>
      </c>
      <c r="BA110" s="179" t="s">
        <v>354</v>
      </c>
      <c r="BB110" s="126">
        <v>1</v>
      </c>
      <c r="BC110" s="126" t="s">
        <v>355</v>
      </c>
      <c r="BD110" s="179" t="s">
        <v>356</v>
      </c>
      <c r="BE110" s="179" t="s">
        <v>357</v>
      </c>
      <c r="BF110" s="179"/>
      <c r="BG110" s="179"/>
    </row>
    <row r="111" spans="1:59">
      <c r="A111" s="127">
        <f t="shared" si="12"/>
        <v>1</v>
      </c>
      <c r="B111" s="150" t="str">
        <f t="shared" si="13"/>
        <v>1/1</v>
      </c>
      <c r="C111" s="151"/>
      <c r="D111" s="153"/>
      <c r="E111" s="153"/>
      <c r="F111" s="153"/>
      <c r="G111" s="153"/>
      <c r="H111" s="153"/>
      <c r="I111" s="153"/>
      <c r="J111" s="153"/>
      <c r="K111" s="159"/>
      <c r="L111" s="153"/>
      <c r="M111" s="153"/>
      <c r="N111" s="153"/>
      <c r="O111" s="153"/>
      <c r="P111" s="153"/>
      <c r="Q111" s="153"/>
      <c r="R111" s="153"/>
      <c r="S111" s="159"/>
      <c r="T111" s="153"/>
      <c r="U111" s="153"/>
      <c r="V111" s="153"/>
      <c r="W111" s="153"/>
      <c r="X111" s="153"/>
      <c r="Y111" s="153"/>
      <c r="Z111" s="153"/>
      <c r="AA111" s="159"/>
      <c r="AB111" s="153"/>
      <c r="AC111" s="153"/>
      <c r="AD111" s="153" t="s">
        <v>9</v>
      </c>
      <c r="AE111" s="153"/>
      <c r="AF111" s="153"/>
      <c r="AG111" s="153"/>
      <c r="AH111" s="153"/>
      <c r="AI111" s="159"/>
      <c r="AJ111" s="153"/>
      <c r="AK111" s="153"/>
      <c r="AL111" s="153"/>
      <c r="AM111" s="153"/>
      <c r="AN111" s="153"/>
      <c r="AO111" s="153"/>
      <c r="AP111" s="169"/>
      <c r="AQ111" s="158"/>
      <c r="AR111" s="152"/>
      <c r="AS111" s="152"/>
      <c r="AT111" s="152"/>
      <c r="AU111" s="152"/>
      <c r="AV111" s="152"/>
      <c r="AW111" s="152"/>
      <c r="AX111" s="152"/>
      <c r="AY111" s="158"/>
      <c r="AZ111" s="180">
        <v>10013841</v>
      </c>
      <c r="BA111" s="179" t="s">
        <v>358</v>
      </c>
      <c r="BB111" s="126">
        <v>1</v>
      </c>
      <c r="BC111" s="126" t="s">
        <v>359</v>
      </c>
      <c r="BD111" s="179" t="s">
        <v>360</v>
      </c>
      <c r="BE111" s="179" t="s">
        <v>361</v>
      </c>
      <c r="BF111" s="179"/>
      <c r="BG111" s="179"/>
    </row>
    <row r="112" spans="1:59">
      <c r="A112" s="127">
        <f t="shared" si="12"/>
        <v>1</v>
      </c>
      <c r="B112" s="150" t="str">
        <f t="shared" si="13"/>
        <v>1/1</v>
      </c>
      <c r="C112" s="151"/>
      <c r="D112" s="153"/>
      <c r="E112" s="153"/>
      <c r="F112" s="153"/>
      <c r="G112" s="153"/>
      <c r="H112" s="153"/>
      <c r="I112" s="153"/>
      <c r="J112" s="153"/>
      <c r="K112" s="159"/>
      <c r="L112" s="153"/>
      <c r="M112" s="153"/>
      <c r="N112" s="153"/>
      <c r="O112" s="153"/>
      <c r="P112" s="153"/>
      <c r="Q112" s="153"/>
      <c r="R112" s="153"/>
      <c r="S112" s="159"/>
      <c r="T112" s="153"/>
      <c r="U112" s="153"/>
      <c r="V112" s="153"/>
      <c r="W112" s="153"/>
      <c r="X112" s="153"/>
      <c r="Y112" s="153"/>
      <c r="Z112" s="153"/>
      <c r="AA112" s="159"/>
      <c r="AB112" s="153"/>
      <c r="AC112" s="153"/>
      <c r="AD112" s="153"/>
      <c r="AE112" s="153"/>
      <c r="AF112" s="153" t="s">
        <v>9</v>
      </c>
      <c r="AG112" s="153"/>
      <c r="AH112" s="153"/>
      <c r="AI112" s="159"/>
      <c r="AJ112" s="153"/>
      <c r="AK112" s="153"/>
      <c r="AL112" s="153"/>
      <c r="AM112" s="153"/>
      <c r="AN112" s="153"/>
      <c r="AO112" s="153"/>
      <c r="AP112" s="169"/>
      <c r="AQ112" s="158"/>
      <c r="AR112" s="152"/>
      <c r="AS112" s="152"/>
      <c r="AT112" s="152"/>
      <c r="AU112" s="152"/>
      <c r="AV112" s="152"/>
      <c r="AW112" s="152"/>
      <c r="AX112" s="152"/>
      <c r="AY112" s="158"/>
      <c r="AZ112" s="180">
        <v>10041164</v>
      </c>
      <c r="BA112" s="179" t="s">
        <v>362</v>
      </c>
      <c r="BB112" s="126">
        <v>1</v>
      </c>
      <c r="BC112" s="126" t="s">
        <v>363</v>
      </c>
      <c r="BD112" s="179" t="s">
        <v>119</v>
      </c>
      <c r="BE112" s="179" t="s">
        <v>364</v>
      </c>
      <c r="BF112" s="179"/>
      <c r="BG112" s="179"/>
    </row>
    <row r="113" spans="1:59">
      <c r="A113" s="127">
        <f t="shared" si="12"/>
        <v>1</v>
      </c>
      <c r="B113" s="150" t="str">
        <f t="shared" si="13"/>
        <v>1/1</v>
      </c>
      <c r="C113" s="151"/>
      <c r="D113" s="153"/>
      <c r="E113" s="153"/>
      <c r="F113" s="153"/>
      <c r="G113" s="153"/>
      <c r="H113" s="153"/>
      <c r="I113" s="153"/>
      <c r="J113" s="153"/>
      <c r="K113" s="159"/>
      <c r="L113" s="153"/>
      <c r="M113" s="153"/>
      <c r="N113" s="153"/>
      <c r="O113" s="153"/>
      <c r="P113" s="153"/>
      <c r="Q113" s="153"/>
      <c r="R113" s="153"/>
      <c r="S113" s="159"/>
      <c r="T113" s="153"/>
      <c r="U113" s="153"/>
      <c r="V113" s="153"/>
      <c r="W113" s="153"/>
      <c r="X113" s="153"/>
      <c r="Y113" s="153"/>
      <c r="Z113" s="153"/>
      <c r="AA113" s="159"/>
      <c r="AB113" s="153"/>
      <c r="AC113" s="153"/>
      <c r="AD113" s="153"/>
      <c r="AE113" s="153"/>
      <c r="AF113" s="153" t="s">
        <v>9</v>
      </c>
      <c r="AG113" s="153"/>
      <c r="AH113" s="153"/>
      <c r="AI113" s="159"/>
      <c r="AJ113" s="153"/>
      <c r="AK113" s="153"/>
      <c r="AL113" s="153"/>
      <c r="AM113" s="153"/>
      <c r="AN113" s="153"/>
      <c r="AO113" s="153"/>
      <c r="AP113" s="169"/>
      <c r="AQ113" s="158"/>
      <c r="AR113" s="152"/>
      <c r="AS113" s="152"/>
      <c r="AT113" s="152"/>
      <c r="AU113" s="152"/>
      <c r="AV113" s="152"/>
      <c r="AW113" s="152"/>
      <c r="AX113" s="152"/>
      <c r="AY113" s="158"/>
      <c r="AZ113" s="180">
        <v>10015340</v>
      </c>
      <c r="BA113" s="179" t="s">
        <v>365</v>
      </c>
      <c r="BB113" s="126">
        <v>1</v>
      </c>
      <c r="BC113" s="126" t="s">
        <v>366</v>
      </c>
      <c r="BD113" s="179" t="s">
        <v>219</v>
      </c>
      <c r="BE113" s="179" t="s">
        <v>367</v>
      </c>
      <c r="BF113" s="179"/>
      <c r="BG113" s="179"/>
    </row>
    <row r="114" spans="1:59">
      <c r="A114" s="127">
        <f t="shared" si="12"/>
        <v>1</v>
      </c>
      <c r="B114" s="150" t="str">
        <f t="shared" si="13"/>
        <v>1/1</v>
      </c>
      <c r="C114" s="151"/>
      <c r="D114" s="153"/>
      <c r="E114" s="153"/>
      <c r="F114" s="153"/>
      <c r="G114" s="153"/>
      <c r="H114" s="153"/>
      <c r="I114" s="153"/>
      <c r="J114" s="153"/>
      <c r="K114" s="159"/>
      <c r="L114" s="153"/>
      <c r="M114" s="153"/>
      <c r="N114" s="153"/>
      <c r="O114" s="153"/>
      <c r="P114" s="153"/>
      <c r="Q114" s="153"/>
      <c r="R114" s="153"/>
      <c r="S114" s="159"/>
      <c r="T114" s="153"/>
      <c r="U114" s="153"/>
      <c r="V114" s="153"/>
      <c r="W114" s="153"/>
      <c r="X114" s="153"/>
      <c r="Y114" s="153"/>
      <c r="Z114" s="153"/>
      <c r="AA114" s="159"/>
      <c r="AB114" s="153"/>
      <c r="AC114" s="153"/>
      <c r="AD114" s="153" t="s">
        <v>9</v>
      </c>
      <c r="AE114" s="153"/>
      <c r="AF114" s="153"/>
      <c r="AG114" s="153"/>
      <c r="AH114" s="153"/>
      <c r="AI114" s="159"/>
      <c r="AJ114" s="153"/>
      <c r="AK114" s="153"/>
      <c r="AL114" s="153"/>
      <c r="AM114" s="153"/>
      <c r="AN114" s="153"/>
      <c r="AO114" s="153"/>
      <c r="AP114" s="169"/>
      <c r="AQ114" s="158"/>
      <c r="AR114" s="152"/>
      <c r="AS114" s="152"/>
      <c r="AT114" s="152"/>
      <c r="AU114" s="152"/>
      <c r="AV114" s="152"/>
      <c r="AW114" s="152"/>
      <c r="AX114" s="152"/>
      <c r="AY114" s="158"/>
      <c r="AZ114" s="180">
        <v>10043852</v>
      </c>
      <c r="BA114" s="179" t="s">
        <v>368</v>
      </c>
      <c r="BB114" s="126">
        <v>1</v>
      </c>
      <c r="BC114" s="126" t="s">
        <v>369</v>
      </c>
      <c r="BD114" s="179" t="s">
        <v>203</v>
      </c>
      <c r="BE114" s="179" t="s">
        <v>370</v>
      </c>
      <c r="BF114" s="179"/>
      <c r="BG114" s="179"/>
    </row>
    <row r="115" spans="1:59">
      <c r="A115" s="127">
        <f t="shared" si="12"/>
        <v>1</v>
      </c>
      <c r="B115" s="150" t="str">
        <f t="shared" si="13"/>
        <v>1/1</v>
      </c>
      <c r="C115" s="151"/>
      <c r="D115" s="153"/>
      <c r="E115" s="153"/>
      <c r="F115" s="153"/>
      <c r="G115" s="153"/>
      <c r="H115" s="153"/>
      <c r="I115" s="153"/>
      <c r="J115" s="153"/>
      <c r="K115" s="159"/>
      <c r="L115" s="153"/>
      <c r="M115" s="153"/>
      <c r="N115" s="153"/>
      <c r="O115" s="153"/>
      <c r="P115" s="153"/>
      <c r="Q115" s="153"/>
      <c r="R115" s="153"/>
      <c r="S115" s="159"/>
      <c r="T115" s="153"/>
      <c r="U115" s="153"/>
      <c r="V115" s="153"/>
      <c r="W115" s="153"/>
      <c r="X115" s="153"/>
      <c r="Y115" s="153"/>
      <c r="Z115" s="153"/>
      <c r="AA115" s="159"/>
      <c r="AB115" s="153"/>
      <c r="AC115" s="153"/>
      <c r="AD115" s="153"/>
      <c r="AE115" s="153"/>
      <c r="AF115" s="153"/>
      <c r="AG115" s="153"/>
      <c r="AH115" s="153"/>
      <c r="AI115" s="159"/>
      <c r="AJ115" s="153"/>
      <c r="AK115" s="153"/>
      <c r="AL115" s="153" t="s">
        <v>9</v>
      </c>
      <c r="AM115" s="153"/>
      <c r="AN115" s="153"/>
      <c r="AO115" s="153"/>
      <c r="AP115" s="169"/>
      <c r="AQ115" s="158"/>
      <c r="AR115" s="152"/>
      <c r="AS115" s="152"/>
      <c r="AT115" s="152"/>
      <c r="AU115" s="152"/>
      <c r="AV115" s="152"/>
      <c r="AW115" s="152"/>
      <c r="AX115" s="152"/>
      <c r="AY115" s="158"/>
      <c r="AZ115" s="180">
        <v>10044214</v>
      </c>
      <c r="BA115" s="179" t="s">
        <v>371</v>
      </c>
      <c r="BB115" s="126">
        <v>1</v>
      </c>
      <c r="BC115" s="126" t="s">
        <v>372</v>
      </c>
      <c r="BD115" s="179" t="s">
        <v>373</v>
      </c>
      <c r="BE115" s="179" t="s">
        <v>374</v>
      </c>
      <c r="BF115" s="179"/>
      <c r="BG115" s="179"/>
    </row>
    <row r="116" spans="1:59">
      <c r="A116" s="127">
        <f t="shared" si="12"/>
        <v>1</v>
      </c>
      <c r="B116" s="150" t="str">
        <f t="shared" si="13"/>
        <v>1/1</v>
      </c>
      <c r="C116" s="151"/>
      <c r="D116" s="153"/>
      <c r="E116" s="153"/>
      <c r="F116" s="153"/>
      <c r="G116" s="153"/>
      <c r="H116" s="153"/>
      <c r="I116" s="153"/>
      <c r="J116" s="153"/>
      <c r="K116" s="159"/>
      <c r="L116" s="153"/>
      <c r="M116" s="153"/>
      <c r="N116" s="153"/>
      <c r="O116" s="153"/>
      <c r="P116" s="153"/>
      <c r="Q116" s="153"/>
      <c r="R116" s="153"/>
      <c r="S116" s="159"/>
      <c r="T116" s="153"/>
      <c r="U116" s="153"/>
      <c r="V116" s="153"/>
      <c r="W116" s="153"/>
      <c r="X116" s="153"/>
      <c r="Y116" s="153"/>
      <c r="Z116" s="153"/>
      <c r="AA116" s="159"/>
      <c r="AB116" s="153"/>
      <c r="AC116" s="153"/>
      <c r="AD116" s="153" t="s">
        <v>9</v>
      </c>
      <c r="AE116" s="153"/>
      <c r="AF116" s="153"/>
      <c r="AG116" s="153"/>
      <c r="AH116" s="153"/>
      <c r="AI116" s="159"/>
      <c r="AJ116" s="153"/>
      <c r="AK116" s="153"/>
      <c r="AL116" s="153"/>
      <c r="AM116" s="153"/>
      <c r="AN116" s="153"/>
      <c r="AO116" s="153"/>
      <c r="AP116" s="169"/>
      <c r="AQ116" s="158"/>
      <c r="AR116" s="152"/>
      <c r="AS116" s="152"/>
      <c r="AT116" s="152"/>
      <c r="AU116" s="152"/>
      <c r="AV116" s="152"/>
      <c r="AW116" s="152"/>
      <c r="AX116" s="152"/>
      <c r="AY116" s="158"/>
      <c r="AZ116" s="180">
        <v>10045525</v>
      </c>
      <c r="BA116" s="179" t="s">
        <v>375</v>
      </c>
      <c r="BB116" s="126">
        <v>1</v>
      </c>
      <c r="BC116" s="126" t="s">
        <v>376</v>
      </c>
      <c r="BD116" s="179" t="s">
        <v>377</v>
      </c>
      <c r="BE116" s="179" t="s">
        <v>378</v>
      </c>
      <c r="BF116" s="179"/>
      <c r="BG116" s="179"/>
    </row>
    <row r="117" spans="1:59">
      <c r="A117" s="127">
        <f t="shared" si="12"/>
        <v>1</v>
      </c>
      <c r="B117" s="150" t="str">
        <f t="shared" si="13"/>
        <v>1/1</v>
      </c>
      <c r="C117" s="151"/>
      <c r="D117" s="153"/>
      <c r="E117" s="153"/>
      <c r="F117" s="153"/>
      <c r="G117" s="153"/>
      <c r="H117" s="153"/>
      <c r="I117" s="153"/>
      <c r="J117" s="153"/>
      <c r="K117" s="159"/>
      <c r="L117" s="153"/>
      <c r="M117" s="153"/>
      <c r="N117" s="153"/>
      <c r="O117" s="153"/>
      <c r="P117" s="153"/>
      <c r="Q117" s="153"/>
      <c r="R117" s="153"/>
      <c r="S117" s="159"/>
      <c r="T117" s="153"/>
      <c r="U117" s="153"/>
      <c r="V117" s="153"/>
      <c r="W117" s="153"/>
      <c r="X117" s="153"/>
      <c r="Y117" s="153"/>
      <c r="Z117" s="153"/>
      <c r="AA117" s="159"/>
      <c r="AB117" s="153"/>
      <c r="AC117" s="153"/>
      <c r="AD117" s="153"/>
      <c r="AE117" s="153"/>
      <c r="AF117" s="153"/>
      <c r="AG117" s="153"/>
      <c r="AH117" s="153"/>
      <c r="AI117" s="159"/>
      <c r="AJ117" s="153"/>
      <c r="AK117" s="153"/>
      <c r="AL117" s="153" t="s">
        <v>9</v>
      </c>
      <c r="AM117" s="153"/>
      <c r="AN117" s="153"/>
      <c r="AO117" s="153"/>
      <c r="AP117" s="169"/>
      <c r="AQ117" s="158"/>
      <c r="AR117" s="152"/>
      <c r="AS117" s="152"/>
      <c r="AT117" s="152"/>
      <c r="AU117" s="152"/>
      <c r="AV117" s="152"/>
      <c r="AW117" s="152"/>
      <c r="AX117" s="152"/>
      <c r="AY117" s="158"/>
      <c r="AZ117" s="180">
        <v>10031518</v>
      </c>
      <c r="BA117" s="179" t="s">
        <v>379</v>
      </c>
      <c r="BB117" s="126">
        <v>1</v>
      </c>
      <c r="BC117" s="126" t="s">
        <v>380</v>
      </c>
      <c r="BD117" s="179" t="s">
        <v>381</v>
      </c>
      <c r="BE117" s="179" t="s">
        <v>382</v>
      </c>
      <c r="BF117" s="179"/>
      <c r="BG117" s="179"/>
    </row>
    <row r="118" spans="1:59">
      <c r="A118" s="127">
        <f t="shared" si="12"/>
        <v>0</v>
      </c>
      <c r="B118" s="150" t="str">
        <f t="shared" si="13"/>
        <v>0/1</v>
      </c>
      <c r="C118" s="151"/>
      <c r="D118" s="153"/>
      <c r="E118" s="153"/>
      <c r="F118" s="153"/>
      <c r="G118" s="153"/>
      <c r="H118" s="153"/>
      <c r="I118" s="153"/>
      <c r="J118" s="153"/>
      <c r="K118" s="159"/>
      <c r="L118" s="153"/>
      <c r="M118" s="153"/>
      <c r="N118" s="153"/>
      <c r="O118" s="153"/>
      <c r="P118" s="153"/>
      <c r="Q118" s="153"/>
      <c r="R118" s="153"/>
      <c r="S118" s="159"/>
      <c r="T118" s="153"/>
      <c r="U118" s="153"/>
      <c r="V118" s="153"/>
      <c r="W118" s="153"/>
      <c r="X118" s="153"/>
      <c r="Y118" s="153"/>
      <c r="Z118" s="153"/>
      <c r="AA118" s="159"/>
      <c r="AB118" s="153"/>
      <c r="AC118" s="153"/>
      <c r="AD118" s="153"/>
      <c r="AE118" s="153"/>
      <c r="AF118" s="153"/>
      <c r="AG118" s="153"/>
      <c r="AH118" s="153"/>
      <c r="AI118" s="159"/>
      <c r="AJ118" s="153"/>
      <c r="AK118" s="153"/>
      <c r="AL118" s="153"/>
      <c r="AM118" s="153"/>
      <c r="AN118" s="153"/>
      <c r="AO118" s="153"/>
      <c r="AP118" s="169"/>
      <c r="AQ118" s="158"/>
      <c r="AR118" s="152"/>
      <c r="AS118" s="152"/>
      <c r="AT118" s="152"/>
      <c r="AU118" s="152"/>
      <c r="AV118" s="152"/>
      <c r="AW118" s="152"/>
      <c r="AX118" s="152"/>
      <c r="AY118" s="158"/>
      <c r="AZ118" s="180">
        <v>10013325</v>
      </c>
      <c r="BA118" s="179" t="s">
        <v>383</v>
      </c>
      <c r="BB118" s="126">
        <v>1</v>
      </c>
      <c r="BC118" s="126" t="s">
        <v>384</v>
      </c>
      <c r="BD118" s="179" t="s">
        <v>385</v>
      </c>
      <c r="BE118" s="179" t="s">
        <v>386</v>
      </c>
      <c r="BF118" s="179"/>
      <c r="BG118" s="179"/>
    </row>
    <row r="119" spans="1:59">
      <c r="A119" s="127">
        <f t="shared" si="12"/>
        <v>1</v>
      </c>
      <c r="B119" s="150" t="str">
        <f t="shared" si="13"/>
        <v>1/1</v>
      </c>
      <c r="C119" s="151"/>
      <c r="D119" s="153"/>
      <c r="E119" s="153"/>
      <c r="F119" s="153"/>
      <c r="G119" s="153"/>
      <c r="H119" s="153"/>
      <c r="I119" s="153"/>
      <c r="J119" s="153"/>
      <c r="K119" s="159"/>
      <c r="L119" s="153"/>
      <c r="M119" s="153"/>
      <c r="N119" s="153"/>
      <c r="O119" s="153"/>
      <c r="P119" s="153"/>
      <c r="Q119" s="153"/>
      <c r="R119" s="153"/>
      <c r="S119" s="159"/>
      <c r="T119" s="153"/>
      <c r="U119" s="153"/>
      <c r="V119" s="153"/>
      <c r="W119" s="153"/>
      <c r="X119" s="153"/>
      <c r="Y119" s="153"/>
      <c r="Z119" s="153"/>
      <c r="AA119" s="159"/>
      <c r="AB119" s="153"/>
      <c r="AC119" s="153"/>
      <c r="AD119" s="153"/>
      <c r="AE119" s="153"/>
      <c r="AF119" s="153"/>
      <c r="AG119" s="153"/>
      <c r="AH119" s="153"/>
      <c r="AI119" s="159"/>
      <c r="AJ119" s="153"/>
      <c r="AK119" s="153"/>
      <c r="AL119" s="153" t="s">
        <v>9</v>
      </c>
      <c r="AM119" s="153"/>
      <c r="AN119" s="153"/>
      <c r="AO119" s="153"/>
      <c r="AP119" s="169"/>
      <c r="AQ119" s="158"/>
      <c r="AR119" s="152"/>
      <c r="AS119" s="152"/>
      <c r="AT119" s="152"/>
      <c r="AU119" s="152"/>
      <c r="AV119" s="152"/>
      <c r="AW119" s="152"/>
      <c r="AX119" s="152"/>
      <c r="AY119" s="158"/>
      <c r="AZ119" s="180">
        <v>10043842</v>
      </c>
      <c r="BA119" s="179" t="s">
        <v>387</v>
      </c>
      <c r="BB119" s="126">
        <v>1</v>
      </c>
      <c r="BC119" s="126" t="s">
        <v>384</v>
      </c>
      <c r="BD119" s="179" t="s">
        <v>251</v>
      </c>
      <c r="BE119" s="179" t="s">
        <v>386</v>
      </c>
      <c r="BF119" s="179"/>
      <c r="BG119" s="179"/>
    </row>
    <row r="120" spans="1:59">
      <c r="A120" s="127">
        <f t="shared" si="12"/>
        <v>1</v>
      </c>
      <c r="B120" s="150" t="str">
        <f t="shared" si="13"/>
        <v>1/1</v>
      </c>
      <c r="C120" s="151"/>
      <c r="D120" s="153"/>
      <c r="E120" s="153"/>
      <c r="F120" s="153"/>
      <c r="G120" s="153"/>
      <c r="H120" s="153"/>
      <c r="I120" s="153"/>
      <c r="J120" s="153"/>
      <c r="K120" s="159"/>
      <c r="L120" s="153"/>
      <c r="M120" s="153"/>
      <c r="N120" s="153"/>
      <c r="O120" s="153"/>
      <c r="P120" s="153"/>
      <c r="Q120" s="153"/>
      <c r="R120" s="153"/>
      <c r="S120" s="159"/>
      <c r="T120" s="153"/>
      <c r="U120" s="153"/>
      <c r="V120" s="153"/>
      <c r="W120" s="153"/>
      <c r="X120" s="153"/>
      <c r="Y120" s="153"/>
      <c r="Z120" s="153"/>
      <c r="AA120" s="159"/>
      <c r="AB120" s="153"/>
      <c r="AC120" s="153"/>
      <c r="AD120" s="153"/>
      <c r="AE120" s="153"/>
      <c r="AF120" s="153"/>
      <c r="AG120" s="153"/>
      <c r="AH120" s="153"/>
      <c r="AI120" s="159"/>
      <c r="AJ120" s="153"/>
      <c r="AK120" s="153"/>
      <c r="AL120" s="153" t="s">
        <v>9</v>
      </c>
      <c r="AM120" s="153"/>
      <c r="AN120" s="153"/>
      <c r="AO120" s="153"/>
      <c r="AP120" s="169"/>
      <c r="AQ120" s="158"/>
      <c r="AR120" s="152"/>
      <c r="AS120" s="152"/>
      <c r="AT120" s="152"/>
      <c r="AU120" s="152"/>
      <c r="AV120" s="152"/>
      <c r="AW120" s="152"/>
      <c r="AX120" s="152"/>
      <c r="AY120" s="158"/>
      <c r="AZ120" s="180">
        <v>10044755</v>
      </c>
      <c r="BA120" s="179" t="s">
        <v>388</v>
      </c>
      <c r="BB120" s="126">
        <v>1</v>
      </c>
      <c r="BC120" s="126" t="s">
        <v>389</v>
      </c>
      <c r="BD120" s="179" t="s">
        <v>22</v>
      </c>
      <c r="BE120" s="179" t="s">
        <v>390</v>
      </c>
      <c r="BF120" s="179"/>
      <c r="BG120" s="179"/>
    </row>
    <row r="121" spans="1:59">
      <c r="A121" s="127">
        <f t="shared" si="12"/>
        <v>1</v>
      </c>
      <c r="B121" s="150" t="str">
        <f t="shared" si="13"/>
        <v>1/1</v>
      </c>
      <c r="C121" s="151"/>
      <c r="D121" s="153"/>
      <c r="E121" s="153"/>
      <c r="F121" s="153"/>
      <c r="G121" s="153"/>
      <c r="H121" s="153"/>
      <c r="I121" s="153"/>
      <c r="J121" s="153"/>
      <c r="K121" s="159"/>
      <c r="L121" s="153"/>
      <c r="M121" s="153"/>
      <c r="N121" s="153"/>
      <c r="O121" s="153"/>
      <c r="P121" s="153"/>
      <c r="Q121" s="153"/>
      <c r="R121" s="153"/>
      <c r="S121" s="159"/>
      <c r="T121" s="153"/>
      <c r="U121" s="153"/>
      <c r="V121" s="153"/>
      <c r="W121" s="153"/>
      <c r="X121" s="153" t="s">
        <v>9</v>
      </c>
      <c r="Y121" s="153"/>
      <c r="Z121" s="153"/>
      <c r="AA121" s="159"/>
      <c r="AB121" s="153"/>
      <c r="AC121" s="153"/>
      <c r="AD121" s="153"/>
      <c r="AE121" s="153"/>
      <c r="AF121" s="153"/>
      <c r="AG121" s="153"/>
      <c r="AH121" s="153"/>
      <c r="AI121" s="159"/>
      <c r="AJ121" s="153"/>
      <c r="AK121" s="153"/>
      <c r="AL121" s="153"/>
      <c r="AM121" s="153"/>
      <c r="AN121" s="153"/>
      <c r="AO121" s="153"/>
      <c r="AP121" s="169"/>
      <c r="AQ121" s="158"/>
      <c r="AR121" s="152"/>
      <c r="AS121" s="152"/>
      <c r="AT121" s="152"/>
      <c r="AU121" s="152"/>
      <c r="AV121" s="152"/>
      <c r="AW121" s="152"/>
      <c r="AX121" s="152"/>
      <c r="AY121" s="158"/>
      <c r="AZ121" s="180">
        <v>10041463</v>
      </c>
      <c r="BA121" s="179" t="s">
        <v>391</v>
      </c>
      <c r="BB121" s="126">
        <v>1</v>
      </c>
      <c r="BC121" s="126" t="s">
        <v>392</v>
      </c>
      <c r="BD121" s="179" t="s">
        <v>22</v>
      </c>
      <c r="BE121" s="179" t="s">
        <v>393</v>
      </c>
      <c r="BF121" s="179"/>
      <c r="BG121" s="179"/>
    </row>
    <row r="122" spans="1:59">
      <c r="A122" s="127">
        <f t="shared" si="12"/>
        <v>1</v>
      </c>
      <c r="B122" s="150" t="str">
        <f t="shared" si="13"/>
        <v>1/1</v>
      </c>
      <c r="C122" s="151"/>
      <c r="D122" s="153"/>
      <c r="E122" s="153"/>
      <c r="F122" s="153"/>
      <c r="G122" s="153"/>
      <c r="H122" s="153"/>
      <c r="I122" s="153"/>
      <c r="J122" s="153"/>
      <c r="K122" s="159"/>
      <c r="L122" s="153"/>
      <c r="M122" s="153"/>
      <c r="N122" s="153"/>
      <c r="O122" s="153"/>
      <c r="P122" s="153"/>
      <c r="Q122" s="153"/>
      <c r="R122" s="153"/>
      <c r="S122" s="159"/>
      <c r="T122" s="153"/>
      <c r="U122" s="153"/>
      <c r="V122" s="153"/>
      <c r="W122" s="153"/>
      <c r="X122" s="153" t="s">
        <v>9</v>
      </c>
      <c r="Y122" s="153"/>
      <c r="Z122" s="153"/>
      <c r="AA122" s="159"/>
      <c r="AB122" s="153"/>
      <c r="AC122" s="153"/>
      <c r="AD122" s="153"/>
      <c r="AE122" s="153"/>
      <c r="AF122" s="153"/>
      <c r="AG122" s="153"/>
      <c r="AH122" s="153"/>
      <c r="AI122" s="159"/>
      <c r="AJ122" s="153"/>
      <c r="AK122" s="153"/>
      <c r="AL122" s="153"/>
      <c r="AM122" s="153"/>
      <c r="AN122" s="153"/>
      <c r="AO122" s="153"/>
      <c r="AP122" s="169"/>
      <c r="AQ122" s="158"/>
      <c r="AR122" s="152"/>
      <c r="AS122" s="152"/>
      <c r="AT122" s="152"/>
      <c r="AU122" s="152"/>
      <c r="AV122" s="152"/>
      <c r="AW122" s="152"/>
      <c r="AX122" s="152"/>
      <c r="AY122" s="158"/>
      <c r="AZ122" s="180">
        <v>10005357</v>
      </c>
      <c r="BA122" s="179" t="s">
        <v>394</v>
      </c>
      <c r="BB122" s="126">
        <v>1</v>
      </c>
      <c r="BC122" s="126" t="s">
        <v>395</v>
      </c>
      <c r="BD122" s="179" t="s">
        <v>22</v>
      </c>
      <c r="BE122" s="179" t="s">
        <v>396</v>
      </c>
      <c r="BF122" s="179"/>
      <c r="BG122" s="179"/>
    </row>
    <row r="123" spans="1:59">
      <c r="A123" s="127">
        <f t="shared" si="12"/>
        <v>1</v>
      </c>
      <c r="B123" s="150" t="str">
        <f t="shared" si="13"/>
        <v>1/1</v>
      </c>
      <c r="C123" s="151"/>
      <c r="D123" s="153"/>
      <c r="E123" s="153"/>
      <c r="F123" s="153"/>
      <c r="G123" s="153"/>
      <c r="H123" s="153"/>
      <c r="I123" s="153"/>
      <c r="J123" s="153"/>
      <c r="K123" s="159"/>
      <c r="L123" s="153"/>
      <c r="M123" s="153"/>
      <c r="N123" s="153"/>
      <c r="O123" s="153"/>
      <c r="P123" s="153"/>
      <c r="Q123" s="153"/>
      <c r="R123" s="153"/>
      <c r="S123" s="159"/>
      <c r="T123" s="153"/>
      <c r="U123" s="153"/>
      <c r="V123" s="153"/>
      <c r="W123" s="153"/>
      <c r="X123" s="153" t="s">
        <v>9</v>
      </c>
      <c r="Y123" s="153"/>
      <c r="Z123" s="153"/>
      <c r="AA123" s="159"/>
      <c r="AB123" s="153"/>
      <c r="AC123" s="153"/>
      <c r="AD123" s="153"/>
      <c r="AE123" s="153"/>
      <c r="AF123" s="153"/>
      <c r="AG123" s="153"/>
      <c r="AH123" s="153"/>
      <c r="AI123" s="159"/>
      <c r="AJ123" s="153"/>
      <c r="AK123" s="153"/>
      <c r="AL123" s="153"/>
      <c r="AM123" s="153"/>
      <c r="AN123" s="153"/>
      <c r="AO123" s="153"/>
      <c r="AP123" s="169"/>
      <c r="AQ123" s="158"/>
      <c r="AR123" s="152"/>
      <c r="AS123" s="152"/>
      <c r="AT123" s="152"/>
      <c r="AU123" s="152"/>
      <c r="AV123" s="152"/>
      <c r="AW123" s="152"/>
      <c r="AX123" s="152"/>
      <c r="AY123" s="158"/>
      <c r="AZ123" s="180">
        <v>10044773</v>
      </c>
      <c r="BA123" s="179" t="s">
        <v>397</v>
      </c>
      <c r="BB123" s="126">
        <v>1</v>
      </c>
      <c r="BC123" s="126" t="s">
        <v>398</v>
      </c>
      <c r="BD123" s="179" t="s">
        <v>22</v>
      </c>
      <c r="BE123" s="179" t="s">
        <v>399</v>
      </c>
      <c r="BF123" s="179"/>
      <c r="BG123" s="179"/>
    </row>
    <row r="124" spans="1:59">
      <c r="A124" s="127">
        <f t="shared" si="12"/>
        <v>1</v>
      </c>
      <c r="B124" s="150" t="str">
        <f t="shared" si="13"/>
        <v>1/1</v>
      </c>
      <c r="C124" s="151"/>
      <c r="D124" s="153"/>
      <c r="E124" s="153"/>
      <c r="F124" s="153"/>
      <c r="G124" s="153"/>
      <c r="H124" s="153"/>
      <c r="I124" s="153"/>
      <c r="J124" s="153"/>
      <c r="K124" s="159"/>
      <c r="L124" s="153"/>
      <c r="M124" s="153"/>
      <c r="N124" s="153"/>
      <c r="O124" s="153"/>
      <c r="P124" s="153"/>
      <c r="Q124" s="153"/>
      <c r="R124" s="153"/>
      <c r="S124" s="159"/>
      <c r="T124" s="153"/>
      <c r="U124" s="153"/>
      <c r="V124" s="153"/>
      <c r="W124" s="153"/>
      <c r="X124" s="153" t="s">
        <v>9</v>
      </c>
      <c r="Y124" s="153"/>
      <c r="Z124" s="153"/>
      <c r="AA124" s="159"/>
      <c r="AB124" s="153"/>
      <c r="AC124" s="153"/>
      <c r="AD124" s="153"/>
      <c r="AE124" s="153"/>
      <c r="AF124" s="153"/>
      <c r="AG124" s="153"/>
      <c r="AH124" s="153"/>
      <c r="AI124" s="159"/>
      <c r="AJ124" s="153"/>
      <c r="AK124" s="153"/>
      <c r="AL124" s="153"/>
      <c r="AM124" s="153"/>
      <c r="AN124" s="153"/>
      <c r="AO124" s="153"/>
      <c r="AP124" s="169"/>
      <c r="AQ124" s="158"/>
      <c r="AR124" s="152"/>
      <c r="AS124" s="152"/>
      <c r="AT124" s="152"/>
      <c r="AU124" s="152"/>
      <c r="AV124" s="152"/>
      <c r="AW124" s="152"/>
      <c r="AX124" s="152"/>
      <c r="AY124" s="158"/>
      <c r="AZ124" s="180">
        <v>10044279</v>
      </c>
      <c r="BA124" s="179" t="s">
        <v>400</v>
      </c>
      <c r="BB124" s="126">
        <v>1</v>
      </c>
      <c r="BC124" s="126" t="s">
        <v>401</v>
      </c>
      <c r="BD124" s="179" t="s">
        <v>402</v>
      </c>
      <c r="BE124" s="179" t="s">
        <v>403</v>
      </c>
      <c r="BF124" s="179"/>
      <c r="BG124" s="179"/>
    </row>
    <row r="125" spans="1:59">
      <c r="A125" s="127">
        <f t="shared" si="12"/>
        <v>1</v>
      </c>
      <c r="B125" s="150" t="str">
        <f t="shared" si="13"/>
        <v>2/2</v>
      </c>
      <c r="C125" s="151"/>
      <c r="D125" s="153"/>
      <c r="E125" s="153"/>
      <c r="F125" s="153"/>
      <c r="G125" s="153"/>
      <c r="H125" s="153" t="s">
        <v>9</v>
      </c>
      <c r="I125" s="153"/>
      <c r="J125" s="153"/>
      <c r="K125" s="159"/>
      <c r="L125" s="153"/>
      <c r="M125" s="153"/>
      <c r="N125" s="153"/>
      <c r="O125" s="153"/>
      <c r="P125" s="153"/>
      <c r="Q125" s="153"/>
      <c r="R125" s="153"/>
      <c r="S125" s="159"/>
      <c r="T125" s="153"/>
      <c r="U125" s="153"/>
      <c r="V125" s="153"/>
      <c r="W125" s="153"/>
      <c r="X125" s="153" t="s">
        <v>9</v>
      </c>
      <c r="Y125" s="153"/>
      <c r="Z125" s="153"/>
      <c r="AA125" s="159"/>
      <c r="AB125" s="153"/>
      <c r="AC125" s="153"/>
      <c r="AD125" s="153"/>
      <c r="AE125" s="153"/>
      <c r="AF125" s="153"/>
      <c r="AG125" s="153"/>
      <c r="AH125" s="153"/>
      <c r="AI125" s="159"/>
      <c r="AJ125" s="153"/>
      <c r="AK125" s="153"/>
      <c r="AL125" s="153"/>
      <c r="AM125" s="153"/>
      <c r="AN125" s="153"/>
      <c r="AO125" s="153"/>
      <c r="AP125" s="169"/>
      <c r="AQ125" s="158"/>
      <c r="AR125" s="152"/>
      <c r="AS125" s="152"/>
      <c r="AT125" s="152"/>
      <c r="AU125" s="152"/>
      <c r="AV125" s="152"/>
      <c r="AW125" s="152"/>
      <c r="AX125" s="152"/>
      <c r="AY125" s="158"/>
      <c r="AZ125" s="180">
        <v>10039772</v>
      </c>
      <c r="BA125" s="179" t="s">
        <v>404</v>
      </c>
      <c r="BB125" s="126">
        <v>2</v>
      </c>
      <c r="BC125" s="126" t="s">
        <v>405</v>
      </c>
      <c r="BD125" s="179" t="s">
        <v>219</v>
      </c>
      <c r="BE125" s="179" t="s">
        <v>406</v>
      </c>
      <c r="BF125" s="179"/>
      <c r="BG125" s="179"/>
    </row>
    <row r="126" spans="1:59">
      <c r="A126" s="127">
        <f t="shared" si="12"/>
        <v>1</v>
      </c>
      <c r="B126" s="150" t="str">
        <f t="shared" si="13"/>
        <v>1/1</v>
      </c>
      <c r="C126" s="151"/>
      <c r="D126" s="153"/>
      <c r="E126" s="153"/>
      <c r="F126" s="153"/>
      <c r="G126" s="153"/>
      <c r="H126" s="153"/>
      <c r="I126" s="153" t="s">
        <v>9</v>
      </c>
      <c r="J126" s="153"/>
      <c r="K126" s="159"/>
      <c r="L126" s="153"/>
      <c r="M126" s="153"/>
      <c r="N126" s="153"/>
      <c r="O126" s="153"/>
      <c r="P126" s="153"/>
      <c r="Q126" s="153"/>
      <c r="R126" s="153"/>
      <c r="S126" s="159"/>
      <c r="T126" s="153"/>
      <c r="U126" s="153"/>
      <c r="V126" s="153"/>
      <c r="W126" s="153"/>
      <c r="X126" s="153"/>
      <c r="Y126" s="153"/>
      <c r="Z126" s="153"/>
      <c r="AA126" s="159"/>
      <c r="AB126" s="153"/>
      <c r="AC126" s="153"/>
      <c r="AD126" s="153"/>
      <c r="AE126" s="153"/>
      <c r="AF126" s="153"/>
      <c r="AG126" s="153"/>
      <c r="AH126" s="153"/>
      <c r="AI126" s="159"/>
      <c r="AJ126" s="153"/>
      <c r="AK126" s="153"/>
      <c r="AL126" s="153"/>
      <c r="AM126" s="153"/>
      <c r="AN126" s="153"/>
      <c r="AO126" s="153"/>
      <c r="AP126" s="169"/>
      <c r="AQ126" s="158"/>
      <c r="AR126" s="152"/>
      <c r="AS126" s="152"/>
      <c r="AT126" s="152"/>
      <c r="AU126" s="152"/>
      <c r="AV126" s="152"/>
      <c r="AW126" s="152"/>
      <c r="AX126" s="152"/>
      <c r="AY126" s="158"/>
      <c r="AZ126" s="180">
        <v>10045845</v>
      </c>
      <c r="BA126" s="179" t="s">
        <v>407</v>
      </c>
      <c r="BB126" s="126">
        <v>1</v>
      </c>
      <c r="BC126" s="126" t="s">
        <v>408</v>
      </c>
      <c r="BD126" s="179" t="s">
        <v>409</v>
      </c>
      <c r="BE126" s="179" t="s">
        <v>410</v>
      </c>
      <c r="BF126" s="179"/>
      <c r="BG126" s="179"/>
    </row>
    <row r="127" spans="1:59">
      <c r="A127" s="127">
        <f t="shared" si="12"/>
        <v>1</v>
      </c>
      <c r="B127" s="150" t="str">
        <f t="shared" si="13"/>
        <v>1/1</v>
      </c>
      <c r="C127" s="151"/>
      <c r="D127" s="153"/>
      <c r="E127" s="153"/>
      <c r="F127" s="153"/>
      <c r="G127" s="153"/>
      <c r="H127" s="153"/>
      <c r="I127" s="153" t="s">
        <v>9</v>
      </c>
      <c r="J127" s="153"/>
      <c r="K127" s="159"/>
      <c r="L127" s="153"/>
      <c r="M127" s="153"/>
      <c r="N127" s="153"/>
      <c r="O127" s="153"/>
      <c r="P127" s="153"/>
      <c r="Q127" s="153"/>
      <c r="R127" s="153"/>
      <c r="S127" s="159"/>
      <c r="T127" s="153"/>
      <c r="U127" s="153"/>
      <c r="V127" s="153"/>
      <c r="W127" s="153"/>
      <c r="X127" s="153"/>
      <c r="Y127" s="153"/>
      <c r="Z127" s="153"/>
      <c r="AA127" s="159"/>
      <c r="AB127" s="153"/>
      <c r="AC127" s="153"/>
      <c r="AD127" s="153"/>
      <c r="AE127" s="153"/>
      <c r="AF127" s="153"/>
      <c r="AG127" s="153"/>
      <c r="AH127" s="153"/>
      <c r="AI127" s="159"/>
      <c r="AJ127" s="153"/>
      <c r="AK127" s="153"/>
      <c r="AL127" s="153"/>
      <c r="AM127" s="153"/>
      <c r="AN127" s="153"/>
      <c r="AO127" s="153"/>
      <c r="AP127" s="169"/>
      <c r="AQ127" s="158"/>
      <c r="AR127" s="152"/>
      <c r="AS127" s="152"/>
      <c r="AT127" s="152"/>
      <c r="AU127" s="152"/>
      <c r="AV127" s="152"/>
      <c r="AW127" s="152"/>
      <c r="AX127" s="152"/>
      <c r="AY127" s="158"/>
      <c r="AZ127" s="180">
        <v>10040547</v>
      </c>
      <c r="BA127" s="179" t="s">
        <v>411</v>
      </c>
      <c r="BB127" s="126">
        <v>1</v>
      </c>
      <c r="BC127" s="126" t="s">
        <v>412</v>
      </c>
      <c r="BD127" s="179" t="s">
        <v>413</v>
      </c>
      <c r="BE127" s="179" t="s">
        <v>414</v>
      </c>
      <c r="BF127" s="179"/>
      <c r="BG127" s="179"/>
    </row>
    <row r="128" spans="1:59">
      <c r="A128" s="127">
        <f t="shared" si="12"/>
        <v>1</v>
      </c>
      <c r="B128" s="150" t="str">
        <f t="shared" si="13"/>
        <v>2/2</v>
      </c>
      <c r="C128" s="151"/>
      <c r="D128" s="153"/>
      <c r="E128" s="153"/>
      <c r="F128" s="153"/>
      <c r="G128" s="153"/>
      <c r="H128" s="153"/>
      <c r="I128" s="153" t="s">
        <v>9</v>
      </c>
      <c r="J128" s="153"/>
      <c r="K128" s="159"/>
      <c r="L128" s="153"/>
      <c r="M128" s="153"/>
      <c r="N128" s="153"/>
      <c r="O128" s="153"/>
      <c r="P128" s="153"/>
      <c r="Q128" s="153"/>
      <c r="R128" s="153"/>
      <c r="S128" s="159"/>
      <c r="T128" s="153"/>
      <c r="U128" s="153"/>
      <c r="V128" s="153"/>
      <c r="W128" s="153"/>
      <c r="X128" s="153"/>
      <c r="Y128" s="153"/>
      <c r="Z128" s="153"/>
      <c r="AA128" s="159"/>
      <c r="AB128" s="153"/>
      <c r="AC128" s="153"/>
      <c r="AD128" s="153"/>
      <c r="AE128" s="153"/>
      <c r="AF128" s="153"/>
      <c r="AG128" s="153"/>
      <c r="AH128" s="153"/>
      <c r="AI128" s="159"/>
      <c r="AJ128" s="153"/>
      <c r="AK128" s="153"/>
      <c r="AL128" s="153" t="s">
        <v>9</v>
      </c>
      <c r="AM128" s="153"/>
      <c r="AN128" s="153"/>
      <c r="AO128" s="153"/>
      <c r="AP128" s="169"/>
      <c r="AQ128" s="158"/>
      <c r="AR128" s="152"/>
      <c r="AS128" s="152"/>
      <c r="AT128" s="152"/>
      <c r="AU128" s="152"/>
      <c r="AV128" s="152"/>
      <c r="AW128" s="152"/>
      <c r="AX128" s="152"/>
      <c r="AY128" s="158"/>
      <c r="AZ128" s="180">
        <v>10042670</v>
      </c>
      <c r="BA128" s="179" t="s">
        <v>415</v>
      </c>
      <c r="BB128" s="126">
        <v>2</v>
      </c>
      <c r="BC128" s="126" t="s">
        <v>416</v>
      </c>
      <c r="BD128" s="179" t="s">
        <v>203</v>
      </c>
      <c r="BE128" s="179" t="s">
        <v>417</v>
      </c>
      <c r="BF128" s="179"/>
      <c r="BG128" s="179"/>
    </row>
    <row r="129" spans="1:59">
      <c r="A129" s="127">
        <f t="shared" si="12"/>
        <v>1</v>
      </c>
      <c r="B129" s="150" t="str">
        <f t="shared" si="13"/>
        <v>1/1</v>
      </c>
      <c r="C129" s="151"/>
      <c r="D129" s="153"/>
      <c r="E129" s="153"/>
      <c r="F129" s="153"/>
      <c r="G129" s="153"/>
      <c r="H129" s="153"/>
      <c r="I129" s="153"/>
      <c r="J129" s="153"/>
      <c r="K129" s="159"/>
      <c r="L129" s="153"/>
      <c r="M129" s="153"/>
      <c r="N129" s="153"/>
      <c r="O129" s="153"/>
      <c r="P129" s="153"/>
      <c r="Q129" s="153"/>
      <c r="R129" s="153"/>
      <c r="S129" s="159"/>
      <c r="T129" s="153"/>
      <c r="U129" s="153"/>
      <c r="V129" s="153"/>
      <c r="W129" s="153"/>
      <c r="X129" s="153"/>
      <c r="Y129" s="153"/>
      <c r="Z129" s="153"/>
      <c r="AA129" s="159"/>
      <c r="AB129" s="153"/>
      <c r="AC129" s="153"/>
      <c r="AD129" s="153"/>
      <c r="AE129" s="153"/>
      <c r="AF129" s="153"/>
      <c r="AG129" s="153"/>
      <c r="AH129" s="153"/>
      <c r="AI129" s="159"/>
      <c r="AJ129" s="153"/>
      <c r="AK129" s="153"/>
      <c r="AL129" s="153" t="s">
        <v>9</v>
      </c>
      <c r="AM129" s="153"/>
      <c r="AN129" s="153"/>
      <c r="AO129" s="153"/>
      <c r="AP129" s="169"/>
      <c r="AQ129" s="158"/>
      <c r="AR129" s="152"/>
      <c r="AS129" s="152"/>
      <c r="AT129" s="152"/>
      <c r="AU129" s="152"/>
      <c r="AV129" s="152"/>
      <c r="AW129" s="152"/>
      <c r="AX129" s="152"/>
      <c r="AY129" s="158"/>
      <c r="AZ129" s="180">
        <v>10043579</v>
      </c>
      <c r="BA129" s="179" t="s">
        <v>418</v>
      </c>
      <c r="BB129" s="126">
        <v>1</v>
      </c>
      <c r="BC129" s="126" t="s">
        <v>419</v>
      </c>
      <c r="BD129" s="179" t="s">
        <v>420</v>
      </c>
      <c r="BE129" s="179" t="s">
        <v>421</v>
      </c>
      <c r="BF129" s="179"/>
      <c r="BG129" s="179"/>
    </row>
    <row r="130" spans="1:59">
      <c r="A130" s="127">
        <f t="shared" si="12"/>
        <v>1</v>
      </c>
      <c r="B130" s="150" t="str">
        <f t="shared" si="13"/>
        <v>1/1</v>
      </c>
      <c r="C130" s="151"/>
      <c r="D130" s="153"/>
      <c r="E130" s="153"/>
      <c r="F130" s="153"/>
      <c r="G130" s="153"/>
      <c r="H130" s="153"/>
      <c r="I130" s="153"/>
      <c r="J130" s="153"/>
      <c r="K130" s="159"/>
      <c r="L130" s="153"/>
      <c r="M130" s="153"/>
      <c r="N130" s="153"/>
      <c r="O130" s="153"/>
      <c r="P130" s="153"/>
      <c r="Q130" s="153"/>
      <c r="R130" s="153"/>
      <c r="S130" s="159"/>
      <c r="T130" s="153"/>
      <c r="U130" s="153"/>
      <c r="V130" s="153"/>
      <c r="W130" s="153"/>
      <c r="X130" s="153"/>
      <c r="Y130" s="153"/>
      <c r="Z130" s="153"/>
      <c r="AA130" s="159"/>
      <c r="AB130" s="153"/>
      <c r="AC130" s="153"/>
      <c r="AD130" s="153"/>
      <c r="AE130" s="153"/>
      <c r="AF130" s="153"/>
      <c r="AG130" s="153"/>
      <c r="AH130" s="153"/>
      <c r="AI130" s="159"/>
      <c r="AJ130" s="153"/>
      <c r="AK130" s="153"/>
      <c r="AL130" s="153" t="s">
        <v>9</v>
      </c>
      <c r="AM130" s="153"/>
      <c r="AN130" s="153"/>
      <c r="AO130" s="153"/>
      <c r="AP130" s="169"/>
      <c r="AQ130" s="158"/>
      <c r="AR130" s="152"/>
      <c r="AS130" s="152"/>
      <c r="AT130" s="152"/>
      <c r="AU130" s="152"/>
      <c r="AV130" s="152"/>
      <c r="AW130" s="152"/>
      <c r="AX130" s="152"/>
      <c r="AY130" s="158"/>
      <c r="AZ130" s="180">
        <v>10040965</v>
      </c>
      <c r="BA130" s="179" t="s">
        <v>422</v>
      </c>
      <c r="BB130" s="126">
        <v>1</v>
      </c>
      <c r="BC130" s="126" t="s">
        <v>423</v>
      </c>
      <c r="BD130" s="179" t="s">
        <v>424</v>
      </c>
      <c r="BE130" s="179" t="s">
        <v>425</v>
      </c>
      <c r="BF130" s="179"/>
      <c r="BG130" s="179"/>
    </row>
    <row r="131" spans="1:59">
      <c r="A131" s="127">
        <f t="shared" si="12"/>
        <v>1</v>
      </c>
      <c r="B131" s="150" t="str">
        <f t="shared" si="13"/>
        <v>1/1</v>
      </c>
      <c r="C131" s="151"/>
      <c r="D131" s="153"/>
      <c r="E131" s="153"/>
      <c r="F131" s="153"/>
      <c r="G131" s="153"/>
      <c r="H131" s="153"/>
      <c r="I131" s="153"/>
      <c r="J131" s="153"/>
      <c r="K131" s="159"/>
      <c r="L131" s="153"/>
      <c r="M131" s="153"/>
      <c r="N131" s="153"/>
      <c r="O131" s="153"/>
      <c r="P131" s="153"/>
      <c r="Q131" s="153"/>
      <c r="R131" s="153"/>
      <c r="S131" s="159"/>
      <c r="T131" s="153"/>
      <c r="U131" s="153"/>
      <c r="V131" s="153"/>
      <c r="W131" s="153"/>
      <c r="X131" s="153"/>
      <c r="Y131" s="153"/>
      <c r="Z131" s="153"/>
      <c r="AA131" s="159"/>
      <c r="AB131" s="153"/>
      <c r="AC131" s="153"/>
      <c r="AD131" s="153"/>
      <c r="AE131" s="153" t="s">
        <v>9</v>
      </c>
      <c r="AF131" s="153"/>
      <c r="AG131" s="153"/>
      <c r="AH131" s="153"/>
      <c r="AI131" s="159"/>
      <c r="AJ131" s="153"/>
      <c r="AK131" s="153"/>
      <c r="AL131" s="153"/>
      <c r="AM131" s="153"/>
      <c r="AN131" s="153"/>
      <c r="AO131" s="153"/>
      <c r="AP131" s="169"/>
      <c r="AQ131" s="158"/>
      <c r="AR131" s="152"/>
      <c r="AS131" s="152"/>
      <c r="AT131" s="152"/>
      <c r="AU131" s="152"/>
      <c r="AV131" s="152"/>
      <c r="AW131" s="152"/>
      <c r="AX131" s="152"/>
      <c r="AY131" s="158"/>
      <c r="AZ131" s="180">
        <v>10041726</v>
      </c>
      <c r="BA131" s="179" t="s">
        <v>426</v>
      </c>
      <c r="BB131" s="126">
        <v>1</v>
      </c>
      <c r="BC131" s="126" t="s">
        <v>423</v>
      </c>
      <c r="BD131" s="179" t="s">
        <v>427</v>
      </c>
      <c r="BE131" s="179" t="s">
        <v>425</v>
      </c>
      <c r="BF131" s="179"/>
      <c r="BG131" s="179"/>
    </row>
    <row r="132" spans="1:59">
      <c r="A132" s="127">
        <f t="shared" si="12"/>
        <v>1</v>
      </c>
      <c r="B132" s="150" t="str">
        <f t="shared" si="13"/>
        <v>1/1</v>
      </c>
      <c r="C132" s="151"/>
      <c r="D132" s="153"/>
      <c r="E132" s="153"/>
      <c r="F132" s="153"/>
      <c r="G132" s="153"/>
      <c r="H132" s="153"/>
      <c r="I132" s="153"/>
      <c r="J132" s="153"/>
      <c r="K132" s="159"/>
      <c r="L132" s="153"/>
      <c r="M132" s="153"/>
      <c r="N132" s="153"/>
      <c r="O132" s="153"/>
      <c r="P132" s="153"/>
      <c r="Q132" s="153"/>
      <c r="R132" s="153"/>
      <c r="S132" s="159"/>
      <c r="T132" s="153"/>
      <c r="U132" s="153"/>
      <c r="V132" s="153"/>
      <c r="W132" s="153"/>
      <c r="X132" s="153"/>
      <c r="Y132" s="153"/>
      <c r="Z132" s="153"/>
      <c r="AA132" s="159"/>
      <c r="AB132" s="153"/>
      <c r="AC132" s="153"/>
      <c r="AD132" s="153" t="s">
        <v>9</v>
      </c>
      <c r="AE132" s="153"/>
      <c r="AF132" s="153"/>
      <c r="AG132" s="153"/>
      <c r="AH132" s="153"/>
      <c r="AI132" s="159"/>
      <c r="AJ132" s="153"/>
      <c r="AK132" s="153"/>
      <c r="AL132" s="153"/>
      <c r="AM132" s="153"/>
      <c r="AN132" s="153"/>
      <c r="AO132" s="153"/>
      <c r="AP132" s="169"/>
      <c r="AQ132" s="158"/>
      <c r="AR132" s="152"/>
      <c r="AS132" s="152"/>
      <c r="AT132" s="152"/>
      <c r="AU132" s="152"/>
      <c r="AV132" s="152"/>
      <c r="AW132" s="152"/>
      <c r="AX132" s="152"/>
      <c r="AY132" s="158"/>
      <c r="AZ132" s="180">
        <v>10046236</v>
      </c>
      <c r="BA132" s="179" t="s">
        <v>428</v>
      </c>
      <c r="BB132" s="126">
        <v>1</v>
      </c>
      <c r="BC132" s="126" t="s">
        <v>423</v>
      </c>
      <c r="BD132" s="179" t="s">
        <v>429</v>
      </c>
      <c r="BE132" s="179" t="s">
        <v>425</v>
      </c>
      <c r="BF132" s="179"/>
      <c r="BG132" s="179"/>
    </row>
    <row r="133" spans="1:59">
      <c r="A133" s="127">
        <f t="shared" si="12"/>
        <v>1</v>
      </c>
      <c r="B133" s="150" t="str">
        <f t="shared" si="13"/>
        <v>1/1</v>
      </c>
      <c r="C133" s="151"/>
      <c r="D133" s="153"/>
      <c r="E133" s="153"/>
      <c r="F133" s="153"/>
      <c r="G133" s="153"/>
      <c r="H133" s="153"/>
      <c r="I133" s="153"/>
      <c r="J133" s="153"/>
      <c r="K133" s="159"/>
      <c r="L133" s="153"/>
      <c r="M133" s="153"/>
      <c r="N133" s="153"/>
      <c r="O133" s="153"/>
      <c r="P133" s="153"/>
      <c r="Q133" s="153"/>
      <c r="R133" s="153"/>
      <c r="S133" s="159"/>
      <c r="T133" s="153"/>
      <c r="U133" s="153"/>
      <c r="V133" s="153"/>
      <c r="W133" s="153"/>
      <c r="X133" s="153"/>
      <c r="Y133" s="153"/>
      <c r="Z133" s="153"/>
      <c r="AA133" s="159"/>
      <c r="AB133" s="153"/>
      <c r="AC133" s="153"/>
      <c r="AD133" s="153"/>
      <c r="AE133" s="153" t="s">
        <v>9</v>
      </c>
      <c r="AF133" s="153"/>
      <c r="AG133" s="153"/>
      <c r="AH133" s="153"/>
      <c r="AI133" s="159"/>
      <c r="AJ133" s="153"/>
      <c r="AK133" s="153"/>
      <c r="AL133" s="153"/>
      <c r="AM133" s="153"/>
      <c r="AN133" s="153"/>
      <c r="AO133" s="153"/>
      <c r="AP133" s="169"/>
      <c r="AQ133" s="158"/>
      <c r="AR133" s="152"/>
      <c r="AS133" s="152"/>
      <c r="AT133" s="152"/>
      <c r="AU133" s="152"/>
      <c r="AV133" s="152"/>
      <c r="AW133" s="152"/>
      <c r="AX133" s="152"/>
      <c r="AY133" s="158"/>
      <c r="AZ133" s="180">
        <v>10041274</v>
      </c>
      <c r="BA133" s="179" t="s">
        <v>430</v>
      </c>
      <c r="BB133" s="126">
        <v>1</v>
      </c>
      <c r="BC133" s="126" t="s">
        <v>431</v>
      </c>
      <c r="BD133" s="179" t="s">
        <v>432</v>
      </c>
      <c r="BE133" s="179" t="s">
        <v>433</v>
      </c>
      <c r="BF133" s="179"/>
      <c r="BG133" s="179"/>
    </row>
    <row r="134" spans="1:59">
      <c r="A134" s="127">
        <f t="shared" ref="A134:A173" si="14">IF($AZ134&lt;&gt;"",IF(COUNTIF($D134:$AP134,"a")&gt;$BB134,2,IF(COUNTIF($D134:$AP134,"a")=$BB134,1,0)),"")</f>
        <v>1</v>
      </c>
      <c r="B134" s="150" t="str">
        <f t="shared" ref="B134:B187" si="15">IF($AZ134&lt;&gt;"",COUNTIF($D134:$AP134,"a")&amp;"/"&amp;BB134,"")</f>
        <v>1/1</v>
      </c>
      <c r="C134" s="151"/>
      <c r="D134" s="153"/>
      <c r="E134" s="153"/>
      <c r="F134" s="153"/>
      <c r="G134" s="153"/>
      <c r="H134" s="153"/>
      <c r="I134" s="153"/>
      <c r="J134" s="153"/>
      <c r="K134" s="159"/>
      <c r="L134" s="153"/>
      <c r="M134" s="153"/>
      <c r="N134" s="153"/>
      <c r="O134" s="153"/>
      <c r="P134" s="153"/>
      <c r="Q134" s="153"/>
      <c r="R134" s="153"/>
      <c r="S134" s="159"/>
      <c r="T134" s="153"/>
      <c r="U134" s="153"/>
      <c r="V134" s="153"/>
      <c r="W134" s="153"/>
      <c r="X134" s="153"/>
      <c r="Y134" s="153"/>
      <c r="Z134" s="153"/>
      <c r="AA134" s="159"/>
      <c r="AB134" s="153"/>
      <c r="AC134" s="153"/>
      <c r="AD134" s="153" t="s">
        <v>9</v>
      </c>
      <c r="AE134" s="153"/>
      <c r="AF134" s="153"/>
      <c r="AG134" s="153"/>
      <c r="AH134" s="153"/>
      <c r="AI134" s="159"/>
      <c r="AJ134" s="153"/>
      <c r="AK134" s="153"/>
      <c r="AL134" s="153"/>
      <c r="AM134" s="153"/>
      <c r="AN134" s="153"/>
      <c r="AO134" s="153"/>
      <c r="AP134" s="169"/>
      <c r="AQ134" s="158"/>
      <c r="AR134" s="152"/>
      <c r="AS134" s="152"/>
      <c r="AT134" s="152"/>
      <c r="AU134" s="152"/>
      <c r="AV134" s="152"/>
      <c r="AW134" s="152"/>
      <c r="AX134" s="152"/>
      <c r="AY134" s="158"/>
      <c r="AZ134" s="180">
        <v>10045356</v>
      </c>
      <c r="BA134" s="179" t="s">
        <v>434</v>
      </c>
      <c r="BB134" s="126">
        <v>1</v>
      </c>
      <c r="BC134" s="126" t="s">
        <v>435</v>
      </c>
      <c r="BD134" s="179" t="s">
        <v>436</v>
      </c>
      <c r="BE134" s="179" t="s">
        <v>437</v>
      </c>
      <c r="BF134" s="179"/>
      <c r="BG134" s="179"/>
    </row>
    <row r="135" spans="1:59">
      <c r="A135" s="127">
        <f t="shared" si="14"/>
        <v>1</v>
      </c>
      <c r="B135" s="150" t="str">
        <f t="shared" si="15"/>
        <v>1/1</v>
      </c>
      <c r="C135" s="151"/>
      <c r="D135" s="153"/>
      <c r="E135" s="153"/>
      <c r="F135" s="153"/>
      <c r="G135" s="153"/>
      <c r="H135" s="153"/>
      <c r="I135" s="153"/>
      <c r="J135" s="153"/>
      <c r="K135" s="159"/>
      <c r="L135" s="153"/>
      <c r="M135" s="153"/>
      <c r="N135" s="153"/>
      <c r="O135" s="153"/>
      <c r="P135" s="153"/>
      <c r="Q135" s="153"/>
      <c r="R135" s="153"/>
      <c r="S135" s="159"/>
      <c r="T135" s="153"/>
      <c r="U135" s="153"/>
      <c r="V135" s="153"/>
      <c r="W135" s="153"/>
      <c r="X135" s="153"/>
      <c r="Y135" s="153"/>
      <c r="Z135" s="153"/>
      <c r="AA135" s="159"/>
      <c r="AB135" s="153"/>
      <c r="AC135" s="153"/>
      <c r="AD135" s="153" t="s">
        <v>9</v>
      </c>
      <c r="AE135" s="153"/>
      <c r="AF135" s="153"/>
      <c r="AG135" s="153"/>
      <c r="AH135" s="153"/>
      <c r="AI135" s="159"/>
      <c r="AJ135" s="153"/>
      <c r="AK135" s="153"/>
      <c r="AL135" s="153"/>
      <c r="AM135" s="153"/>
      <c r="AN135" s="153"/>
      <c r="AO135" s="153"/>
      <c r="AP135" s="169"/>
      <c r="AQ135" s="158"/>
      <c r="AR135" s="152"/>
      <c r="AS135" s="152"/>
      <c r="AT135" s="152"/>
      <c r="AU135" s="152"/>
      <c r="AV135" s="152"/>
      <c r="AW135" s="152"/>
      <c r="AX135" s="152"/>
      <c r="AY135" s="158"/>
      <c r="AZ135" s="180">
        <v>10046112</v>
      </c>
      <c r="BA135" s="179" t="s">
        <v>438</v>
      </c>
      <c r="BB135" s="126">
        <v>1</v>
      </c>
      <c r="BC135" s="126" t="s">
        <v>439</v>
      </c>
      <c r="BD135" s="179" t="s">
        <v>22</v>
      </c>
      <c r="BE135" s="179" t="s">
        <v>440</v>
      </c>
      <c r="BF135" s="179"/>
      <c r="BG135" s="179"/>
    </row>
    <row r="136" spans="1:59">
      <c r="A136" s="127">
        <f t="shared" si="14"/>
        <v>1</v>
      </c>
      <c r="B136" s="150" t="str">
        <f t="shared" si="15"/>
        <v>1/1</v>
      </c>
      <c r="C136" s="151"/>
      <c r="D136" s="153"/>
      <c r="E136" s="153"/>
      <c r="F136" s="153"/>
      <c r="G136" s="153"/>
      <c r="H136" s="153"/>
      <c r="I136" s="153"/>
      <c r="J136" s="153"/>
      <c r="K136" s="159"/>
      <c r="L136" s="153"/>
      <c r="M136" s="153"/>
      <c r="N136" s="153"/>
      <c r="O136" s="153"/>
      <c r="P136" s="153"/>
      <c r="Q136" s="153"/>
      <c r="R136" s="153"/>
      <c r="S136" s="159"/>
      <c r="T136" s="153"/>
      <c r="U136" s="153"/>
      <c r="V136" s="153"/>
      <c r="W136" s="153"/>
      <c r="X136" s="153"/>
      <c r="Y136" s="153"/>
      <c r="Z136" s="153"/>
      <c r="AA136" s="159"/>
      <c r="AB136" s="153"/>
      <c r="AC136" s="153"/>
      <c r="AD136" s="153"/>
      <c r="AE136" s="153"/>
      <c r="AF136" s="153" t="s">
        <v>9</v>
      </c>
      <c r="AG136" s="153"/>
      <c r="AH136" s="153"/>
      <c r="AI136" s="159"/>
      <c r="AJ136" s="153"/>
      <c r="AK136" s="153"/>
      <c r="AL136" s="153"/>
      <c r="AM136" s="153"/>
      <c r="AN136" s="153"/>
      <c r="AO136" s="153"/>
      <c r="AP136" s="169"/>
      <c r="AQ136" s="158"/>
      <c r="AR136" s="152"/>
      <c r="AS136" s="152"/>
      <c r="AT136" s="152"/>
      <c r="AU136" s="152"/>
      <c r="AV136" s="152"/>
      <c r="AW136" s="152"/>
      <c r="AX136" s="152"/>
      <c r="AY136" s="158"/>
      <c r="AZ136" s="180">
        <v>10045090</v>
      </c>
      <c r="BA136" s="179" t="s">
        <v>441</v>
      </c>
      <c r="BB136" s="126">
        <v>1</v>
      </c>
      <c r="BC136" s="126" t="s">
        <v>442</v>
      </c>
      <c r="BD136" s="179" t="s">
        <v>22</v>
      </c>
      <c r="BE136" s="179" t="s">
        <v>443</v>
      </c>
      <c r="BF136" s="179"/>
      <c r="BG136" s="179"/>
    </row>
    <row r="137" spans="1:59">
      <c r="A137" s="127">
        <f t="shared" si="14"/>
        <v>1</v>
      </c>
      <c r="B137" s="150" t="str">
        <f t="shared" si="15"/>
        <v>1/1</v>
      </c>
      <c r="C137" s="151"/>
      <c r="D137" s="153"/>
      <c r="E137" s="153"/>
      <c r="F137" s="153"/>
      <c r="G137" s="153"/>
      <c r="H137" s="153"/>
      <c r="I137" s="153"/>
      <c r="J137" s="153"/>
      <c r="K137" s="159"/>
      <c r="L137" s="153"/>
      <c r="M137" s="153"/>
      <c r="N137" s="153"/>
      <c r="O137" s="153"/>
      <c r="P137" s="153"/>
      <c r="Q137" s="153"/>
      <c r="R137" s="153"/>
      <c r="S137" s="159"/>
      <c r="T137" s="153"/>
      <c r="U137" s="153"/>
      <c r="V137" s="153"/>
      <c r="W137" s="153"/>
      <c r="X137" s="153"/>
      <c r="Y137" s="153"/>
      <c r="Z137" s="153"/>
      <c r="AA137" s="159"/>
      <c r="AB137" s="153"/>
      <c r="AC137" s="153"/>
      <c r="AD137" s="153"/>
      <c r="AE137" s="153"/>
      <c r="AF137" s="153"/>
      <c r="AG137" s="153" t="s">
        <v>9</v>
      </c>
      <c r="AH137" s="153"/>
      <c r="AI137" s="159"/>
      <c r="AJ137" s="153"/>
      <c r="AK137" s="153"/>
      <c r="AL137" s="153"/>
      <c r="AM137" s="153"/>
      <c r="AN137" s="153"/>
      <c r="AO137" s="153"/>
      <c r="AP137" s="169"/>
      <c r="AQ137" s="158"/>
      <c r="AR137" s="152"/>
      <c r="AS137" s="152"/>
      <c r="AT137" s="152"/>
      <c r="AU137" s="152"/>
      <c r="AV137" s="152"/>
      <c r="AW137" s="152"/>
      <c r="AX137" s="152"/>
      <c r="AY137" s="158"/>
      <c r="AZ137" s="180">
        <v>10044548</v>
      </c>
      <c r="BA137" s="179" t="s">
        <v>444</v>
      </c>
      <c r="BB137" s="126">
        <v>1</v>
      </c>
      <c r="BC137" s="126" t="s">
        <v>445</v>
      </c>
      <c r="BD137" s="179" t="s">
        <v>446</v>
      </c>
      <c r="BE137" s="179" t="s">
        <v>447</v>
      </c>
      <c r="BF137" s="179"/>
      <c r="BG137" s="179"/>
    </row>
    <row r="138" spans="1:59">
      <c r="A138" s="127">
        <f t="shared" si="14"/>
        <v>1</v>
      </c>
      <c r="B138" s="150" t="str">
        <f t="shared" si="15"/>
        <v>1/1</v>
      </c>
      <c r="C138" s="151"/>
      <c r="D138" s="153"/>
      <c r="E138" s="153"/>
      <c r="F138" s="153"/>
      <c r="G138" s="153"/>
      <c r="H138" s="153"/>
      <c r="I138" s="153"/>
      <c r="J138" s="153"/>
      <c r="K138" s="159"/>
      <c r="L138" s="153"/>
      <c r="M138" s="153"/>
      <c r="N138" s="153"/>
      <c r="O138" s="153"/>
      <c r="P138" s="153"/>
      <c r="Q138" s="153"/>
      <c r="R138" s="153"/>
      <c r="S138" s="159"/>
      <c r="T138" s="153"/>
      <c r="U138" s="153"/>
      <c r="V138" s="153"/>
      <c r="W138" s="153"/>
      <c r="X138" s="153"/>
      <c r="Y138" s="153"/>
      <c r="Z138" s="153"/>
      <c r="AA138" s="159"/>
      <c r="AB138" s="153"/>
      <c r="AC138" s="153"/>
      <c r="AD138" s="153"/>
      <c r="AE138" s="153"/>
      <c r="AF138" s="153"/>
      <c r="AG138" s="153" t="s">
        <v>9</v>
      </c>
      <c r="AH138" s="153"/>
      <c r="AI138" s="159"/>
      <c r="AJ138" s="153"/>
      <c r="AK138" s="153"/>
      <c r="AL138" s="153"/>
      <c r="AM138" s="153"/>
      <c r="AN138" s="153"/>
      <c r="AO138" s="153"/>
      <c r="AP138" s="169"/>
      <c r="AQ138" s="158"/>
      <c r="AR138" s="152"/>
      <c r="AS138" s="152"/>
      <c r="AT138" s="152"/>
      <c r="AU138" s="152"/>
      <c r="AV138" s="152"/>
      <c r="AW138" s="152"/>
      <c r="AX138" s="152"/>
      <c r="AY138" s="158"/>
      <c r="AZ138" s="180">
        <v>10030842</v>
      </c>
      <c r="BA138" s="179" t="s">
        <v>448</v>
      </c>
      <c r="BB138" s="126">
        <v>1</v>
      </c>
      <c r="BC138" s="126" t="s">
        <v>449</v>
      </c>
      <c r="BD138" s="179" t="s">
        <v>450</v>
      </c>
      <c r="BE138" s="179" t="s">
        <v>451</v>
      </c>
      <c r="BF138" s="179"/>
      <c r="BG138" s="179"/>
    </row>
    <row r="139" spans="1:59">
      <c r="A139" s="127">
        <f t="shared" si="14"/>
        <v>1</v>
      </c>
      <c r="B139" s="150" t="str">
        <f t="shared" si="15"/>
        <v>1/1</v>
      </c>
      <c r="C139" s="151"/>
      <c r="D139" s="153"/>
      <c r="E139" s="153"/>
      <c r="F139" s="153"/>
      <c r="G139" s="153"/>
      <c r="H139" s="153"/>
      <c r="I139" s="153"/>
      <c r="J139" s="153"/>
      <c r="K139" s="159"/>
      <c r="L139" s="153"/>
      <c r="M139" s="153"/>
      <c r="N139" s="153"/>
      <c r="O139" s="153"/>
      <c r="P139" s="153"/>
      <c r="Q139" s="153"/>
      <c r="R139" s="153"/>
      <c r="S139" s="159"/>
      <c r="T139" s="153"/>
      <c r="U139" s="153"/>
      <c r="V139" s="153"/>
      <c r="W139" s="153"/>
      <c r="X139" s="153"/>
      <c r="Y139" s="153"/>
      <c r="Z139" s="153"/>
      <c r="AA139" s="159"/>
      <c r="AB139" s="153"/>
      <c r="AC139" s="153"/>
      <c r="AD139" s="153"/>
      <c r="AE139" s="153"/>
      <c r="AF139" s="153"/>
      <c r="AG139" s="153" t="s">
        <v>9</v>
      </c>
      <c r="AH139" s="153"/>
      <c r="AI139" s="159"/>
      <c r="AJ139" s="153"/>
      <c r="AK139" s="153"/>
      <c r="AL139" s="153"/>
      <c r="AM139" s="153"/>
      <c r="AN139" s="153"/>
      <c r="AO139" s="153"/>
      <c r="AP139" s="169"/>
      <c r="AQ139" s="158"/>
      <c r="AR139" s="152"/>
      <c r="AS139" s="152"/>
      <c r="AT139" s="152"/>
      <c r="AU139" s="152"/>
      <c r="AV139" s="152"/>
      <c r="AW139" s="152"/>
      <c r="AX139" s="152"/>
      <c r="AY139" s="158"/>
      <c r="AZ139" s="180">
        <v>10043492</v>
      </c>
      <c r="BA139" s="179" t="s">
        <v>452</v>
      </c>
      <c r="BB139" s="126">
        <v>1</v>
      </c>
      <c r="BC139" s="126" t="s">
        <v>449</v>
      </c>
      <c r="BD139" s="179" t="s">
        <v>453</v>
      </c>
      <c r="BE139" s="179" t="s">
        <v>451</v>
      </c>
      <c r="BF139" s="179"/>
      <c r="BG139" s="179"/>
    </row>
    <row r="140" spans="1:59">
      <c r="A140" s="127">
        <f t="shared" si="14"/>
        <v>1</v>
      </c>
      <c r="B140" s="150" t="str">
        <f t="shared" si="15"/>
        <v>1/1</v>
      </c>
      <c r="C140" s="151"/>
      <c r="D140" s="153"/>
      <c r="E140" s="153"/>
      <c r="F140" s="153"/>
      <c r="G140" s="153"/>
      <c r="H140" s="153"/>
      <c r="I140" s="153"/>
      <c r="J140" s="153"/>
      <c r="K140" s="159"/>
      <c r="L140" s="153"/>
      <c r="M140" s="153"/>
      <c r="N140" s="153"/>
      <c r="O140" s="153"/>
      <c r="P140" s="153"/>
      <c r="Q140" s="153"/>
      <c r="R140" s="153"/>
      <c r="S140" s="159"/>
      <c r="T140" s="153"/>
      <c r="U140" s="153"/>
      <c r="V140" s="153"/>
      <c r="W140" s="153"/>
      <c r="X140" s="153"/>
      <c r="Y140" s="153"/>
      <c r="Z140" s="153"/>
      <c r="AA140" s="159"/>
      <c r="AB140" s="153"/>
      <c r="AC140" s="153"/>
      <c r="AD140" s="153"/>
      <c r="AE140" s="153"/>
      <c r="AF140" s="153"/>
      <c r="AG140" s="153" t="s">
        <v>9</v>
      </c>
      <c r="AH140" s="153"/>
      <c r="AI140" s="159"/>
      <c r="AJ140" s="153"/>
      <c r="AK140" s="153"/>
      <c r="AL140" s="153"/>
      <c r="AM140" s="153"/>
      <c r="AN140" s="153"/>
      <c r="AO140" s="153"/>
      <c r="AP140" s="169"/>
      <c r="AQ140" s="158"/>
      <c r="AR140" s="152"/>
      <c r="AS140" s="152"/>
      <c r="AT140" s="152"/>
      <c r="AU140" s="152"/>
      <c r="AV140" s="152"/>
      <c r="AW140" s="152"/>
      <c r="AX140" s="152"/>
      <c r="AY140" s="158"/>
      <c r="AZ140" s="180">
        <v>10046045</v>
      </c>
      <c r="BA140" s="179" t="s">
        <v>454</v>
      </c>
      <c r="BB140" s="126">
        <v>1</v>
      </c>
      <c r="BC140" s="126" t="s">
        <v>449</v>
      </c>
      <c r="BD140" s="179" t="s">
        <v>313</v>
      </c>
      <c r="BE140" s="179" t="s">
        <v>451</v>
      </c>
      <c r="BF140" s="179"/>
      <c r="BG140" s="179"/>
    </row>
    <row r="141" spans="1:59">
      <c r="A141" s="127">
        <f t="shared" si="14"/>
        <v>1</v>
      </c>
      <c r="B141" s="150" t="str">
        <f t="shared" si="15"/>
        <v>1/1</v>
      </c>
      <c r="C141" s="151"/>
      <c r="D141" s="153"/>
      <c r="E141" s="153"/>
      <c r="F141" s="153"/>
      <c r="G141" s="153"/>
      <c r="H141" s="153"/>
      <c r="I141" s="153"/>
      <c r="J141" s="153"/>
      <c r="K141" s="159"/>
      <c r="L141" s="153"/>
      <c r="M141" s="153"/>
      <c r="N141" s="153"/>
      <c r="O141" s="153"/>
      <c r="P141" s="153"/>
      <c r="Q141" s="153"/>
      <c r="R141" s="153"/>
      <c r="S141" s="159"/>
      <c r="T141" s="153"/>
      <c r="U141" s="153"/>
      <c r="V141" s="153"/>
      <c r="W141" s="153"/>
      <c r="X141" s="153"/>
      <c r="Y141" s="153"/>
      <c r="Z141" s="153"/>
      <c r="AA141" s="159"/>
      <c r="AB141" s="153"/>
      <c r="AC141" s="153"/>
      <c r="AD141" s="153"/>
      <c r="AE141" s="153"/>
      <c r="AF141" s="153"/>
      <c r="AG141" s="153" t="s">
        <v>9</v>
      </c>
      <c r="AH141" s="153"/>
      <c r="AI141" s="159"/>
      <c r="AJ141" s="153"/>
      <c r="AK141" s="153"/>
      <c r="AL141" s="153"/>
      <c r="AM141" s="153"/>
      <c r="AN141" s="153"/>
      <c r="AO141" s="153"/>
      <c r="AP141" s="169"/>
      <c r="AQ141" s="158"/>
      <c r="AR141" s="152"/>
      <c r="AS141" s="152"/>
      <c r="AT141" s="152"/>
      <c r="AU141" s="152"/>
      <c r="AV141" s="152"/>
      <c r="AW141" s="152"/>
      <c r="AX141" s="152"/>
      <c r="AY141" s="158"/>
      <c r="AZ141" s="180">
        <v>10005564</v>
      </c>
      <c r="BA141" s="179" t="s">
        <v>455</v>
      </c>
      <c r="BB141" s="126">
        <v>1</v>
      </c>
      <c r="BC141" s="126" t="s">
        <v>456</v>
      </c>
      <c r="BD141" s="179" t="s">
        <v>457</v>
      </c>
      <c r="BE141" s="179" t="s">
        <v>458</v>
      </c>
      <c r="BF141" s="179"/>
      <c r="BG141" s="179"/>
    </row>
    <row r="142" spans="1:59">
      <c r="A142" s="127">
        <f t="shared" si="14"/>
        <v>1</v>
      </c>
      <c r="B142" s="150" t="str">
        <f t="shared" si="15"/>
        <v>1/1</v>
      </c>
      <c r="C142" s="151"/>
      <c r="D142" s="153"/>
      <c r="E142" s="153"/>
      <c r="F142" s="153"/>
      <c r="G142" s="153"/>
      <c r="H142" s="153"/>
      <c r="I142" s="153"/>
      <c r="J142" s="153"/>
      <c r="K142" s="159"/>
      <c r="L142" s="153"/>
      <c r="M142" s="153"/>
      <c r="N142" s="153"/>
      <c r="O142" s="153"/>
      <c r="P142" s="153"/>
      <c r="Q142" s="153"/>
      <c r="R142" s="153"/>
      <c r="S142" s="159"/>
      <c r="T142" s="153"/>
      <c r="U142" s="153"/>
      <c r="V142" s="153"/>
      <c r="W142" s="153"/>
      <c r="X142" s="153"/>
      <c r="Y142" s="153"/>
      <c r="Z142" s="153"/>
      <c r="AA142" s="159"/>
      <c r="AB142" s="153"/>
      <c r="AC142" s="153"/>
      <c r="AD142" s="153"/>
      <c r="AE142" s="153"/>
      <c r="AF142" s="153"/>
      <c r="AG142" s="153" t="s">
        <v>9</v>
      </c>
      <c r="AH142" s="153"/>
      <c r="AI142" s="159"/>
      <c r="AJ142" s="153"/>
      <c r="AK142" s="153"/>
      <c r="AL142" s="153"/>
      <c r="AM142" s="153"/>
      <c r="AN142" s="153"/>
      <c r="AO142" s="153"/>
      <c r="AP142" s="169"/>
      <c r="AQ142" s="158"/>
      <c r="AR142" s="152"/>
      <c r="AS142" s="152"/>
      <c r="AT142" s="152"/>
      <c r="AU142" s="152"/>
      <c r="AV142" s="152"/>
      <c r="AW142" s="152"/>
      <c r="AX142" s="152"/>
      <c r="AY142" s="158"/>
      <c r="AZ142" s="180">
        <v>10043348</v>
      </c>
      <c r="BA142" s="179" t="s">
        <v>459</v>
      </c>
      <c r="BB142" s="126">
        <v>1</v>
      </c>
      <c r="BC142" s="126" t="s">
        <v>456</v>
      </c>
      <c r="BD142" s="179" t="s">
        <v>460</v>
      </c>
      <c r="BE142" s="179" t="s">
        <v>458</v>
      </c>
      <c r="BF142" s="179"/>
      <c r="BG142" s="179"/>
    </row>
    <row r="143" spans="1:59">
      <c r="A143" s="127">
        <f t="shared" si="14"/>
        <v>1</v>
      </c>
      <c r="B143" s="150" t="str">
        <f t="shared" si="15"/>
        <v>1/1</v>
      </c>
      <c r="C143" s="151"/>
      <c r="D143" s="153"/>
      <c r="E143" s="153"/>
      <c r="F143" s="153"/>
      <c r="G143" s="153"/>
      <c r="H143" s="153"/>
      <c r="I143" s="153"/>
      <c r="J143" s="153"/>
      <c r="K143" s="159"/>
      <c r="L143" s="153"/>
      <c r="M143" s="153"/>
      <c r="N143" s="153"/>
      <c r="O143" s="153"/>
      <c r="P143" s="153"/>
      <c r="Q143" s="153"/>
      <c r="R143" s="153"/>
      <c r="S143" s="159"/>
      <c r="T143" s="153"/>
      <c r="U143" s="153"/>
      <c r="V143" s="153"/>
      <c r="W143" s="153"/>
      <c r="X143" s="153"/>
      <c r="Y143" s="153"/>
      <c r="Z143" s="153"/>
      <c r="AA143" s="159"/>
      <c r="AB143" s="153"/>
      <c r="AC143" s="153"/>
      <c r="AD143" s="153"/>
      <c r="AE143" s="153"/>
      <c r="AF143" s="153"/>
      <c r="AG143" s="153" t="s">
        <v>9</v>
      </c>
      <c r="AH143" s="153"/>
      <c r="AI143" s="159"/>
      <c r="AJ143" s="153"/>
      <c r="AK143" s="153"/>
      <c r="AL143" s="153"/>
      <c r="AM143" s="153"/>
      <c r="AN143" s="153"/>
      <c r="AO143" s="153"/>
      <c r="AP143" s="169"/>
      <c r="AQ143" s="158"/>
      <c r="AR143" s="152"/>
      <c r="AS143" s="152"/>
      <c r="AT143" s="152"/>
      <c r="AU143" s="152"/>
      <c r="AV143" s="152"/>
      <c r="AW143" s="152"/>
      <c r="AX143" s="152"/>
      <c r="AY143" s="158"/>
      <c r="AZ143" s="180">
        <v>10012594</v>
      </c>
      <c r="BA143" s="179" t="s">
        <v>461</v>
      </c>
      <c r="BB143" s="126">
        <v>1</v>
      </c>
      <c r="BC143" s="126" t="s">
        <v>462</v>
      </c>
      <c r="BD143" s="179" t="s">
        <v>463</v>
      </c>
      <c r="BE143" s="179" t="s">
        <v>464</v>
      </c>
      <c r="BF143" s="179"/>
      <c r="BG143" s="179"/>
    </row>
    <row r="144" spans="1:59">
      <c r="A144" s="127">
        <f t="shared" si="14"/>
        <v>1</v>
      </c>
      <c r="B144" s="150" t="str">
        <f t="shared" si="15"/>
        <v>1/1</v>
      </c>
      <c r="C144" s="151"/>
      <c r="D144" s="153"/>
      <c r="E144" s="153"/>
      <c r="F144" s="153"/>
      <c r="G144" s="153"/>
      <c r="H144" s="153"/>
      <c r="I144" s="153"/>
      <c r="J144" s="153"/>
      <c r="K144" s="159"/>
      <c r="L144" s="153"/>
      <c r="M144" s="153"/>
      <c r="N144" s="153"/>
      <c r="O144" s="153"/>
      <c r="P144" s="153"/>
      <c r="Q144" s="153"/>
      <c r="R144" s="153"/>
      <c r="S144" s="159"/>
      <c r="T144" s="153"/>
      <c r="U144" s="153"/>
      <c r="V144" s="153"/>
      <c r="W144" s="153"/>
      <c r="X144" s="153"/>
      <c r="Y144" s="153"/>
      <c r="Z144" s="153"/>
      <c r="AA144" s="159"/>
      <c r="AB144" s="153"/>
      <c r="AC144" s="153"/>
      <c r="AD144" s="153"/>
      <c r="AE144" s="153"/>
      <c r="AF144" s="153"/>
      <c r="AG144" s="153" t="s">
        <v>9</v>
      </c>
      <c r="AH144" s="153"/>
      <c r="AI144" s="159"/>
      <c r="AJ144" s="153"/>
      <c r="AK144" s="153"/>
      <c r="AL144" s="153"/>
      <c r="AM144" s="153"/>
      <c r="AN144" s="153"/>
      <c r="AO144" s="153"/>
      <c r="AP144" s="169"/>
      <c r="AQ144" s="158"/>
      <c r="AR144" s="152"/>
      <c r="AS144" s="152"/>
      <c r="AT144" s="152"/>
      <c r="AU144" s="152"/>
      <c r="AV144" s="152"/>
      <c r="AW144" s="152"/>
      <c r="AX144" s="152"/>
      <c r="AY144" s="158"/>
      <c r="AZ144" s="180">
        <v>10040176</v>
      </c>
      <c r="BA144" s="179" t="s">
        <v>465</v>
      </c>
      <c r="BB144" s="126">
        <v>1</v>
      </c>
      <c r="BC144" s="126" t="s">
        <v>462</v>
      </c>
      <c r="BD144" s="179" t="s">
        <v>466</v>
      </c>
      <c r="BE144" s="179" t="s">
        <v>464</v>
      </c>
      <c r="BF144" s="179"/>
      <c r="BG144" s="179"/>
    </row>
    <row r="145" spans="1:59">
      <c r="A145" s="127">
        <f t="shared" si="14"/>
        <v>1</v>
      </c>
      <c r="B145" s="150" t="str">
        <f t="shared" si="15"/>
        <v>1/1</v>
      </c>
      <c r="C145" s="151"/>
      <c r="D145" s="153"/>
      <c r="E145" s="153"/>
      <c r="F145" s="153"/>
      <c r="G145" s="153"/>
      <c r="H145" s="153"/>
      <c r="I145" s="153"/>
      <c r="J145" s="153"/>
      <c r="K145" s="159"/>
      <c r="L145" s="153"/>
      <c r="M145" s="153"/>
      <c r="N145" s="153"/>
      <c r="O145" s="153"/>
      <c r="P145" s="153"/>
      <c r="Q145" s="153"/>
      <c r="R145" s="153"/>
      <c r="S145" s="159"/>
      <c r="T145" s="153"/>
      <c r="U145" s="153"/>
      <c r="V145" s="153"/>
      <c r="W145" s="153"/>
      <c r="X145" s="153"/>
      <c r="Y145" s="153"/>
      <c r="Z145" s="153"/>
      <c r="AA145" s="159"/>
      <c r="AB145" s="153"/>
      <c r="AC145" s="153"/>
      <c r="AD145" s="153"/>
      <c r="AE145" s="153"/>
      <c r="AF145" s="153"/>
      <c r="AG145" s="153" t="s">
        <v>9</v>
      </c>
      <c r="AH145" s="153"/>
      <c r="AI145" s="159"/>
      <c r="AJ145" s="153"/>
      <c r="AK145" s="153"/>
      <c r="AL145" s="153"/>
      <c r="AM145" s="153"/>
      <c r="AN145" s="153"/>
      <c r="AO145" s="153"/>
      <c r="AP145" s="169"/>
      <c r="AQ145" s="158"/>
      <c r="AR145" s="152"/>
      <c r="AS145" s="152"/>
      <c r="AT145" s="152"/>
      <c r="AU145" s="152"/>
      <c r="AV145" s="152"/>
      <c r="AW145" s="152"/>
      <c r="AX145" s="152"/>
      <c r="AY145" s="158"/>
      <c r="AZ145" s="180">
        <v>10009925</v>
      </c>
      <c r="BA145" s="179" t="s">
        <v>467</v>
      </c>
      <c r="BB145" s="126">
        <v>1</v>
      </c>
      <c r="BC145" s="126" t="s">
        <v>468</v>
      </c>
      <c r="BD145" s="179" t="s">
        <v>469</v>
      </c>
      <c r="BE145" s="179" t="s">
        <v>470</v>
      </c>
      <c r="BF145" s="179"/>
      <c r="BG145" s="179"/>
    </row>
    <row r="146" spans="1:59">
      <c r="A146" s="127">
        <f t="shared" si="14"/>
        <v>1</v>
      </c>
      <c r="B146" s="150" t="str">
        <f t="shared" si="15"/>
        <v>1/1</v>
      </c>
      <c r="C146" s="151"/>
      <c r="D146" s="153"/>
      <c r="E146" s="153"/>
      <c r="F146" s="153"/>
      <c r="G146" s="153"/>
      <c r="H146" s="153"/>
      <c r="I146" s="153"/>
      <c r="J146" s="153"/>
      <c r="K146" s="159"/>
      <c r="L146" s="153"/>
      <c r="M146" s="153"/>
      <c r="N146" s="153"/>
      <c r="O146" s="153"/>
      <c r="P146" s="153"/>
      <c r="Q146" s="153"/>
      <c r="R146" s="153"/>
      <c r="S146" s="159"/>
      <c r="T146" s="153"/>
      <c r="U146" s="153"/>
      <c r="V146" s="153"/>
      <c r="W146" s="153"/>
      <c r="X146" s="153"/>
      <c r="Y146" s="153"/>
      <c r="Z146" s="153"/>
      <c r="AA146" s="159"/>
      <c r="AB146" s="153"/>
      <c r="AC146" s="153"/>
      <c r="AD146" s="153"/>
      <c r="AE146" s="153"/>
      <c r="AF146" s="153"/>
      <c r="AG146" s="153"/>
      <c r="AH146" s="153"/>
      <c r="AI146" s="159"/>
      <c r="AJ146" s="153"/>
      <c r="AK146" s="153"/>
      <c r="AL146" s="153"/>
      <c r="AM146" s="153"/>
      <c r="AN146" s="153"/>
      <c r="AO146" s="153" t="s">
        <v>9</v>
      </c>
      <c r="AP146" s="169"/>
      <c r="AQ146" s="158"/>
      <c r="AR146" s="152"/>
      <c r="AS146" s="152"/>
      <c r="AT146" s="152"/>
      <c r="AU146" s="152"/>
      <c r="AV146" s="152"/>
      <c r="AW146" s="152"/>
      <c r="AX146" s="152"/>
      <c r="AY146" s="158"/>
      <c r="AZ146" s="180">
        <v>10043305</v>
      </c>
      <c r="BA146" s="179" t="s">
        <v>471</v>
      </c>
      <c r="BB146" s="126">
        <v>1</v>
      </c>
      <c r="BC146" s="126" t="s">
        <v>468</v>
      </c>
      <c r="BD146" s="179" t="s">
        <v>472</v>
      </c>
      <c r="BE146" s="179" t="s">
        <v>470</v>
      </c>
      <c r="BF146" s="179"/>
      <c r="BG146" s="179"/>
    </row>
    <row r="147" spans="1:59">
      <c r="A147" s="127">
        <f t="shared" si="14"/>
        <v>1</v>
      </c>
      <c r="B147" s="150" t="str">
        <f t="shared" si="15"/>
        <v>1/1</v>
      </c>
      <c r="C147" s="151"/>
      <c r="D147" s="153"/>
      <c r="E147" s="153"/>
      <c r="F147" s="153"/>
      <c r="G147" s="153"/>
      <c r="H147" s="153"/>
      <c r="I147" s="153"/>
      <c r="J147" s="153"/>
      <c r="K147" s="159"/>
      <c r="L147" s="153"/>
      <c r="M147" s="153"/>
      <c r="N147" s="153"/>
      <c r="O147" s="153"/>
      <c r="P147" s="153"/>
      <c r="Q147" s="153"/>
      <c r="R147" s="153"/>
      <c r="S147" s="159"/>
      <c r="T147" s="153"/>
      <c r="U147" s="153"/>
      <c r="V147" s="153"/>
      <c r="W147" s="153"/>
      <c r="X147" s="153"/>
      <c r="Y147" s="153"/>
      <c r="Z147" s="153"/>
      <c r="AA147" s="159"/>
      <c r="AB147" s="153"/>
      <c r="AC147" s="153"/>
      <c r="AD147" s="153"/>
      <c r="AE147" s="153"/>
      <c r="AF147" s="153"/>
      <c r="AG147" s="153"/>
      <c r="AH147" s="153"/>
      <c r="AI147" s="159"/>
      <c r="AJ147" s="153"/>
      <c r="AK147" s="153"/>
      <c r="AL147" s="153"/>
      <c r="AM147" s="153"/>
      <c r="AN147" s="153"/>
      <c r="AO147" s="153" t="s">
        <v>9</v>
      </c>
      <c r="AP147" s="169"/>
      <c r="AQ147" s="158"/>
      <c r="AR147" s="152"/>
      <c r="AS147" s="152"/>
      <c r="AT147" s="152"/>
      <c r="AU147" s="152"/>
      <c r="AV147" s="152"/>
      <c r="AW147" s="152"/>
      <c r="AX147" s="152"/>
      <c r="AY147" s="158"/>
      <c r="AZ147" s="180">
        <v>10010407</v>
      </c>
      <c r="BA147" s="179" t="s">
        <v>473</v>
      </c>
      <c r="BB147" s="126">
        <v>1</v>
      </c>
      <c r="BC147" s="126" t="s">
        <v>474</v>
      </c>
      <c r="BD147" s="179" t="s">
        <v>475</v>
      </c>
      <c r="BE147" s="179" t="s">
        <v>476</v>
      </c>
      <c r="BF147" s="179"/>
      <c r="BG147" s="179"/>
    </row>
    <row r="148" spans="1:59">
      <c r="A148" s="127">
        <f t="shared" si="14"/>
        <v>1</v>
      </c>
      <c r="B148" s="150" t="str">
        <f t="shared" si="15"/>
        <v>1/1</v>
      </c>
      <c r="C148" s="151"/>
      <c r="D148" s="153"/>
      <c r="E148" s="153"/>
      <c r="F148" s="153"/>
      <c r="G148" s="153"/>
      <c r="H148" s="153"/>
      <c r="I148" s="153"/>
      <c r="J148" s="153"/>
      <c r="K148" s="159"/>
      <c r="L148" s="153"/>
      <c r="M148" s="153"/>
      <c r="N148" s="153"/>
      <c r="O148" s="153"/>
      <c r="P148" s="153"/>
      <c r="Q148" s="153"/>
      <c r="R148" s="153"/>
      <c r="S148" s="159"/>
      <c r="T148" s="153"/>
      <c r="U148" s="153"/>
      <c r="V148" s="153"/>
      <c r="W148" s="153"/>
      <c r="X148" s="153"/>
      <c r="Y148" s="153"/>
      <c r="Z148" s="153"/>
      <c r="AA148" s="159"/>
      <c r="AB148" s="153"/>
      <c r="AC148" s="153"/>
      <c r="AD148" s="153"/>
      <c r="AE148" s="153"/>
      <c r="AF148" s="153"/>
      <c r="AG148" s="153"/>
      <c r="AH148" s="153"/>
      <c r="AI148" s="159"/>
      <c r="AJ148" s="153"/>
      <c r="AK148" s="153"/>
      <c r="AL148" s="153"/>
      <c r="AM148" s="153"/>
      <c r="AN148" s="153"/>
      <c r="AO148" s="153" t="s">
        <v>9</v>
      </c>
      <c r="AP148" s="169"/>
      <c r="AQ148" s="158"/>
      <c r="AR148" s="152"/>
      <c r="AS148" s="152"/>
      <c r="AT148" s="152"/>
      <c r="AU148" s="152"/>
      <c r="AV148" s="152"/>
      <c r="AW148" s="152"/>
      <c r="AX148" s="152"/>
      <c r="AY148" s="158"/>
      <c r="AZ148" s="180">
        <v>10042314</v>
      </c>
      <c r="BA148" s="179" t="s">
        <v>477</v>
      </c>
      <c r="BB148" s="126">
        <v>1</v>
      </c>
      <c r="BC148" s="126" t="s">
        <v>478</v>
      </c>
      <c r="BD148" s="179" t="s">
        <v>479</v>
      </c>
      <c r="BE148" s="179" t="s">
        <v>480</v>
      </c>
      <c r="BF148" s="179"/>
      <c r="BG148" s="179"/>
    </row>
    <row r="149" spans="1:59">
      <c r="A149" s="127">
        <f t="shared" si="14"/>
        <v>1</v>
      </c>
      <c r="B149" s="150" t="str">
        <f t="shared" si="15"/>
        <v>1/1</v>
      </c>
      <c r="C149" s="151"/>
      <c r="D149" s="153"/>
      <c r="E149" s="153"/>
      <c r="F149" s="153"/>
      <c r="G149" s="153"/>
      <c r="H149" s="153"/>
      <c r="I149" s="153"/>
      <c r="J149" s="153"/>
      <c r="K149" s="159"/>
      <c r="L149" s="153"/>
      <c r="M149" s="153"/>
      <c r="N149" s="153"/>
      <c r="O149" s="153"/>
      <c r="P149" s="153"/>
      <c r="Q149" s="153"/>
      <c r="R149" s="153"/>
      <c r="S149" s="159"/>
      <c r="T149" s="153"/>
      <c r="U149" s="153"/>
      <c r="V149" s="153"/>
      <c r="W149" s="153"/>
      <c r="X149" s="153"/>
      <c r="Y149" s="153"/>
      <c r="Z149" s="153"/>
      <c r="AA149" s="159"/>
      <c r="AB149" s="153"/>
      <c r="AC149" s="153"/>
      <c r="AD149" s="153"/>
      <c r="AE149" s="153"/>
      <c r="AF149" s="153"/>
      <c r="AG149" s="153"/>
      <c r="AH149" s="153"/>
      <c r="AI149" s="159"/>
      <c r="AJ149" s="153"/>
      <c r="AK149" s="153"/>
      <c r="AL149" s="153"/>
      <c r="AM149" s="153"/>
      <c r="AN149" s="153"/>
      <c r="AO149" s="153" t="s">
        <v>9</v>
      </c>
      <c r="AP149" s="169"/>
      <c r="AQ149" s="158"/>
      <c r="AR149" s="152"/>
      <c r="AS149" s="152"/>
      <c r="AT149" s="152"/>
      <c r="AU149" s="152"/>
      <c r="AV149" s="152"/>
      <c r="AW149" s="152"/>
      <c r="AX149" s="152"/>
      <c r="AY149" s="158"/>
      <c r="AZ149" s="180">
        <v>10005220</v>
      </c>
      <c r="BA149" s="179" t="s">
        <v>481</v>
      </c>
      <c r="BB149" s="126">
        <v>1</v>
      </c>
      <c r="BC149" s="126" t="s">
        <v>482</v>
      </c>
      <c r="BD149" s="179" t="s">
        <v>483</v>
      </c>
      <c r="BE149" s="179" t="s">
        <v>484</v>
      </c>
      <c r="BF149" s="179"/>
      <c r="BG149" s="179"/>
    </row>
    <row r="150" spans="1:59">
      <c r="A150" s="127">
        <f t="shared" si="14"/>
        <v>1</v>
      </c>
      <c r="B150" s="150" t="str">
        <f t="shared" si="15"/>
        <v>1/1</v>
      </c>
      <c r="C150" s="151"/>
      <c r="D150" s="153"/>
      <c r="E150" s="153"/>
      <c r="F150" s="153"/>
      <c r="G150" s="153"/>
      <c r="H150" s="153"/>
      <c r="I150" s="153"/>
      <c r="J150" s="153"/>
      <c r="K150" s="159"/>
      <c r="L150" s="153"/>
      <c r="M150" s="153"/>
      <c r="N150" s="153"/>
      <c r="O150" s="153"/>
      <c r="P150" s="153"/>
      <c r="Q150" s="153"/>
      <c r="R150" s="153"/>
      <c r="S150" s="159"/>
      <c r="T150" s="153"/>
      <c r="U150" s="153"/>
      <c r="V150" s="153"/>
      <c r="W150" s="153"/>
      <c r="X150" s="153"/>
      <c r="Y150" s="153"/>
      <c r="Z150" s="153"/>
      <c r="AA150" s="159"/>
      <c r="AB150" s="153"/>
      <c r="AC150" s="153"/>
      <c r="AD150" s="153"/>
      <c r="AE150" s="153"/>
      <c r="AF150" s="153"/>
      <c r="AG150" s="153"/>
      <c r="AH150" s="153"/>
      <c r="AI150" s="159"/>
      <c r="AJ150" s="153"/>
      <c r="AK150" s="153"/>
      <c r="AL150" s="153"/>
      <c r="AM150" s="153"/>
      <c r="AN150" s="153"/>
      <c r="AO150" s="153" t="s">
        <v>9</v>
      </c>
      <c r="AP150" s="169"/>
      <c r="AQ150" s="158"/>
      <c r="AR150" s="152"/>
      <c r="AS150" s="152"/>
      <c r="AT150" s="152"/>
      <c r="AU150" s="152"/>
      <c r="AV150" s="152"/>
      <c r="AW150" s="152"/>
      <c r="AX150" s="152"/>
      <c r="AY150" s="158"/>
      <c r="AZ150" s="180">
        <v>10009733</v>
      </c>
      <c r="BA150" s="179" t="s">
        <v>485</v>
      </c>
      <c r="BB150" s="126">
        <v>1</v>
      </c>
      <c r="BC150" s="126" t="s">
        <v>486</v>
      </c>
      <c r="BD150" s="179" t="s">
        <v>487</v>
      </c>
      <c r="BE150" s="179" t="s">
        <v>488</v>
      </c>
      <c r="BF150" s="179"/>
      <c r="BG150" s="179"/>
    </row>
    <row r="151" spans="1:59">
      <c r="A151" s="127">
        <f t="shared" si="14"/>
        <v>1</v>
      </c>
      <c r="B151" s="150" t="str">
        <f t="shared" si="15"/>
        <v>1/1</v>
      </c>
      <c r="C151" s="151"/>
      <c r="D151" s="153"/>
      <c r="E151" s="153"/>
      <c r="F151" s="153"/>
      <c r="G151" s="153"/>
      <c r="H151" s="153"/>
      <c r="I151" s="153"/>
      <c r="J151" s="153"/>
      <c r="K151" s="159"/>
      <c r="L151" s="153"/>
      <c r="M151" s="153"/>
      <c r="N151" s="153"/>
      <c r="O151" s="153"/>
      <c r="P151" s="153"/>
      <c r="Q151" s="153"/>
      <c r="R151" s="153"/>
      <c r="S151" s="159"/>
      <c r="T151" s="153"/>
      <c r="U151" s="153"/>
      <c r="V151" s="153"/>
      <c r="W151" s="153"/>
      <c r="X151" s="153"/>
      <c r="Y151" s="153"/>
      <c r="Z151" s="153"/>
      <c r="AA151" s="159"/>
      <c r="AB151" s="153"/>
      <c r="AC151" s="153"/>
      <c r="AD151" s="153"/>
      <c r="AE151" s="153"/>
      <c r="AF151" s="153"/>
      <c r="AG151" s="153"/>
      <c r="AH151" s="153"/>
      <c r="AI151" s="159"/>
      <c r="AJ151" s="153"/>
      <c r="AK151" s="153"/>
      <c r="AL151" s="153"/>
      <c r="AM151" s="153"/>
      <c r="AN151" s="153"/>
      <c r="AO151" s="153" t="s">
        <v>9</v>
      </c>
      <c r="AP151" s="169"/>
      <c r="AQ151" s="158"/>
      <c r="AR151" s="152"/>
      <c r="AS151" s="152"/>
      <c r="AT151" s="152"/>
      <c r="AU151" s="152"/>
      <c r="AV151" s="152"/>
      <c r="AW151" s="152"/>
      <c r="AX151" s="152"/>
      <c r="AY151" s="158"/>
      <c r="AZ151" s="180">
        <v>10032929</v>
      </c>
      <c r="BA151" s="179" t="s">
        <v>489</v>
      </c>
      <c r="BB151" s="126">
        <v>1</v>
      </c>
      <c r="BC151" s="126" t="s">
        <v>490</v>
      </c>
      <c r="BD151" s="179" t="s">
        <v>491</v>
      </c>
      <c r="BE151" s="179" t="s">
        <v>492</v>
      </c>
      <c r="BF151" s="179"/>
      <c r="BG151" s="179"/>
    </row>
    <row r="152" spans="1:59">
      <c r="A152" s="127">
        <f t="shared" si="14"/>
        <v>1</v>
      </c>
      <c r="B152" s="150" t="str">
        <f t="shared" si="15"/>
        <v>1/1</v>
      </c>
      <c r="C152" s="151"/>
      <c r="D152" s="153"/>
      <c r="E152" s="153"/>
      <c r="F152" s="153"/>
      <c r="G152" s="153"/>
      <c r="H152" s="153"/>
      <c r="I152" s="153"/>
      <c r="J152" s="153"/>
      <c r="K152" s="159"/>
      <c r="L152" s="153"/>
      <c r="M152" s="153"/>
      <c r="N152" s="153"/>
      <c r="O152" s="153"/>
      <c r="P152" s="153"/>
      <c r="Q152" s="153"/>
      <c r="R152" s="153"/>
      <c r="S152" s="159"/>
      <c r="T152" s="153"/>
      <c r="U152" s="153"/>
      <c r="V152" s="153"/>
      <c r="W152" s="153"/>
      <c r="X152" s="153"/>
      <c r="Y152" s="153"/>
      <c r="Z152" s="153"/>
      <c r="AA152" s="159"/>
      <c r="AB152" s="153"/>
      <c r="AC152" s="153"/>
      <c r="AD152" s="153"/>
      <c r="AE152" s="153"/>
      <c r="AF152" s="153"/>
      <c r="AG152" s="153"/>
      <c r="AH152" s="153"/>
      <c r="AI152" s="159"/>
      <c r="AJ152" s="153"/>
      <c r="AK152" s="153"/>
      <c r="AL152" s="153"/>
      <c r="AM152" s="153"/>
      <c r="AN152" s="153"/>
      <c r="AO152" s="153" t="s">
        <v>9</v>
      </c>
      <c r="AP152" s="169"/>
      <c r="AQ152" s="158"/>
      <c r="AR152" s="152"/>
      <c r="AS152" s="152"/>
      <c r="AT152" s="152"/>
      <c r="AU152" s="152"/>
      <c r="AV152" s="152"/>
      <c r="AW152" s="152"/>
      <c r="AX152" s="152"/>
      <c r="AY152" s="158"/>
      <c r="AZ152" s="180">
        <v>10046271</v>
      </c>
      <c r="BA152" s="179" t="s">
        <v>493</v>
      </c>
      <c r="BB152" s="126">
        <v>1</v>
      </c>
      <c r="BC152" s="126" t="s">
        <v>490</v>
      </c>
      <c r="BD152" s="179" t="s">
        <v>494</v>
      </c>
      <c r="BE152" s="179" t="s">
        <v>492</v>
      </c>
      <c r="BF152" s="179"/>
      <c r="BG152" s="179"/>
    </row>
    <row r="153" spans="1:59">
      <c r="A153" s="127">
        <f t="shared" si="14"/>
        <v>1</v>
      </c>
      <c r="B153" s="150" t="str">
        <f t="shared" si="15"/>
        <v>1/1</v>
      </c>
      <c r="C153" s="151"/>
      <c r="D153" s="153"/>
      <c r="E153" s="153"/>
      <c r="F153" s="153"/>
      <c r="G153" s="153"/>
      <c r="H153" s="153"/>
      <c r="I153" s="153"/>
      <c r="J153" s="153"/>
      <c r="K153" s="159"/>
      <c r="L153" s="153"/>
      <c r="M153" s="153"/>
      <c r="N153" s="153"/>
      <c r="O153" s="153"/>
      <c r="P153" s="153"/>
      <c r="Q153" s="153"/>
      <c r="R153" s="153"/>
      <c r="S153" s="159"/>
      <c r="T153" s="153"/>
      <c r="U153" s="153"/>
      <c r="V153" s="153"/>
      <c r="W153" s="153"/>
      <c r="X153" s="153"/>
      <c r="Y153" s="153"/>
      <c r="Z153" s="153"/>
      <c r="AA153" s="159"/>
      <c r="AB153" s="153"/>
      <c r="AC153" s="153"/>
      <c r="AD153" s="153"/>
      <c r="AE153" s="153"/>
      <c r="AF153" s="153"/>
      <c r="AG153" s="153"/>
      <c r="AH153" s="153"/>
      <c r="AI153" s="159"/>
      <c r="AJ153" s="153"/>
      <c r="AK153" s="153"/>
      <c r="AL153" s="153"/>
      <c r="AM153" s="153"/>
      <c r="AN153" s="153"/>
      <c r="AO153" s="153" t="s">
        <v>9</v>
      </c>
      <c r="AP153" s="169"/>
      <c r="AQ153" s="158"/>
      <c r="AR153" s="152"/>
      <c r="AS153" s="152"/>
      <c r="AT153" s="152"/>
      <c r="AU153" s="152"/>
      <c r="AV153" s="152"/>
      <c r="AW153" s="152"/>
      <c r="AX153" s="152"/>
      <c r="AY153" s="158"/>
      <c r="AZ153" s="180">
        <v>10039355</v>
      </c>
      <c r="BA153" s="179" t="s">
        <v>495</v>
      </c>
      <c r="BB153" s="126">
        <v>1</v>
      </c>
      <c r="BC153" s="126" t="s">
        <v>496</v>
      </c>
      <c r="BD153" s="179" t="s">
        <v>497</v>
      </c>
      <c r="BE153" s="179" t="s">
        <v>498</v>
      </c>
      <c r="BF153" s="179"/>
      <c r="BG153" s="179"/>
    </row>
    <row r="154" spans="1:59">
      <c r="A154" s="127">
        <f t="shared" si="14"/>
        <v>1</v>
      </c>
      <c r="B154" s="150" t="str">
        <f t="shared" si="15"/>
        <v>1/1</v>
      </c>
      <c r="C154" s="151"/>
      <c r="D154" s="153"/>
      <c r="E154" s="153"/>
      <c r="F154" s="153"/>
      <c r="G154" s="153"/>
      <c r="H154" s="153"/>
      <c r="I154" s="153"/>
      <c r="J154" s="153"/>
      <c r="K154" s="159"/>
      <c r="L154" s="153"/>
      <c r="M154" s="153"/>
      <c r="N154" s="153"/>
      <c r="O154" s="153"/>
      <c r="P154" s="153"/>
      <c r="Q154" s="153" t="s">
        <v>9</v>
      </c>
      <c r="R154" s="153"/>
      <c r="S154" s="159"/>
      <c r="T154" s="153"/>
      <c r="U154" s="153"/>
      <c r="V154" s="153"/>
      <c r="W154" s="153"/>
      <c r="X154" s="153"/>
      <c r="Y154" s="153"/>
      <c r="Z154" s="153"/>
      <c r="AA154" s="159"/>
      <c r="AB154" s="153"/>
      <c r="AC154" s="153"/>
      <c r="AD154" s="153"/>
      <c r="AE154" s="153"/>
      <c r="AF154" s="153"/>
      <c r="AG154" s="153"/>
      <c r="AH154" s="153"/>
      <c r="AI154" s="159"/>
      <c r="AJ154" s="153"/>
      <c r="AK154" s="153"/>
      <c r="AL154" s="153"/>
      <c r="AM154" s="153"/>
      <c r="AN154" s="153"/>
      <c r="AO154" s="153"/>
      <c r="AP154" s="169"/>
      <c r="AQ154" s="158"/>
      <c r="AR154" s="152"/>
      <c r="AS154" s="152"/>
      <c r="AT154" s="152"/>
      <c r="AU154" s="152"/>
      <c r="AV154" s="152"/>
      <c r="AW154" s="152"/>
      <c r="AX154" s="152"/>
      <c r="AY154" s="158"/>
      <c r="AZ154" s="180">
        <v>10009734</v>
      </c>
      <c r="BA154" s="179" t="s">
        <v>499</v>
      </c>
      <c r="BB154" s="126">
        <v>1</v>
      </c>
      <c r="BC154" s="126" t="s">
        <v>500</v>
      </c>
      <c r="BD154" s="179" t="s">
        <v>210</v>
      </c>
      <c r="BE154" s="179" t="s">
        <v>501</v>
      </c>
      <c r="BF154" s="179"/>
      <c r="BG154" s="179"/>
    </row>
    <row r="155" spans="1:59">
      <c r="A155" s="127">
        <f t="shared" si="14"/>
        <v>1</v>
      </c>
      <c r="B155" s="150" t="str">
        <f t="shared" si="15"/>
        <v>1/1</v>
      </c>
      <c r="C155" s="151"/>
      <c r="D155" s="153"/>
      <c r="E155" s="153"/>
      <c r="F155" s="153"/>
      <c r="G155" s="153"/>
      <c r="H155" s="153"/>
      <c r="I155" s="153"/>
      <c r="J155" s="153"/>
      <c r="K155" s="159"/>
      <c r="L155" s="153"/>
      <c r="M155" s="153"/>
      <c r="N155" s="153"/>
      <c r="O155" s="153"/>
      <c r="P155" s="153"/>
      <c r="Q155" s="153" t="s">
        <v>9</v>
      </c>
      <c r="R155" s="153"/>
      <c r="S155" s="159"/>
      <c r="T155" s="153"/>
      <c r="U155" s="153"/>
      <c r="V155" s="153"/>
      <c r="W155" s="153"/>
      <c r="X155" s="153"/>
      <c r="Y155" s="153"/>
      <c r="Z155" s="153"/>
      <c r="AA155" s="159"/>
      <c r="AB155" s="153"/>
      <c r="AC155" s="153"/>
      <c r="AD155" s="153"/>
      <c r="AE155" s="153"/>
      <c r="AF155" s="153"/>
      <c r="AG155" s="153"/>
      <c r="AH155" s="153"/>
      <c r="AI155" s="159"/>
      <c r="AJ155" s="153"/>
      <c r="AK155" s="153"/>
      <c r="AL155" s="153"/>
      <c r="AM155" s="153"/>
      <c r="AN155" s="153"/>
      <c r="AO155" s="153"/>
      <c r="AP155" s="169"/>
      <c r="AQ155" s="158"/>
      <c r="AR155" s="152"/>
      <c r="AS155" s="152"/>
      <c r="AT155" s="152"/>
      <c r="AU155" s="152"/>
      <c r="AV155" s="152"/>
      <c r="AW155" s="152"/>
      <c r="AX155" s="152"/>
      <c r="AY155" s="158"/>
      <c r="AZ155" s="180">
        <v>10028188</v>
      </c>
      <c r="BA155" s="179" t="s">
        <v>502</v>
      </c>
      <c r="BB155" s="126">
        <v>1</v>
      </c>
      <c r="BC155" s="126" t="s">
        <v>500</v>
      </c>
      <c r="BD155" s="179" t="s">
        <v>333</v>
      </c>
      <c r="BE155" s="179" t="s">
        <v>501</v>
      </c>
      <c r="BF155" s="179"/>
      <c r="BG155" s="179"/>
    </row>
    <row r="156" spans="1:59">
      <c r="A156" s="127">
        <f t="shared" si="14"/>
        <v>1</v>
      </c>
      <c r="B156" s="150" t="str">
        <f t="shared" si="15"/>
        <v>1/1</v>
      </c>
      <c r="C156" s="151"/>
      <c r="D156" s="153"/>
      <c r="E156" s="153"/>
      <c r="F156" s="153"/>
      <c r="G156" s="153"/>
      <c r="H156" s="153"/>
      <c r="I156" s="153"/>
      <c r="J156" s="153"/>
      <c r="K156" s="159"/>
      <c r="L156" s="153"/>
      <c r="M156" s="153"/>
      <c r="N156" s="153"/>
      <c r="O156" s="153"/>
      <c r="P156" s="153"/>
      <c r="Q156" s="153" t="s">
        <v>9</v>
      </c>
      <c r="R156" s="153"/>
      <c r="S156" s="159"/>
      <c r="T156" s="153"/>
      <c r="U156" s="153"/>
      <c r="V156" s="153"/>
      <c r="W156" s="153"/>
      <c r="X156" s="153"/>
      <c r="Y156" s="153"/>
      <c r="Z156" s="153"/>
      <c r="AA156" s="159"/>
      <c r="AB156" s="153"/>
      <c r="AC156" s="153"/>
      <c r="AD156" s="153"/>
      <c r="AE156" s="153"/>
      <c r="AF156" s="153"/>
      <c r="AG156" s="153"/>
      <c r="AH156" s="153"/>
      <c r="AI156" s="159"/>
      <c r="AJ156" s="153"/>
      <c r="AK156" s="153"/>
      <c r="AL156" s="153"/>
      <c r="AM156" s="153"/>
      <c r="AN156" s="153"/>
      <c r="AO156" s="153"/>
      <c r="AP156" s="169"/>
      <c r="AQ156" s="158"/>
      <c r="AR156" s="152"/>
      <c r="AS156" s="152"/>
      <c r="AT156" s="152"/>
      <c r="AU156" s="152"/>
      <c r="AV156" s="152"/>
      <c r="AW156" s="152"/>
      <c r="AX156" s="152"/>
      <c r="AY156" s="158"/>
      <c r="AZ156" s="180">
        <v>10005217</v>
      </c>
      <c r="BA156" s="179" t="s">
        <v>503</v>
      </c>
      <c r="BB156" s="126">
        <v>1</v>
      </c>
      <c r="BC156" s="126" t="s">
        <v>504</v>
      </c>
      <c r="BD156" s="179" t="s">
        <v>52</v>
      </c>
      <c r="BE156" s="179" t="s">
        <v>505</v>
      </c>
      <c r="BF156" s="179"/>
      <c r="BG156" s="179"/>
    </row>
    <row r="157" spans="1:59">
      <c r="A157" s="127">
        <f t="shared" si="14"/>
        <v>1</v>
      </c>
      <c r="B157" s="150" t="str">
        <f t="shared" si="15"/>
        <v>2/2</v>
      </c>
      <c r="C157" s="151"/>
      <c r="D157" s="153"/>
      <c r="E157" s="153"/>
      <c r="F157" s="153"/>
      <c r="G157" s="153"/>
      <c r="H157" s="153"/>
      <c r="I157" s="153"/>
      <c r="J157" s="153"/>
      <c r="K157" s="159"/>
      <c r="L157" s="153"/>
      <c r="M157" s="153"/>
      <c r="N157" s="153"/>
      <c r="O157" s="153"/>
      <c r="P157" s="153"/>
      <c r="Q157" s="153" t="s">
        <v>9</v>
      </c>
      <c r="R157" s="153"/>
      <c r="S157" s="159"/>
      <c r="T157" s="153"/>
      <c r="U157" s="153"/>
      <c r="V157" s="153"/>
      <c r="W157" s="153"/>
      <c r="X157" s="153"/>
      <c r="Y157" s="153"/>
      <c r="Z157" s="153"/>
      <c r="AA157" s="159"/>
      <c r="AB157" s="153"/>
      <c r="AC157" s="153"/>
      <c r="AD157" s="153"/>
      <c r="AE157" s="153"/>
      <c r="AF157" s="153"/>
      <c r="AG157" s="153"/>
      <c r="AH157" s="153"/>
      <c r="AI157" s="159"/>
      <c r="AJ157" s="153"/>
      <c r="AK157" s="153"/>
      <c r="AL157" s="153"/>
      <c r="AM157" s="153"/>
      <c r="AN157" s="153" t="s">
        <v>9</v>
      </c>
      <c r="AO157" s="153"/>
      <c r="AP157" s="169"/>
      <c r="AQ157" s="158"/>
      <c r="AR157" s="152"/>
      <c r="AS157" s="152"/>
      <c r="AT157" s="152"/>
      <c r="AU157" s="152"/>
      <c r="AV157" s="152"/>
      <c r="AW157" s="152"/>
      <c r="AX157" s="152"/>
      <c r="AY157" s="158"/>
      <c r="AZ157" s="180">
        <v>10045844</v>
      </c>
      <c r="BA157" s="179" t="s">
        <v>506</v>
      </c>
      <c r="BB157" s="126">
        <v>2</v>
      </c>
      <c r="BC157" s="126" t="s">
        <v>504</v>
      </c>
      <c r="BD157" s="179" t="s">
        <v>507</v>
      </c>
      <c r="BE157" s="179" t="s">
        <v>505</v>
      </c>
      <c r="BF157" s="179"/>
      <c r="BG157" s="179"/>
    </row>
    <row r="158" spans="1:59">
      <c r="A158" s="127">
        <f t="shared" si="14"/>
        <v>1</v>
      </c>
      <c r="B158" s="150" t="str">
        <f t="shared" si="15"/>
        <v>1/1</v>
      </c>
      <c r="C158" s="151"/>
      <c r="D158" s="153"/>
      <c r="E158" s="153"/>
      <c r="F158" s="153"/>
      <c r="G158" s="153"/>
      <c r="H158" s="153"/>
      <c r="I158" s="153"/>
      <c r="J158" s="153"/>
      <c r="K158" s="159"/>
      <c r="L158" s="153"/>
      <c r="M158" s="153"/>
      <c r="N158" s="153"/>
      <c r="O158" s="153"/>
      <c r="P158" s="153"/>
      <c r="Q158" s="153"/>
      <c r="R158" s="153"/>
      <c r="S158" s="159"/>
      <c r="T158" s="153"/>
      <c r="U158" s="153"/>
      <c r="V158" s="153"/>
      <c r="W158" s="153"/>
      <c r="X158" s="153"/>
      <c r="Y158" s="153"/>
      <c r="Z158" s="153"/>
      <c r="AA158" s="159"/>
      <c r="AB158" s="153"/>
      <c r="AC158" s="153"/>
      <c r="AD158" s="153"/>
      <c r="AE158" s="153"/>
      <c r="AF158" s="153"/>
      <c r="AG158" s="153"/>
      <c r="AH158" s="153"/>
      <c r="AI158" s="159"/>
      <c r="AJ158" s="153"/>
      <c r="AK158" s="153"/>
      <c r="AL158" s="153"/>
      <c r="AM158" s="153"/>
      <c r="AN158" s="153" t="s">
        <v>9</v>
      </c>
      <c r="AO158" s="153"/>
      <c r="AP158" s="169"/>
      <c r="AQ158" s="158"/>
      <c r="AR158" s="152"/>
      <c r="AS158" s="152"/>
      <c r="AT158" s="152"/>
      <c r="AU158" s="152"/>
      <c r="AV158" s="152"/>
      <c r="AW158" s="152"/>
      <c r="AX158" s="152"/>
      <c r="AY158" s="158"/>
      <c r="AZ158" s="180">
        <v>10043115</v>
      </c>
      <c r="BA158" s="179" t="s">
        <v>508</v>
      </c>
      <c r="BB158" s="126">
        <v>1</v>
      </c>
      <c r="BC158" s="126" t="s">
        <v>509</v>
      </c>
      <c r="BD158" s="179" t="s">
        <v>510</v>
      </c>
      <c r="BE158" s="179" t="s">
        <v>511</v>
      </c>
      <c r="BF158" s="179"/>
      <c r="BG158" s="179"/>
    </row>
    <row r="159" spans="1:59">
      <c r="A159" s="127">
        <f t="shared" si="14"/>
        <v>1</v>
      </c>
      <c r="B159" s="150" t="str">
        <f t="shared" si="15"/>
        <v>1/1</v>
      </c>
      <c r="C159" s="151"/>
      <c r="D159" s="153"/>
      <c r="E159" s="153"/>
      <c r="F159" s="153"/>
      <c r="G159" s="153"/>
      <c r="H159" s="153"/>
      <c r="I159" s="153"/>
      <c r="J159" s="153"/>
      <c r="K159" s="159"/>
      <c r="L159" s="153"/>
      <c r="M159" s="153"/>
      <c r="N159" s="153"/>
      <c r="O159" s="153"/>
      <c r="P159" s="153"/>
      <c r="Q159" s="153"/>
      <c r="R159" s="153"/>
      <c r="S159" s="159"/>
      <c r="T159" s="153"/>
      <c r="U159" s="153"/>
      <c r="V159" s="153"/>
      <c r="W159" s="153"/>
      <c r="X159" s="153"/>
      <c r="Y159" s="153"/>
      <c r="Z159" s="153"/>
      <c r="AA159" s="159"/>
      <c r="AB159" s="153"/>
      <c r="AC159" s="153"/>
      <c r="AD159" s="153"/>
      <c r="AE159" s="153"/>
      <c r="AF159" s="153"/>
      <c r="AG159" s="153"/>
      <c r="AH159" s="153"/>
      <c r="AI159" s="159"/>
      <c r="AJ159" s="153"/>
      <c r="AK159" s="153"/>
      <c r="AL159" s="153"/>
      <c r="AM159" s="153"/>
      <c r="AN159" s="153" t="s">
        <v>9</v>
      </c>
      <c r="AO159" s="153"/>
      <c r="AP159" s="169"/>
      <c r="AQ159" s="158"/>
      <c r="AR159" s="152"/>
      <c r="AS159" s="152"/>
      <c r="AT159" s="152"/>
      <c r="AU159" s="152"/>
      <c r="AV159" s="152"/>
      <c r="AW159" s="152"/>
      <c r="AX159" s="152"/>
      <c r="AY159" s="158"/>
      <c r="AZ159" s="180">
        <v>10044788</v>
      </c>
      <c r="BA159" s="179" t="s">
        <v>512</v>
      </c>
      <c r="BB159" s="126">
        <v>1</v>
      </c>
      <c r="BC159" s="126" t="s">
        <v>509</v>
      </c>
      <c r="BD159" s="179" t="s">
        <v>272</v>
      </c>
      <c r="BE159" s="179" t="s">
        <v>511</v>
      </c>
      <c r="BF159" s="179"/>
      <c r="BG159" s="179"/>
    </row>
    <row r="160" spans="1:59">
      <c r="A160" s="127">
        <f t="shared" si="14"/>
        <v>1</v>
      </c>
      <c r="B160" s="150" t="str">
        <f t="shared" si="15"/>
        <v>1/1</v>
      </c>
      <c r="C160" s="151"/>
      <c r="D160" s="153"/>
      <c r="E160" s="153"/>
      <c r="F160" s="153"/>
      <c r="G160" s="153"/>
      <c r="H160" s="153"/>
      <c r="I160" s="153"/>
      <c r="J160" s="153"/>
      <c r="K160" s="159"/>
      <c r="L160" s="153"/>
      <c r="M160" s="153" t="s">
        <v>9</v>
      </c>
      <c r="N160" s="153"/>
      <c r="O160" s="153"/>
      <c r="P160" s="153"/>
      <c r="Q160" s="153"/>
      <c r="R160" s="153"/>
      <c r="S160" s="159"/>
      <c r="T160" s="153"/>
      <c r="U160" s="153"/>
      <c r="V160" s="153"/>
      <c r="W160" s="153"/>
      <c r="X160" s="153"/>
      <c r="Y160" s="153"/>
      <c r="Z160" s="153"/>
      <c r="AA160" s="159"/>
      <c r="AB160" s="153"/>
      <c r="AC160" s="153"/>
      <c r="AD160" s="153"/>
      <c r="AE160" s="153"/>
      <c r="AF160" s="153"/>
      <c r="AG160" s="153"/>
      <c r="AH160" s="153"/>
      <c r="AI160" s="159"/>
      <c r="AJ160" s="153"/>
      <c r="AK160" s="153"/>
      <c r="AL160" s="153"/>
      <c r="AM160" s="153"/>
      <c r="AN160" s="153"/>
      <c r="AO160" s="153"/>
      <c r="AP160" s="169"/>
      <c r="AQ160" s="158"/>
      <c r="AR160" s="152"/>
      <c r="AS160" s="152"/>
      <c r="AT160" s="152"/>
      <c r="AU160" s="152"/>
      <c r="AV160" s="152"/>
      <c r="AW160" s="152"/>
      <c r="AX160" s="152"/>
      <c r="AY160" s="158"/>
      <c r="AZ160" s="180">
        <v>10041963</v>
      </c>
      <c r="BA160" s="179" t="s">
        <v>513</v>
      </c>
      <c r="BB160" s="126">
        <v>1</v>
      </c>
      <c r="BC160" s="126" t="s">
        <v>514</v>
      </c>
      <c r="BD160" s="179" t="s">
        <v>227</v>
      </c>
      <c r="BE160" s="179" t="s">
        <v>515</v>
      </c>
      <c r="BF160" s="179"/>
      <c r="BG160" s="179"/>
    </row>
    <row r="161" spans="1:59">
      <c r="A161" s="127">
        <f t="shared" si="14"/>
        <v>1</v>
      </c>
      <c r="B161" s="150" t="str">
        <f t="shared" si="15"/>
        <v>1/1</v>
      </c>
      <c r="C161" s="151"/>
      <c r="D161" s="153"/>
      <c r="E161" s="153"/>
      <c r="F161" s="153"/>
      <c r="G161" s="153"/>
      <c r="H161" s="153"/>
      <c r="I161" s="153"/>
      <c r="J161" s="153"/>
      <c r="K161" s="159"/>
      <c r="L161" s="153"/>
      <c r="M161" s="153" t="s">
        <v>9</v>
      </c>
      <c r="N161" s="153"/>
      <c r="O161" s="153"/>
      <c r="P161" s="153"/>
      <c r="Q161" s="153"/>
      <c r="R161" s="153"/>
      <c r="S161" s="159"/>
      <c r="T161" s="153"/>
      <c r="U161" s="153"/>
      <c r="V161" s="153"/>
      <c r="W161" s="153"/>
      <c r="X161" s="153"/>
      <c r="Y161" s="153"/>
      <c r="Z161" s="153"/>
      <c r="AA161" s="159"/>
      <c r="AB161" s="153"/>
      <c r="AC161" s="153"/>
      <c r="AD161" s="153"/>
      <c r="AE161" s="153"/>
      <c r="AF161" s="153"/>
      <c r="AG161" s="153"/>
      <c r="AH161" s="153"/>
      <c r="AI161" s="159"/>
      <c r="AJ161" s="153"/>
      <c r="AK161" s="153"/>
      <c r="AL161" s="153"/>
      <c r="AM161" s="153"/>
      <c r="AN161" s="153"/>
      <c r="AO161" s="153"/>
      <c r="AP161" s="169"/>
      <c r="AQ161" s="158"/>
      <c r="AR161" s="152"/>
      <c r="AS161" s="152"/>
      <c r="AT161" s="152"/>
      <c r="AU161" s="152"/>
      <c r="AV161" s="152"/>
      <c r="AW161" s="152"/>
      <c r="AX161" s="152"/>
      <c r="AY161" s="158"/>
      <c r="AZ161" s="180">
        <v>10043831</v>
      </c>
      <c r="BA161" s="179" t="s">
        <v>516</v>
      </c>
      <c r="BB161" s="126">
        <v>1</v>
      </c>
      <c r="BC161" s="126" t="s">
        <v>517</v>
      </c>
      <c r="BD161" s="179" t="s">
        <v>518</v>
      </c>
      <c r="BE161" s="179" t="s">
        <v>519</v>
      </c>
      <c r="BF161" s="179"/>
      <c r="BG161" s="179"/>
    </row>
    <row r="162" spans="1:59">
      <c r="A162" s="127">
        <f t="shared" si="14"/>
        <v>1</v>
      </c>
      <c r="B162" s="150" t="str">
        <f t="shared" si="15"/>
        <v>1/1</v>
      </c>
      <c r="C162" s="151"/>
      <c r="D162" s="153"/>
      <c r="E162" s="153"/>
      <c r="F162" s="153"/>
      <c r="G162" s="153"/>
      <c r="H162" s="153"/>
      <c r="I162" s="153"/>
      <c r="J162" s="153"/>
      <c r="K162" s="159"/>
      <c r="L162" s="153"/>
      <c r="M162" s="153" t="s">
        <v>9</v>
      </c>
      <c r="N162" s="153"/>
      <c r="O162" s="153"/>
      <c r="P162" s="153"/>
      <c r="Q162" s="153"/>
      <c r="R162" s="153"/>
      <c r="S162" s="159"/>
      <c r="T162" s="153"/>
      <c r="U162" s="153"/>
      <c r="V162" s="153"/>
      <c r="W162" s="153"/>
      <c r="X162" s="153"/>
      <c r="Y162" s="153"/>
      <c r="Z162" s="153"/>
      <c r="AA162" s="159"/>
      <c r="AB162" s="153"/>
      <c r="AC162" s="153"/>
      <c r="AD162" s="153"/>
      <c r="AE162" s="153"/>
      <c r="AF162" s="153"/>
      <c r="AG162" s="153"/>
      <c r="AH162" s="153"/>
      <c r="AI162" s="159"/>
      <c r="AJ162" s="153"/>
      <c r="AK162" s="153"/>
      <c r="AL162" s="153"/>
      <c r="AM162" s="153"/>
      <c r="AN162" s="153"/>
      <c r="AO162" s="153"/>
      <c r="AP162" s="169"/>
      <c r="AQ162" s="158"/>
      <c r="AR162" s="152"/>
      <c r="AS162" s="152"/>
      <c r="AT162" s="152"/>
      <c r="AU162" s="152"/>
      <c r="AV162" s="152"/>
      <c r="AW162" s="152"/>
      <c r="AX162" s="152"/>
      <c r="AY162" s="158"/>
      <c r="AZ162" s="180">
        <v>10046313</v>
      </c>
      <c r="BA162" s="179" t="s">
        <v>520</v>
      </c>
      <c r="BB162" s="126">
        <v>1</v>
      </c>
      <c r="BC162" s="126" t="s">
        <v>521</v>
      </c>
      <c r="BD162" s="179" t="s">
        <v>522</v>
      </c>
      <c r="BE162" s="179" t="s">
        <v>523</v>
      </c>
      <c r="BF162" s="179"/>
      <c r="BG162" s="179"/>
    </row>
    <row r="163" spans="1:59">
      <c r="A163" s="127">
        <f t="shared" si="14"/>
        <v>1</v>
      </c>
      <c r="B163" s="150" t="str">
        <f t="shared" si="15"/>
        <v>1/1</v>
      </c>
      <c r="C163" s="151"/>
      <c r="D163" s="153"/>
      <c r="E163" s="153"/>
      <c r="F163" s="153"/>
      <c r="G163" s="153"/>
      <c r="H163" s="153"/>
      <c r="I163" s="153"/>
      <c r="J163" s="153"/>
      <c r="K163" s="159"/>
      <c r="L163" s="153"/>
      <c r="M163" s="153" t="s">
        <v>9</v>
      </c>
      <c r="N163" s="153"/>
      <c r="O163" s="153"/>
      <c r="P163" s="153"/>
      <c r="Q163" s="153"/>
      <c r="R163" s="153"/>
      <c r="S163" s="159"/>
      <c r="T163" s="153"/>
      <c r="U163" s="153"/>
      <c r="V163" s="153"/>
      <c r="W163" s="153"/>
      <c r="X163" s="153"/>
      <c r="Y163" s="153"/>
      <c r="Z163" s="153"/>
      <c r="AA163" s="159"/>
      <c r="AB163" s="153"/>
      <c r="AC163" s="153"/>
      <c r="AD163" s="153"/>
      <c r="AE163" s="153"/>
      <c r="AF163" s="153"/>
      <c r="AG163" s="153"/>
      <c r="AH163" s="153"/>
      <c r="AI163" s="159"/>
      <c r="AJ163" s="153"/>
      <c r="AK163" s="153"/>
      <c r="AL163" s="153"/>
      <c r="AM163" s="153"/>
      <c r="AN163" s="153"/>
      <c r="AO163" s="153"/>
      <c r="AP163" s="169"/>
      <c r="AQ163" s="158"/>
      <c r="AR163" s="152"/>
      <c r="AS163" s="152"/>
      <c r="AT163" s="152"/>
      <c r="AU163" s="152"/>
      <c r="AV163" s="152"/>
      <c r="AW163" s="152"/>
      <c r="AX163" s="152"/>
      <c r="AY163" s="158"/>
      <c r="AZ163" s="180">
        <v>10043288</v>
      </c>
      <c r="BA163" s="179" t="s">
        <v>524</v>
      </c>
      <c r="BB163" s="126">
        <v>1</v>
      </c>
      <c r="BC163" s="126" t="s">
        <v>525</v>
      </c>
      <c r="BD163" s="179" t="s">
        <v>526</v>
      </c>
      <c r="BE163" s="179" t="s">
        <v>527</v>
      </c>
      <c r="BF163" s="179"/>
      <c r="BG163" s="179"/>
    </row>
    <row r="164" spans="1:59">
      <c r="A164" s="127">
        <f t="shared" si="14"/>
        <v>1</v>
      </c>
      <c r="B164" s="150" t="str">
        <f t="shared" si="15"/>
        <v>1/1</v>
      </c>
      <c r="C164" s="151"/>
      <c r="D164" s="153"/>
      <c r="E164" s="153"/>
      <c r="F164" s="153"/>
      <c r="G164" s="153"/>
      <c r="H164" s="153"/>
      <c r="I164" s="153"/>
      <c r="J164" s="153"/>
      <c r="K164" s="159"/>
      <c r="L164" s="153"/>
      <c r="M164" s="153" t="s">
        <v>9</v>
      </c>
      <c r="N164" s="153"/>
      <c r="O164" s="153"/>
      <c r="P164" s="153"/>
      <c r="Q164" s="153"/>
      <c r="R164" s="153"/>
      <c r="S164" s="159"/>
      <c r="T164" s="153"/>
      <c r="U164" s="153"/>
      <c r="V164" s="153"/>
      <c r="W164" s="153"/>
      <c r="X164" s="153"/>
      <c r="Y164" s="153"/>
      <c r="Z164" s="153"/>
      <c r="AA164" s="159"/>
      <c r="AB164" s="153"/>
      <c r="AC164" s="153"/>
      <c r="AD164" s="153"/>
      <c r="AE164" s="153"/>
      <c r="AF164" s="153"/>
      <c r="AG164" s="153"/>
      <c r="AH164" s="153"/>
      <c r="AI164" s="159"/>
      <c r="AJ164" s="153"/>
      <c r="AK164" s="153"/>
      <c r="AL164" s="153"/>
      <c r="AM164" s="153"/>
      <c r="AN164" s="153"/>
      <c r="AO164" s="153"/>
      <c r="AP164" s="169"/>
      <c r="AQ164" s="158"/>
      <c r="AR164" s="152"/>
      <c r="AS164" s="152"/>
      <c r="AT164" s="152"/>
      <c r="AU164" s="152"/>
      <c r="AV164" s="152"/>
      <c r="AW164" s="152"/>
      <c r="AX164" s="152"/>
      <c r="AY164" s="158"/>
      <c r="AZ164" s="180">
        <v>10045072</v>
      </c>
      <c r="BA164" s="179" t="s">
        <v>528</v>
      </c>
      <c r="BB164" s="126">
        <v>1</v>
      </c>
      <c r="BC164" s="126" t="s">
        <v>525</v>
      </c>
      <c r="BD164" s="179" t="s">
        <v>529</v>
      </c>
      <c r="BE164" s="179" t="s">
        <v>527</v>
      </c>
      <c r="BF164" s="179"/>
      <c r="BG164" s="179"/>
    </row>
    <row r="165" spans="1:59">
      <c r="A165" s="127">
        <f t="shared" si="14"/>
        <v>1</v>
      </c>
      <c r="B165" s="150" t="str">
        <f t="shared" si="15"/>
        <v>1/1</v>
      </c>
      <c r="C165" s="151"/>
      <c r="D165" s="153"/>
      <c r="E165" s="153"/>
      <c r="F165" s="153"/>
      <c r="G165" s="153"/>
      <c r="H165" s="153"/>
      <c r="I165" s="153"/>
      <c r="J165" s="153"/>
      <c r="K165" s="159"/>
      <c r="L165" s="153"/>
      <c r="M165" s="153" t="s">
        <v>9</v>
      </c>
      <c r="N165" s="153"/>
      <c r="O165" s="153"/>
      <c r="P165" s="153"/>
      <c r="Q165" s="153"/>
      <c r="R165" s="153"/>
      <c r="S165" s="159"/>
      <c r="T165" s="153"/>
      <c r="U165" s="153"/>
      <c r="V165" s="153"/>
      <c r="W165" s="153"/>
      <c r="X165" s="153"/>
      <c r="Y165" s="153"/>
      <c r="Z165" s="153"/>
      <c r="AA165" s="159"/>
      <c r="AB165" s="153"/>
      <c r="AC165" s="153"/>
      <c r="AD165" s="153"/>
      <c r="AE165" s="153"/>
      <c r="AF165" s="153"/>
      <c r="AG165" s="153"/>
      <c r="AH165" s="153"/>
      <c r="AI165" s="159"/>
      <c r="AJ165" s="153"/>
      <c r="AK165" s="153"/>
      <c r="AL165" s="153"/>
      <c r="AM165" s="153"/>
      <c r="AN165" s="153"/>
      <c r="AO165" s="153"/>
      <c r="AP165" s="169"/>
      <c r="AQ165" s="158"/>
      <c r="AR165" s="152"/>
      <c r="AS165" s="152"/>
      <c r="AT165" s="152"/>
      <c r="AU165" s="152"/>
      <c r="AV165" s="152"/>
      <c r="AW165" s="152"/>
      <c r="AX165" s="152"/>
      <c r="AY165" s="158"/>
      <c r="AZ165" s="180">
        <v>10015749</v>
      </c>
      <c r="BA165" s="179" t="s">
        <v>530</v>
      </c>
      <c r="BB165" s="126">
        <v>1</v>
      </c>
      <c r="BC165" s="126" t="s">
        <v>531</v>
      </c>
      <c r="BD165" s="179" t="s">
        <v>532</v>
      </c>
      <c r="BE165" s="179" t="s">
        <v>533</v>
      </c>
      <c r="BF165" s="179"/>
      <c r="BG165" s="179"/>
    </row>
    <row r="166" spans="1:59">
      <c r="A166" s="127">
        <f t="shared" si="14"/>
        <v>1</v>
      </c>
      <c r="B166" s="150" t="str">
        <f t="shared" si="15"/>
        <v>1/1</v>
      </c>
      <c r="C166" s="151"/>
      <c r="D166" s="153"/>
      <c r="E166" s="153"/>
      <c r="F166" s="153"/>
      <c r="G166" s="153"/>
      <c r="H166" s="153"/>
      <c r="I166" s="153"/>
      <c r="J166" s="153"/>
      <c r="K166" s="159"/>
      <c r="L166" s="153"/>
      <c r="M166" s="153" t="s">
        <v>9</v>
      </c>
      <c r="N166" s="153"/>
      <c r="O166" s="153"/>
      <c r="P166" s="153"/>
      <c r="Q166" s="153"/>
      <c r="R166" s="153"/>
      <c r="S166" s="159"/>
      <c r="T166" s="153"/>
      <c r="U166" s="153"/>
      <c r="V166" s="153"/>
      <c r="W166" s="153"/>
      <c r="X166" s="153"/>
      <c r="Y166" s="153"/>
      <c r="Z166" s="153"/>
      <c r="AA166" s="159"/>
      <c r="AB166" s="153"/>
      <c r="AC166" s="153"/>
      <c r="AD166" s="153"/>
      <c r="AE166" s="153"/>
      <c r="AF166" s="153"/>
      <c r="AG166" s="153"/>
      <c r="AH166" s="153"/>
      <c r="AI166" s="159"/>
      <c r="AJ166" s="153"/>
      <c r="AK166" s="153"/>
      <c r="AL166" s="153"/>
      <c r="AM166" s="153"/>
      <c r="AN166" s="153"/>
      <c r="AO166" s="153"/>
      <c r="AP166" s="169"/>
      <c r="AQ166" s="158"/>
      <c r="AR166" s="152"/>
      <c r="AS166" s="152"/>
      <c r="AT166" s="152"/>
      <c r="AU166" s="152"/>
      <c r="AV166" s="152"/>
      <c r="AW166" s="152"/>
      <c r="AX166" s="152"/>
      <c r="AY166" s="158"/>
      <c r="AZ166" s="180">
        <v>10041296</v>
      </c>
      <c r="BA166" s="179" t="s">
        <v>534</v>
      </c>
      <c r="BB166" s="126">
        <v>1</v>
      </c>
      <c r="BC166" s="126" t="s">
        <v>535</v>
      </c>
      <c r="BD166" s="179" t="s">
        <v>227</v>
      </c>
      <c r="BE166" s="179" t="s">
        <v>536</v>
      </c>
      <c r="BF166" s="179"/>
      <c r="BG166" s="179"/>
    </row>
    <row r="167" spans="1:59">
      <c r="A167" s="127">
        <f t="shared" si="14"/>
        <v>1</v>
      </c>
      <c r="B167" s="150" t="str">
        <f t="shared" si="15"/>
        <v>2/2</v>
      </c>
      <c r="C167" s="151"/>
      <c r="D167" s="153"/>
      <c r="E167" s="153"/>
      <c r="F167" s="153"/>
      <c r="G167" s="153"/>
      <c r="H167" s="153"/>
      <c r="I167" s="153"/>
      <c r="J167" s="153"/>
      <c r="K167" s="159"/>
      <c r="L167" s="153"/>
      <c r="M167" s="153"/>
      <c r="N167" s="153" t="s">
        <v>9</v>
      </c>
      <c r="O167" s="153"/>
      <c r="P167" s="153"/>
      <c r="Q167" s="153"/>
      <c r="R167" s="153"/>
      <c r="S167" s="159"/>
      <c r="T167" s="153"/>
      <c r="U167" s="153"/>
      <c r="V167" s="153"/>
      <c r="W167" s="153"/>
      <c r="X167" s="153"/>
      <c r="Y167" s="153"/>
      <c r="Z167" s="153"/>
      <c r="AA167" s="159"/>
      <c r="AB167" s="153"/>
      <c r="AC167" s="153"/>
      <c r="AD167" s="153"/>
      <c r="AE167" s="153"/>
      <c r="AF167" s="153"/>
      <c r="AG167" s="153"/>
      <c r="AH167" s="153"/>
      <c r="AI167" s="159"/>
      <c r="AJ167" s="153"/>
      <c r="AK167" s="153" t="s">
        <v>9</v>
      </c>
      <c r="AL167" s="153"/>
      <c r="AM167" s="153"/>
      <c r="AN167" s="153"/>
      <c r="AO167" s="153"/>
      <c r="AP167" s="169"/>
      <c r="AQ167" s="158"/>
      <c r="AR167" s="152"/>
      <c r="AS167" s="152"/>
      <c r="AT167" s="152"/>
      <c r="AU167" s="152"/>
      <c r="AV167" s="152"/>
      <c r="AW167" s="152"/>
      <c r="AX167" s="152"/>
      <c r="AY167" s="158"/>
      <c r="AZ167" s="180">
        <v>10043248</v>
      </c>
      <c r="BA167" s="179" t="s">
        <v>537</v>
      </c>
      <c r="BB167" s="126">
        <v>2</v>
      </c>
      <c r="BC167" s="126" t="s">
        <v>538</v>
      </c>
      <c r="BD167" s="179" t="s">
        <v>539</v>
      </c>
      <c r="BE167" s="179" t="s">
        <v>540</v>
      </c>
      <c r="BF167" s="179"/>
      <c r="BG167" s="179"/>
    </row>
    <row r="168" spans="1:59">
      <c r="A168" s="127">
        <f t="shared" si="14"/>
        <v>1</v>
      </c>
      <c r="B168" s="150" t="str">
        <f t="shared" si="15"/>
        <v>1/1</v>
      </c>
      <c r="C168" s="151"/>
      <c r="D168" s="153"/>
      <c r="E168" s="153"/>
      <c r="F168" s="153"/>
      <c r="G168" s="153"/>
      <c r="H168" s="153"/>
      <c r="I168" s="153"/>
      <c r="J168" s="153"/>
      <c r="K168" s="159"/>
      <c r="L168" s="153"/>
      <c r="M168" s="153"/>
      <c r="N168" s="153" t="s">
        <v>9</v>
      </c>
      <c r="O168" s="153"/>
      <c r="P168" s="153"/>
      <c r="Q168" s="153"/>
      <c r="R168" s="153"/>
      <c r="S168" s="159"/>
      <c r="T168" s="153"/>
      <c r="U168" s="153"/>
      <c r="V168" s="153"/>
      <c r="W168" s="153"/>
      <c r="X168" s="153"/>
      <c r="Y168" s="153"/>
      <c r="Z168" s="153"/>
      <c r="AA168" s="159"/>
      <c r="AB168" s="153"/>
      <c r="AC168" s="153"/>
      <c r="AD168" s="153"/>
      <c r="AE168" s="153"/>
      <c r="AF168" s="153"/>
      <c r="AG168" s="153"/>
      <c r="AH168" s="153"/>
      <c r="AI168" s="159"/>
      <c r="AJ168" s="153"/>
      <c r="AK168" s="153"/>
      <c r="AL168" s="153"/>
      <c r="AM168" s="153"/>
      <c r="AN168" s="153"/>
      <c r="AO168" s="153"/>
      <c r="AP168" s="169"/>
      <c r="AQ168" s="158"/>
      <c r="AR168" s="152"/>
      <c r="AS168" s="152"/>
      <c r="AT168" s="152"/>
      <c r="AU168" s="152"/>
      <c r="AV168" s="152"/>
      <c r="AW168" s="152"/>
      <c r="AX168" s="152"/>
      <c r="AY168" s="158"/>
      <c r="AZ168" s="180">
        <v>10009719</v>
      </c>
      <c r="BA168" s="179" t="s">
        <v>541</v>
      </c>
      <c r="BB168" s="126">
        <v>1</v>
      </c>
      <c r="BC168" s="126" t="s">
        <v>542</v>
      </c>
      <c r="BD168" s="179" t="s">
        <v>543</v>
      </c>
      <c r="BE168" s="179" t="s">
        <v>544</v>
      </c>
      <c r="BF168" s="179"/>
      <c r="BG168" s="179"/>
    </row>
    <row r="169" spans="1:59">
      <c r="A169" s="127">
        <f t="shared" si="14"/>
        <v>1</v>
      </c>
      <c r="B169" s="150" t="str">
        <f t="shared" si="15"/>
        <v>1/1</v>
      </c>
      <c r="C169" s="151"/>
      <c r="D169" s="153"/>
      <c r="E169" s="153"/>
      <c r="F169" s="153"/>
      <c r="G169" s="153"/>
      <c r="H169" s="153"/>
      <c r="I169" s="153"/>
      <c r="J169" s="153"/>
      <c r="K169" s="159"/>
      <c r="L169" s="153"/>
      <c r="M169" s="153"/>
      <c r="N169" s="153" t="s">
        <v>9</v>
      </c>
      <c r="O169" s="153"/>
      <c r="P169" s="153"/>
      <c r="Q169" s="153"/>
      <c r="R169" s="153"/>
      <c r="S169" s="159"/>
      <c r="T169" s="153"/>
      <c r="U169" s="153"/>
      <c r="V169" s="153"/>
      <c r="W169" s="153"/>
      <c r="X169" s="153"/>
      <c r="Y169" s="153"/>
      <c r="Z169" s="153"/>
      <c r="AA169" s="159"/>
      <c r="AB169" s="153"/>
      <c r="AC169" s="153"/>
      <c r="AD169" s="153"/>
      <c r="AE169" s="153"/>
      <c r="AF169" s="153"/>
      <c r="AG169" s="153"/>
      <c r="AH169" s="153"/>
      <c r="AI169" s="159"/>
      <c r="AJ169" s="153"/>
      <c r="AK169" s="153"/>
      <c r="AL169" s="153"/>
      <c r="AM169" s="153"/>
      <c r="AN169" s="153"/>
      <c r="AO169" s="153"/>
      <c r="AP169" s="169"/>
      <c r="AQ169" s="158"/>
      <c r="AR169" s="152"/>
      <c r="AS169" s="152"/>
      <c r="AT169" s="152"/>
      <c r="AU169" s="152"/>
      <c r="AV169" s="152"/>
      <c r="AW169" s="152"/>
      <c r="AX169" s="152"/>
      <c r="AY169" s="158"/>
      <c r="AZ169" s="180">
        <v>10009720</v>
      </c>
      <c r="BA169" s="179" t="s">
        <v>545</v>
      </c>
      <c r="BB169" s="126">
        <v>1</v>
      </c>
      <c r="BC169" s="126" t="s">
        <v>546</v>
      </c>
      <c r="BD169" s="179" t="s">
        <v>547</v>
      </c>
      <c r="BE169" s="179" t="s">
        <v>548</v>
      </c>
      <c r="BF169" s="179"/>
      <c r="BG169" s="179"/>
    </row>
    <row r="170" spans="1:59">
      <c r="A170" s="127">
        <f t="shared" si="14"/>
        <v>1</v>
      </c>
      <c r="B170" s="150" t="str">
        <f t="shared" si="15"/>
        <v>1/1</v>
      </c>
      <c r="C170" s="151"/>
      <c r="D170" s="153"/>
      <c r="E170" s="153"/>
      <c r="F170" s="153"/>
      <c r="G170" s="153"/>
      <c r="H170" s="153"/>
      <c r="I170" s="153"/>
      <c r="J170" s="153"/>
      <c r="K170" s="159"/>
      <c r="L170" s="153"/>
      <c r="M170" s="153"/>
      <c r="N170" s="153" t="s">
        <v>9</v>
      </c>
      <c r="O170" s="153"/>
      <c r="P170" s="153"/>
      <c r="Q170" s="153"/>
      <c r="R170" s="153"/>
      <c r="S170" s="159"/>
      <c r="T170" s="153"/>
      <c r="U170" s="153"/>
      <c r="V170" s="153"/>
      <c r="W170" s="153"/>
      <c r="X170" s="153"/>
      <c r="Y170" s="153"/>
      <c r="Z170" s="153"/>
      <c r="AA170" s="159"/>
      <c r="AB170" s="153"/>
      <c r="AC170" s="153"/>
      <c r="AD170" s="153"/>
      <c r="AE170" s="153"/>
      <c r="AF170" s="153"/>
      <c r="AG170" s="153"/>
      <c r="AH170" s="153"/>
      <c r="AI170" s="159"/>
      <c r="AJ170" s="153"/>
      <c r="AK170" s="153"/>
      <c r="AL170" s="153"/>
      <c r="AM170" s="153"/>
      <c r="AN170" s="153"/>
      <c r="AO170" s="153"/>
      <c r="AP170" s="169"/>
      <c r="AQ170" s="158"/>
      <c r="AR170" s="152"/>
      <c r="AS170" s="152"/>
      <c r="AT170" s="152"/>
      <c r="AU170" s="152"/>
      <c r="AV170" s="152"/>
      <c r="AW170" s="152"/>
      <c r="AX170" s="152"/>
      <c r="AY170" s="158"/>
      <c r="AZ170" s="180">
        <v>10009721</v>
      </c>
      <c r="BA170" s="179" t="s">
        <v>549</v>
      </c>
      <c r="BB170" s="126">
        <v>1</v>
      </c>
      <c r="BC170" s="126" t="s">
        <v>550</v>
      </c>
      <c r="BD170" s="179" t="s">
        <v>264</v>
      </c>
      <c r="BE170" s="179" t="s">
        <v>551</v>
      </c>
      <c r="BF170" s="179"/>
      <c r="BG170" s="179"/>
    </row>
    <row r="171" spans="1:59">
      <c r="A171" s="127">
        <f t="shared" si="14"/>
        <v>1</v>
      </c>
      <c r="B171" s="150" t="str">
        <f t="shared" si="15"/>
        <v>1/1</v>
      </c>
      <c r="C171" s="151"/>
      <c r="D171" s="153"/>
      <c r="E171" s="153"/>
      <c r="F171" s="153"/>
      <c r="G171" s="153"/>
      <c r="H171" s="153"/>
      <c r="I171" s="153"/>
      <c r="J171" s="153"/>
      <c r="K171" s="159"/>
      <c r="L171" s="153"/>
      <c r="M171" s="153"/>
      <c r="N171" s="153"/>
      <c r="O171" s="153"/>
      <c r="P171" s="153"/>
      <c r="Q171" s="153"/>
      <c r="R171" s="153"/>
      <c r="S171" s="159"/>
      <c r="T171" s="153"/>
      <c r="U171" s="153"/>
      <c r="V171" s="153"/>
      <c r="W171" s="153"/>
      <c r="X171" s="153"/>
      <c r="Y171" s="153"/>
      <c r="Z171" s="153"/>
      <c r="AA171" s="159"/>
      <c r="AB171" s="153"/>
      <c r="AC171" s="153"/>
      <c r="AD171" s="153"/>
      <c r="AE171" s="153"/>
      <c r="AF171" s="153"/>
      <c r="AG171" s="153"/>
      <c r="AH171" s="153"/>
      <c r="AI171" s="159"/>
      <c r="AJ171" s="153"/>
      <c r="AK171" s="153" t="s">
        <v>9</v>
      </c>
      <c r="AL171" s="153"/>
      <c r="AM171" s="153"/>
      <c r="AN171" s="153"/>
      <c r="AO171" s="153"/>
      <c r="AP171" s="169"/>
      <c r="AQ171" s="158"/>
      <c r="AR171" s="152"/>
      <c r="AS171" s="152"/>
      <c r="AT171" s="152"/>
      <c r="AU171" s="152"/>
      <c r="AV171" s="152"/>
      <c r="AW171" s="152"/>
      <c r="AX171" s="152"/>
      <c r="AY171" s="158"/>
      <c r="AZ171" s="180">
        <v>10042190</v>
      </c>
      <c r="BA171" s="179" t="s">
        <v>552</v>
      </c>
      <c r="BB171" s="126">
        <v>1</v>
      </c>
      <c r="BC171" s="126" t="s">
        <v>553</v>
      </c>
      <c r="BD171" s="179" t="s">
        <v>554</v>
      </c>
      <c r="BE171" s="179" t="s">
        <v>555</v>
      </c>
      <c r="BF171" s="179"/>
      <c r="BG171" s="179"/>
    </row>
    <row r="172" spans="1:59">
      <c r="A172" s="127">
        <f t="shared" si="14"/>
        <v>1</v>
      </c>
      <c r="B172" s="150" t="str">
        <f t="shared" si="15"/>
        <v>1/1</v>
      </c>
      <c r="C172" s="151"/>
      <c r="D172" s="153"/>
      <c r="E172" s="153"/>
      <c r="F172" s="153"/>
      <c r="G172" s="153"/>
      <c r="H172" s="153"/>
      <c r="I172" s="153"/>
      <c r="J172" s="153"/>
      <c r="K172" s="159"/>
      <c r="L172" s="153"/>
      <c r="M172" s="153"/>
      <c r="N172" s="153"/>
      <c r="O172" s="153"/>
      <c r="P172" s="153"/>
      <c r="Q172" s="153"/>
      <c r="R172" s="153"/>
      <c r="S172" s="159"/>
      <c r="T172" s="153"/>
      <c r="U172" s="153"/>
      <c r="V172" s="153"/>
      <c r="W172" s="153"/>
      <c r="X172" s="153"/>
      <c r="Y172" s="153"/>
      <c r="Z172" s="153"/>
      <c r="AA172" s="159"/>
      <c r="AB172" s="153"/>
      <c r="AC172" s="153"/>
      <c r="AD172" s="153"/>
      <c r="AE172" s="153"/>
      <c r="AF172" s="153"/>
      <c r="AG172" s="153"/>
      <c r="AH172" s="153"/>
      <c r="AI172" s="159"/>
      <c r="AJ172" s="153"/>
      <c r="AK172" s="153" t="s">
        <v>9</v>
      </c>
      <c r="AL172" s="153"/>
      <c r="AM172" s="153"/>
      <c r="AN172" s="153"/>
      <c r="AO172" s="153"/>
      <c r="AP172" s="169"/>
      <c r="AQ172" s="158"/>
      <c r="AR172" s="152"/>
      <c r="AS172" s="152"/>
      <c r="AT172" s="152"/>
      <c r="AU172" s="152"/>
      <c r="AV172" s="152"/>
      <c r="AW172" s="152"/>
      <c r="AX172" s="152"/>
      <c r="AY172" s="158"/>
      <c r="AZ172" s="180">
        <v>10044242</v>
      </c>
      <c r="BA172" s="179" t="s">
        <v>556</v>
      </c>
      <c r="BB172" s="126">
        <v>1</v>
      </c>
      <c r="BC172" s="126" t="s">
        <v>553</v>
      </c>
      <c r="BD172" s="179" t="s">
        <v>557</v>
      </c>
      <c r="BE172" s="179" t="s">
        <v>555</v>
      </c>
      <c r="BF172" s="179"/>
      <c r="BG172" s="179"/>
    </row>
    <row r="173" spans="1:59">
      <c r="A173" s="127">
        <f t="shared" si="14"/>
        <v>1</v>
      </c>
      <c r="B173" s="150" t="str">
        <f t="shared" si="15"/>
        <v>1/1</v>
      </c>
      <c r="C173" s="151"/>
      <c r="D173" s="153"/>
      <c r="E173" s="153"/>
      <c r="F173" s="153"/>
      <c r="G173" s="153"/>
      <c r="H173" s="153"/>
      <c r="I173" s="153"/>
      <c r="J173" s="153"/>
      <c r="K173" s="159"/>
      <c r="L173" s="153"/>
      <c r="M173" s="153"/>
      <c r="N173" s="153"/>
      <c r="O173" s="153"/>
      <c r="P173" s="153"/>
      <c r="Q173" s="153"/>
      <c r="R173" s="153"/>
      <c r="S173" s="159"/>
      <c r="T173" s="153"/>
      <c r="U173" s="153"/>
      <c r="V173" s="153"/>
      <c r="W173" s="153"/>
      <c r="X173" s="153"/>
      <c r="Y173" s="153"/>
      <c r="Z173" s="153"/>
      <c r="AA173" s="159"/>
      <c r="AB173" s="153"/>
      <c r="AC173" s="153"/>
      <c r="AD173" s="153"/>
      <c r="AE173" s="153"/>
      <c r="AF173" s="153"/>
      <c r="AG173" s="153"/>
      <c r="AH173" s="153"/>
      <c r="AI173" s="159"/>
      <c r="AJ173" s="153"/>
      <c r="AK173" s="153"/>
      <c r="AL173" s="153" t="s">
        <v>9</v>
      </c>
      <c r="AM173" s="153"/>
      <c r="AN173" s="153"/>
      <c r="AO173" s="153"/>
      <c r="AP173" s="169"/>
      <c r="AQ173" s="158"/>
      <c r="AR173" s="152"/>
      <c r="AS173" s="152"/>
      <c r="AT173" s="152"/>
      <c r="AU173" s="152"/>
      <c r="AV173" s="152"/>
      <c r="AW173" s="152"/>
      <c r="AX173" s="152"/>
      <c r="AY173" s="158"/>
      <c r="AZ173" s="180">
        <v>10038120</v>
      </c>
      <c r="BA173" s="179" t="s">
        <v>558</v>
      </c>
      <c r="BB173" s="126">
        <v>1</v>
      </c>
      <c r="BC173" s="126" t="s">
        <v>559</v>
      </c>
      <c r="BD173" s="179" t="s">
        <v>529</v>
      </c>
      <c r="BE173" s="179" t="s">
        <v>560</v>
      </c>
      <c r="BF173" s="179"/>
      <c r="BG173" s="179"/>
    </row>
    <row r="174" spans="2:59">
      <c r="B174" s="150" t="str">
        <f t="shared" si="15"/>
        <v>1/1</v>
      </c>
      <c r="C174" s="151"/>
      <c r="D174" s="153"/>
      <c r="E174" s="153"/>
      <c r="F174" s="153"/>
      <c r="G174" s="153"/>
      <c r="H174" s="153"/>
      <c r="I174" s="153"/>
      <c r="J174" s="153"/>
      <c r="K174" s="159"/>
      <c r="L174" s="153"/>
      <c r="M174" s="153"/>
      <c r="N174" s="153"/>
      <c r="O174" s="153"/>
      <c r="P174" s="153"/>
      <c r="Q174" s="153"/>
      <c r="R174" s="153"/>
      <c r="S174" s="159"/>
      <c r="T174" s="153"/>
      <c r="U174" s="153"/>
      <c r="V174" s="153"/>
      <c r="W174" s="153"/>
      <c r="X174" s="153"/>
      <c r="Y174" s="153"/>
      <c r="Z174" s="153"/>
      <c r="AA174" s="159"/>
      <c r="AB174" s="153"/>
      <c r="AC174" s="153"/>
      <c r="AD174" s="153"/>
      <c r="AE174" s="153"/>
      <c r="AF174" s="153"/>
      <c r="AG174" s="153"/>
      <c r="AH174" s="153"/>
      <c r="AI174" s="159"/>
      <c r="AJ174" s="153"/>
      <c r="AK174" s="153"/>
      <c r="AL174" s="153"/>
      <c r="AM174" s="153"/>
      <c r="AN174" s="153" t="s">
        <v>9</v>
      </c>
      <c r="AO174" s="153"/>
      <c r="AP174" s="169"/>
      <c r="AQ174" s="158"/>
      <c r="AR174" s="152"/>
      <c r="AS174" s="152"/>
      <c r="AT174" s="152"/>
      <c r="AU174" s="152"/>
      <c r="AV174" s="152"/>
      <c r="AW174" s="152"/>
      <c r="AX174" s="152"/>
      <c r="AY174" s="158"/>
      <c r="AZ174" s="180">
        <v>10017344</v>
      </c>
      <c r="BA174" s="179" t="s">
        <v>561</v>
      </c>
      <c r="BB174" s="126">
        <v>1</v>
      </c>
      <c r="BC174" s="126" t="s">
        <v>562</v>
      </c>
      <c r="BD174" s="179" t="s">
        <v>268</v>
      </c>
      <c r="BE174" s="179" t="s">
        <v>563</v>
      </c>
      <c r="BF174" s="179"/>
      <c r="BG174" s="179"/>
    </row>
    <row r="175" spans="2:59">
      <c r="B175" s="150" t="str">
        <f t="shared" si="15"/>
        <v>1/1</v>
      </c>
      <c r="C175" s="151"/>
      <c r="D175" s="153"/>
      <c r="E175" s="153"/>
      <c r="F175" s="153"/>
      <c r="G175" s="153"/>
      <c r="H175" s="153"/>
      <c r="I175" s="153"/>
      <c r="J175" s="153"/>
      <c r="K175" s="159"/>
      <c r="L175" s="153"/>
      <c r="M175" s="153"/>
      <c r="N175" s="153"/>
      <c r="O175" s="153"/>
      <c r="P175" s="153"/>
      <c r="Q175" s="153"/>
      <c r="R175" s="153"/>
      <c r="S175" s="159"/>
      <c r="T175" s="153"/>
      <c r="U175" s="153"/>
      <c r="V175" s="153"/>
      <c r="W175" s="153"/>
      <c r="X175" s="153"/>
      <c r="Y175" s="153"/>
      <c r="Z175" s="153"/>
      <c r="AA175" s="159"/>
      <c r="AB175" s="153"/>
      <c r="AC175" s="153"/>
      <c r="AD175" s="153"/>
      <c r="AE175" s="153"/>
      <c r="AF175" s="153" t="s">
        <v>9</v>
      </c>
      <c r="AG175" s="153"/>
      <c r="AH175" s="153"/>
      <c r="AI175" s="159"/>
      <c r="AJ175" s="153"/>
      <c r="AK175" s="153"/>
      <c r="AL175" s="153"/>
      <c r="AM175" s="153"/>
      <c r="AN175" s="153"/>
      <c r="AO175" s="153"/>
      <c r="AP175" s="169"/>
      <c r="AQ175" s="158"/>
      <c r="AR175" s="152"/>
      <c r="AS175" s="152"/>
      <c r="AT175" s="152"/>
      <c r="AU175" s="152"/>
      <c r="AV175" s="152"/>
      <c r="AW175" s="152"/>
      <c r="AX175" s="152"/>
      <c r="AY175" s="158"/>
      <c r="AZ175" s="180">
        <v>10018337</v>
      </c>
      <c r="BA175" s="179" t="s">
        <v>564</v>
      </c>
      <c r="BB175" s="126">
        <v>1</v>
      </c>
      <c r="BC175" s="126" t="s">
        <v>565</v>
      </c>
      <c r="BD175" s="179" t="s">
        <v>566</v>
      </c>
      <c r="BE175" s="179" t="s">
        <v>567</v>
      </c>
      <c r="BF175" s="179"/>
      <c r="BG175" s="179"/>
    </row>
    <row r="176" spans="2:59">
      <c r="B176" s="150" t="str">
        <f t="shared" si="15"/>
        <v>1/1</v>
      </c>
      <c r="C176" s="151"/>
      <c r="D176" s="153"/>
      <c r="E176" s="153"/>
      <c r="F176" s="153"/>
      <c r="G176" s="153"/>
      <c r="H176" s="153"/>
      <c r="I176" s="153"/>
      <c r="J176" s="153"/>
      <c r="K176" s="159"/>
      <c r="L176" s="153"/>
      <c r="M176" s="153"/>
      <c r="N176" s="153"/>
      <c r="O176" s="153"/>
      <c r="P176" s="153"/>
      <c r="Q176" s="153"/>
      <c r="R176" s="153"/>
      <c r="S176" s="159"/>
      <c r="T176" s="153"/>
      <c r="U176" s="153"/>
      <c r="V176" s="153"/>
      <c r="W176" s="153"/>
      <c r="X176" s="153"/>
      <c r="Y176" s="153"/>
      <c r="Z176" s="153"/>
      <c r="AA176" s="159"/>
      <c r="AB176" s="153"/>
      <c r="AC176" s="153"/>
      <c r="AD176" s="153"/>
      <c r="AE176" s="153"/>
      <c r="AF176" s="153"/>
      <c r="AG176" s="153"/>
      <c r="AH176" s="153"/>
      <c r="AI176" s="159"/>
      <c r="AJ176" s="153"/>
      <c r="AK176" s="153"/>
      <c r="AL176" s="153"/>
      <c r="AM176" s="153"/>
      <c r="AN176" s="153" t="s">
        <v>9</v>
      </c>
      <c r="AO176" s="153"/>
      <c r="AP176" s="169"/>
      <c r="AQ176" s="158"/>
      <c r="AR176" s="152"/>
      <c r="AS176" s="152"/>
      <c r="AT176" s="152"/>
      <c r="AU176" s="152"/>
      <c r="AV176" s="152"/>
      <c r="AW176" s="152"/>
      <c r="AX176" s="152"/>
      <c r="AY176" s="158"/>
      <c r="AZ176" s="180">
        <v>10027042</v>
      </c>
      <c r="BA176" s="179" t="s">
        <v>568</v>
      </c>
      <c r="BB176" s="126">
        <v>1</v>
      </c>
      <c r="BC176" s="126" t="s">
        <v>565</v>
      </c>
      <c r="BD176" s="179" t="s">
        <v>569</v>
      </c>
      <c r="BE176" s="179" t="s">
        <v>567</v>
      </c>
      <c r="BF176" s="179"/>
      <c r="BG176" s="179"/>
    </row>
    <row r="177" spans="2:59">
      <c r="B177" s="150" t="str">
        <f t="shared" si="15"/>
        <v>1/1</v>
      </c>
      <c r="C177" s="151"/>
      <c r="D177" s="153"/>
      <c r="E177" s="153"/>
      <c r="F177" s="153"/>
      <c r="G177" s="153"/>
      <c r="H177" s="153"/>
      <c r="I177" s="153"/>
      <c r="J177" s="153"/>
      <c r="K177" s="159"/>
      <c r="L177" s="153"/>
      <c r="M177" s="153"/>
      <c r="N177" s="153"/>
      <c r="O177" s="153"/>
      <c r="P177" s="153"/>
      <c r="Q177" s="153"/>
      <c r="R177" s="153"/>
      <c r="S177" s="159"/>
      <c r="T177" s="153"/>
      <c r="U177" s="153"/>
      <c r="V177" s="153"/>
      <c r="W177" s="153"/>
      <c r="X177" s="153"/>
      <c r="Y177" s="153"/>
      <c r="Z177" s="153"/>
      <c r="AA177" s="159"/>
      <c r="AB177" s="153"/>
      <c r="AC177" s="153"/>
      <c r="AD177" s="153"/>
      <c r="AE177" s="153"/>
      <c r="AF177" s="153"/>
      <c r="AG177" s="153"/>
      <c r="AH177" s="153"/>
      <c r="AI177" s="159"/>
      <c r="AJ177" s="153"/>
      <c r="AK177" s="153"/>
      <c r="AL177" s="153"/>
      <c r="AM177" s="153"/>
      <c r="AN177" s="153" t="s">
        <v>9</v>
      </c>
      <c r="AO177" s="153"/>
      <c r="AP177" s="169"/>
      <c r="AQ177" s="158"/>
      <c r="AR177" s="152"/>
      <c r="AS177" s="152"/>
      <c r="AT177" s="152"/>
      <c r="AU177" s="152"/>
      <c r="AV177" s="152"/>
      <c r="AW177" s="152"/>
      <c r="AX177" s="152"/>
      <c r="AY177" s="158"/>
      <c r="AZ177" s="180">
        <v>10041392</v>
      </c>
      <c r="BA177" s="179" t="s">
        <v>570</v>
      </c>
      <c r="BB177" s="126">
        <v>1</v>
      </c>
      <c r="BC177" s="126" t="s">
        <v>571</v>
      </c>
      <c r="BD177" s="179" t="s">
        <v>572</v>
      </c>
      <c r="BE177" s="179" t="s">
        <v>573</v>
      </c>
      <c r="BF177" s="179"/>
      <c r="BG177" s="179"/>
    </row>
    <row r="178" spans="2:59">
      <c r="B178" s="150" t="str">
        <f t="shared" si="15"/>
        <v>1/1</v>
      </c>
      <c r="C178" s="151"/>
      <c r="D178" s="153"/>
      <c r="E178" s="153"/>
      <c r="F178" s="153"/>
      <c r="G178" s="153"/>
      <c r="H178" s="153"/>
      <c r="I178" s="153"/>
      <c r="J178" s="153"/>
      <c r="K178" s="159"/>
      <c r="L178" s="153"/>
      <c r="M178" s="153"/>
      <c r="N178" s="153"/>
      <c r="O178" s="153"/>
      <c r="P178" s="153"/>
      <c r="Q178" s="153"/>
      <c r="R178" s="153"/>
      <c r="S178" s="159"/>
      <c r="T178" s="153"/>
      <c r="U178" s="153"/>
      <c r="V178" s="153"/>
      <c r="W178" s="153"/>
      <c r="X178" s="153"/>
      <c r="Y178" s="153"/>
      <c r="Z178" s="153"/>
      <c r="AA178" s="159"/>
      <c r="AB178" s="153"/>
      <c r="AC178" s="153"/>
      <c r="AD178" s="153"/>
      <c r="AE178" s="153"/>
      <c r="AF178" s="153"/>
      <c r="AG178" s="153"/>
      <c r="AH178" s="153"/>
      <c r="AI178" s="159"/>
      <c r="AJ178" s="153"/>
      <c r="AK178" s="153"/>
      <c r="AL178" s="153"/>
      <c r="AM178" s="153" t="s">
        <v>9</v>
      </c>
      <c r="AN178" s="153"/>
      <c r="AO178" s="153"/>
      <c r="AP178" s="169"/>
      <c r="AQ178" s="158"/>
      <c r="AR178" s="152"/>
      <c r="AS178" s="152"/>
      <c r="AT178" s="152"/>
      <c r="AU178" s="152"/>
      <c r="AV178" s="152"/>
      <c r="AW178" s="152"/>
      <c r="AX178" s="152"/>
      <c r="AY178" s="158"/>
      <c r="AZ178" s="180">
        <v>10017345</v>
      </c>
      <c r="BA178" s="179" t="s">
        <v>574</v>
      </c>
      <c r="BB178" s="126">
        <v>1</v>
      </c>
      <c r="BC178" s="126" t="s">
        <v>575</v>
      </c>
      <c r="BD178" s="179" t="s">
        <v>453</v>
      </c>
      <c r="BE178" s="179" t="s">
        <v>576</v>
      </c>
      <c r="BF178" s="179"/>
      <c r="BG178" s="179"/>
    </row>
    <row r="179" spans="2:59">
      <c r="B179" s="150" t="str">
        <f t="shared" si="15"/>
        <v>1/1</v>
      </c>
      <c r="C179" s="151"/>
      <c r="D179" s="153"/>
      <c r="E179" s="153"/>
      <c r="F179" s="153"/>
      <c r="G179" s="153"/>
      <c r="H179" s="153"/>
      <c r="I179" s="153"/>
      <c r="J179" s="153"/>
      <c r="K179" s="159"/>
      <c r="L179" s="153"/>
      <c r="M179" s="153"/>
      <c r="N179" s="153"/>
      <c r="O179" s="153"/>
      <c r="P179" s="153"/>
      <c r="Q179" s="153"/>
      <c r="R179" s="153"/>
      <c r="S179" s="159"/>
      <c r="T179" s="153"/>
      <c r="U179" s="153"/>
      <c r="V179" s="153"/>
      <c r="W179" s="153"/>
      <c r="X179" s="153"/>
      <c r="Y179" s="153"/>
      <c r="Z179" s="153"/>
      <c r="AA179" s="159"/>
      <c r="AB179" s="153"/>
      <c r="AC179" s="153"/>
      <c r="AD179" s="153"/>
      <c r="AE179" s="153"/>
      <c r="AF179" s="153"/>
      <c r="AG179" s="153"/>
      <c r="AH179" s="153"/>
      <c r="AI179" s="159"/>
      <c r="AJ179" s="153"/>
      <c r="AK179" s="153"/>
      <c r="AL179" s="153"/>
      <c r="AM179" s="153" t="s">
        <v>9</v>
      </c>
      <c r="AN179" s="153"/>
      <c r="AO179" s="153"/>
      <c r="AP179" s="169"/>
      <c r="AQ179" s="158"/>
      <c r="AR179" s="152"/>
      <c r="AS179" s="152"/>
      <c r="AT179" s="152"/>
      <c r="AU179" s="152"/>
      <c r="AV179" s="152"/>
      <c r="AW179" s="152"/>
      <c r="AX179" s="152"/>
      <c r="AY179" s="158"/>
      <c r="AZ179" s="180">
        <v>10042103</v>
      </c>
      <c r="BA179" s="179" t="s">
        <v>577</v>
      </c>
      <c r="BB179" s="126">
        <v>1</v>
      </c>
      <c r="BC179" s="126" t="s">
        <v>578</v>
      </c>
      <c r="BD179" s="179" t="s">
        <v>579</v>
      </c>
      <c r="BE179" s="179" t="s">
        <v>580</v>
      </c>
      <c r="BF179" s="179"/>
      <c r="BG179" s="179"/>
    </row>
    <row r="180" spans="2:59">
      <c r="B180" s="150" t="str">
        <f t="shared" si="15"/>
        <v>2/2</v>
      </c>
      <c r="C180" s="151"/>
      <c r="D180" s="153"/>
      <c r="E180" s="153"/>
      <c r="F180" s="153"/>
      <c r="G180" s="153"/>
      <c r="H180" s="153"/>
      <c r="I180" s="153"/>
      <c r="J180" s="153"/>
      <c r="K180" s="159"/>
      <c r="L180" s="153"/>
      <c r="M180" s="153"/>
      <c r="N180" s="153"/>
      <c r="O180" s="153" t="s">
        <v>9</v>
      </c>
      <c r="P180" s="153"/>
      <c r="Q180" s="153"/>
      <c r="R180" s="153"/>
      <c r="S180" s="159"/>
      <c r="T180" s="153"/>
      <c r="U180" s="153"/>
      <c r="V180" s="153"/>
      <c r="W180" s="153"/>
      <c r="X180" s="153"/>
      <c r="Y180" s="153"/>
      <c r="Z180" s="153"/>
      <c r="AA180" s="159"/>
      <c r="AB180" s="153"/>
      <c r="AC180" s="153"/>
      <c r="AD180" s="153"/>
      <c r="AE180" s="153"/>
      <c r="AF180" s="153"/>
      <c r="AG180" s="153"/>
      <c r="AH180" s="153"/>
      <c r="AI180" s="159"/>
      <c r="AJ180" s="153"/>
      <c r="AK180" s="153"/>
      <c r="AL180" s="153"/>
      <c r="AM180" s="153" t="s">
        <v>9</v>
      </c>
      <c r="AN180" s="153"/>
      <c r="AO180" s="153"/>
      <c r="AP180" s="169"/>
      <c r="AQ180" s="158"/>
      <c r="AR180" s="152"/>
      <c r="AS180" s="152"/>
      <c r="AT180" s="152"/>
      <c r="AU180" s="152"/>
      <c r="AV180" s="152"/>
      <c r="AW180" s="152"/>
      <c r="AX180" s="152"/>
      <c r="AY180" s="158"/>
      <c r="AZ180" s="180">
        <v>10045843</v>
      </c>
      <c r="BA180" s="179" t="s">
        <v>581</v>
      </c>
      <c r="BB180" s="126">
        <v>2</v>
      </c>
      <c r="BC180" s="126" t="s">
        <v>578</v>
      </c>
      <c r="BD180" s="179" t="s">
        <v>582</v>
      </c>
      <c r="BE180" s="179" t="s">
        <v>580</v>
      </c>
      <c r="BF180" s="179"/>
      <c r="BG180" s="179"/>
    </row>
    <row r="181" spans="2:59">
      <c r="B181" s="150" t="str">
        <f t="shared" si="15"/>
        <v>1/1</v>
      </c>
      <c r="C181" s="151"/>
      <c r="D181" s="153"/>
      <c r="E181" s="153"/>
      <c r="F181" s="153"/>
      <c r="G181" s="153"/>
      <c r="H181" s="153"/>
      <c r="I181" s="153"/>
      <c r="J181" s="153"/>
      <c r="K181" s="159"/>
      <c r="L181" s="153"/>
      <c r="M181" s="153"/>
      <c r="N181" s="153"/>
      <c r="O181" s="153" t="s">
        <v>9</v>
      </c>
      <c r="P181" s="153"/>
      <c r="Q181" s="153"/>
      <c r="R181" s="153"/>
      <c r="S181" s="159"/>
      <c r="T181" s="153"/>
      <c r="U181" s="153"/>
      <c r="V181" s="153"/>
      <c r="W181" s="153"/>
      <c r="X181" s="153"/>
      <c r="Y181" s="153"/>
      <c r="Z181" s="153"/>
      <c r="AA181" s="159"/>
      <c r="AB181" s="153"/>
      <c r="AC181" s="153"/>
      <c r="AD181" s="153"/>
      <c r="AE181" s="153"/>
      <c r="AF181" s="153"/>
      <c r="AG181" s="153"/>
      <c r="AH181" s="153"/>
      <c r="AI181" s="159"/>
      <c r="AJ181" s="153"/>
      <c r="AK181" s="153"/>
      <c r="AL181" s="153"/>
      <c r="AM181" s="153"/>
      <c r="AN181" s="153"/>
      <c r="AO181" s="153"/>
      <c r="AP181" s="169"/>
      <c r="AQ181" s="158"/>
      <c r="AR181" s="152"/>
      <c r="AS181" s="152"/>
      <c r="AT181" s="152"/>
      <c r="AU181" s="152"/>
      <c r="AV181" s="152"/>
      <c r="AW181" s="152"/>
      <c r="AX181" s="152"/>
      <c r="AY181" s="158"/>
      <c r="AZ181" s="180">
        <v>10043546</v>
      </c>
      <c r="BA181" s="179" t="s">
        <v>583</v>
      </c>
      <c r="BB181" s="126">
        <v>1</v>
      </c>
      <c r="BC181" s="126" t="s">
        <v>584</v>
      </c>
      <c r="BD181" s="179" t="s">
        <v>585</v>
      </c>
      <c r="BE181" s="179" t="s">
        <v>586</v>
      </c>
      <c r="BF181" s="179"/>
      <c r="BG181" s="179"/>
    </row>
    <row r="182" spans="2:59">
      <c r="B182" s="150" t="str">
        <f t="shared" si="15"/>
        <v>1/1</v>
      </c>
      <c r="C182" s="151"/>
      <c r="D182" s="153"/>
      <c r="E182" s="153"/>
      <c r="F182" s="153"/>
      <c r="G182" s="153"/>
      <c r="H182" s="153"/>
      <c r="I182" s="153"/>
      <c r="J182" s="153"/>
      <c r="K182" s="159"/>
      <c r="L182" s="153"/>
      <c r="M182" s="153"/>
      <c r="N182" s="153"/>
      <c r="O182" s="153"/>
      <c r="P182" s="153" t="s">
        <v>9</v>
      </c>
      <c r="Q182" s="153"/>
      <c r="R182" s="153"/>
      <c r="S182" s="159"/>
      <c r="T182" s="153"/>
      <c r="U182" s="153"/>
      <c r="V182" s="153"/>
      <c r="W182" s="153"/>
      <c r="X182" s="153"/>
      <c r="Y182" s="153"/>
      <c r="Z182" s="153"/>
      <c r="AA182" s="159"/>
      <c r="AB182" s="153"/>
      <c r="AC182" s="153"/>
      <c r="AD182" s="153"/>
      <c r="AE182" s="153"/>
      <c r="AF182" s="153"/>
      <c r="AG182" s="153"/>
      <c r="AH182" s="153"/>
      <c r="AI182" s="159"/>
      <c r="AJ182" s="153"/>
      <c r="AK182" s="153"/>
      <c r="AL182" s="153"/>
      <c r="AM182" s="153"/>
      <c r="AN182" s="153"/>
      <c r="AO182" s="153"/>
      <c r="AP182" s="169"/>
      <c r="AQ182" s="158"/>
      <c r="AR182" s="152"/>
      <c r="AS182" s="152"/>
      <c r="AT182" s="152"/>
      <c r="AU182" s="152"/>
      <c r="AV182" s="152"/>
      <c r="AW182" s="152"/>
      <c r="AX182" s="152"/>
      <c r="AY182" s="158"/>
      <c r="AZ182" s="180">
        <v>10003323</v>
      </c>
      <c r="BA182" s="179" t="s">
        <v>587</v>
      </c>
      <c r="BB182" s="126">
        <v>1</v>
      </c>
      <c r="BC182" s="126" t="s">
        <v>588</v>
      </c>
      <c r="BD182" s="179" t="s">
        <v>589</v>
      </c>
      <c r="BE182" s="179" t="s">
        <v>590</v>
      </c>
      <c r="BF182" s="179"/>
      <c r="BG182" s="179"/>
    </row>
    <row r="183" spans="2:59">
      <c r="B183" s="150" t="str">
        <f t="shared" si="15"/>
        <v>1/1</v>
      </c>
      <c r="C183" s="151"/>
      <c r="D183" s="153"/>
      <c r="E183" s="153"/>
      <c r="F183" s="153"/>
      <c r="G183" s="153"/>
      <c r="H183" s="153"/>
      <c r="I183" s="153"/>
      <c r="J183" s="153"/>
      <c r="K183" s="159"/>
      <c r="L183" s="153"/>
      <c r="M183" s="153"/>
      <c r="N183" s="153"/>
      <c r="O183" s="153"/>
      <c r="P183" s="153"/>
      <c r="Q183" s="153"/>
      <c r="R183" s="153"/>
      <c r="S183" s="159"/>
      <c r="T183" s="153"/>
      <c r="U183" s="153"/>
      <c r="V183" s="153"/>
      <c r="W183" s="153"/>
      <c r="X183" s="153" t="s">
        <v>9</v>
      </c>
      <c r="Y183" s="153"/>
      <c r="Z183" s="153"/>
      <c r="AA183" s="159"/>
      <c r="AB183" s="153"/>
      <c r="AC183" s="153"/>
      <c r="AD183" s="153"/>
      <c r="AE183" s="153"/>
      <c r="AF183" s="153"/>
      <c r="AG183" s="153"/>
      <c r="AH183" s="153"/>
      <c r="AI183" s="159"/>
      <c r="AJ183" s="153"/>
      <c r="AK183" s="153"/>
      <c r="AL183" s="153"/>
      <c r="AM183" s="153"/>
      <c r="AN183" s="153"/>
      <c r="AO183" s="153"/>
      <c r="AP183" s="169"/>
      <c r="AQ183" s="158"/>
      <c r="AR183" s="152"/>
      <c r="AS183" s="152"/>
      <c r="AT183" s="152"/>
      <c r="AU183" s="152"/>
      <c r="AV183" s="152"/>
      <c r="AW183" s="152"/>
      <c r="AX183" s="152"/>
      <c r="AY183" s="158"/>
      <c r="AZ183" s="180">
        <v>10009709</v>
      </c>
      <c r="BA183" s="179" t="s">
        <v>591</v>
      </c>
      <c r="BB183" s="126">
        <v>1</v>
      </c>
      <c r="BC183" s="126" t="s">
        <v>592</v>
      </c>
      <c r="BD183" s="179" t="s">
        <v>593</v>
      </c>
      <c r="BE183" s="179" t="s">
        <v>594</v>
      </c>
      <c r="BF183" s="179"/>
      <c r="BG183" s="179"/>
    </row>
    <row r="184" spans="2:59">
      <c r="B184" s="150" t="str">
        <f t="shared" si="15"/>
        <v>1/1</v>
      </c>
      <c r="C184" s="151"/>
      <c r="D184" s="153"/>
      <c r="E184" s="153"/>
      <c r="F184" s="153"/>
      <c r="G184" s="153"/>
      <c r="H184" s="153"/>
      <c r="I184" s="153"/>
      <c r="J184" s="153"/>
      <c r="K184" s="159"/>
      <c r="L184" s="153"/>
      <c r="M184" s="153"/>
      <c r="N184" s="153"/>
      <c r="O184" s="153"/>
      <c r="P184" s="153"/>
      <c r="Q184" s="153"/>
      <c r="R184" s="153"/>
      <c r="S184" s="159"/>
      <c r="T184" s="153"/>
      <c r="U184" s="153"/>
      <c r="V184" s="153"/>
      <c r="W184" s="153"/>
      <c r="X184" s="153"/>
      <c r="Y184" s="153"/>
      <c r="Z184" s="153"/>
      <c r="AA184" s="159"/>
      <c r="AB184" s="153"/>
      <c r="AC184" s="153"/>
      <c r="AD184" s="153"/>
      <c r="AE184" s="153" t="s">
        <v>9</v>
      </c>
      <c r="AF184" s="153"/>
      <c r="AG184" s="153"/>
      <c r="AH184" s="153"/>
      <c r="AI184" s="159"/>
      <c r="AJ184" s="153"/>
      <c r="AK184" s="153"/>
      <c r="AL184" s="153"/>
      <c r="AM184" s="153"/>
      <c r="AN184" s="153"/>
      <c r="AO184" s="153"/>
      <c r="AP184" s="169"/>
      <c r="AQ184" s="158"/>
      <c r="AR184" s="152"/>
      <c r="AS184" s="152"/>
      <c r="AT184" s="152"/>
      <c r="AU184" s="152"/>
      <c r="AV184" s="152"/>
      <c r="AW184" s="152"/>
      <c r="AX184" s="152"/>
      <c r="AY184" s="158"/>
      <c r="AZ184" s="180">
        <v>10043867</v>
      </c>
      <c r="BA184" s="179" t="s">
        <v>595</v>
      </c>
      <c r="BB184" s="126">
        <v>1</v>
      </c>
      <c r="BC184" s="126" t="s">
        <v>596</v>
      </c>
      <c r="BD184" s="179" t="s">
        <v>597</v>
      </c>
      <c r="BE184" s="179" t="s">
        <v>598</v>
      </c>
      <c r="BF184" s="179"/>
      <c r="BG184" s="179"/>
    </row>
    <row r="185" spans="2:59">
      <c r="B185" s="150" t="str">
        <f t="shared" si="15"/>
        <v>1/1</v>
      </c>
      <c r="C185" s="151"/>
      <c r="D185" s="153"/>
      <c r="E185" s="153"/>
      <c r="F185" s="153"/>
      <c r="G185" s="153"/>
      <c r="H185" s="153"/>
      <c r="I185" s="153"/>
      <c r="J185" s="153"/>
      <c r="K185" s="159"/>
      <c r="L185" s="153"/>
      <c r="M185" s="153"/>
      <c r="N185" s="153"/>
      <c r="O185" s="153"/>
      <c r="P185" s="153"/>
      <c r="Q185" s="153"/>
      <c r="R185" s="153"/>
      <c r="S185" s="159"/>
      <c r="T185" s="153"/>
      <c r="U185" s="153"/>
      <c r="V185" s="153"/>
      <c r="W185" s="153"/>
      <c r="X185" s="153"/>
      <c r="Y185" s="153"/>
      <c r="Z185" s="153"/>
      <c r="AA185" s="159"/>
      <c r="AB185" s="153"/>
      <c r="AC185" s="153"/>
      <c r="AD185" s="153"/>
      <c r="AE185" s="153" t="s">
        <v>9</v>
      </c>
      <c r="AF185" s="153"/>
      <c r="AG185" s="153"/>
      <c r="AH185" s="153"/>
      <c r="AI185" s="159"/>
      <c r="AJ185" s="153"/>
      <c r="AK185" s="153"/>
      <c r="AL185" s="153"/>
      <c r="AM185" s="153"/>
      <c r="AN185" s="153"/>
      <c r="AO185" s="153"/>
      <c r="AP185" s="169"/>
      <c r="AQ185" s="158"/>
      <c r="AR185" s="152"/>
      <c r="AS185" s="152"/>
      <c r="AT185" s="152"/>
      <c r="AU185" s="152"/>
      <c r="AV185" s="152"/>
      <c r="AW185" s="152"/>
      <c r="AX185" s="152"/>
      <c r="AY185" s="158"/>
      <c r="AZ185" s="180">
        <v>10033655</v>
      </c>
      <c r="BA185" s="179" t="s">
        <v>599</v>
      </c>
      <c r="BB185" s="126">
        <v>1</v>
      </c>
      <c r="BC185" s="126" t="s">
        <v>600</v>
      </c>
      <c r="BD185" s="179" t="s">
        <v>601</v>
      </c>
      <c r="BE185" s="179" t="s">
        <v>602</v>
      </c>
      <c r="BF185" s="179"/>
      <c r="BG185" s="179"/>
    </row>
    <row r="186" spans="2:59">
      <c r="B186" s="150" t="str">
        <f t="shared" si="15"/>
        <v>1/1</v>
      </c>
      <c r="C186" s="151"/>
      <c r="D186" s="153"/>
      <c r="E186" s="153"/>
      <c r="F186" s="153"/>
      <c r="G186" s="153"/>
      <c r="H186" s="153"/>
      <c r="I186" s="153"/>
      <c r="J186" s="153"/>
      <c r="K186" s="159"/>
      <c r="L186" s="153"/>
      <c r="M186" s="153"/>
      <c r="N186" s="153"/>
      <c r="O186" s="153"/>
      <c r="P186" s="153"/>
      <c r="Q186" s="153"/>
      <c r="R186" s="153"/>
      <c r="S186" s="159"/>
      <c r="T186" s="153"/>
      <c r="U186" s="153"/>
      <c r="V186" s="153"/>
      <c r="W186" s="153"/>
      <c r="X186" s="153"/>
      <c r="Y186" s="153"/>
      <c r="Z186" s="153"/>
      <c r="AA186" s="159"/>
      <c r="AB186" s="153"/>
      <c r="AC186" s="153"/>
      <c r="AD186" s="153"/>
      <c r="AE186" s="153" t="s">
        <v>9</v>
      </c>
      <c r="AF186" s="153"/>
      <c r="AG186" s="153"/>
      <c r="AH186" s="153"/>
      <c r="AI186" s="159"/>
      <c r="AJ186" s="153"/>
      <c r="AK186" s="153"/>
      <c r="AL186" s="153"/>
      <c r="AM186" s="153"/>
      <c r="AN186" s="153"/>
      <c r="AO186" s="153"/>
      <c r="AP186" s="169"/>
      <c r="AQ186" s="158"/>
      <c r="AR186" s="152"/>
      <c r="AS186" s="152"/>
      <c r="AT186" s="152"/>
      <c r="AU186" s="152"/>
      <c r="AV186" s="152"/>
      <c r="AW186" s="152"/>
      <c r="AX186" s="152"/>
      <c r="AY186" s="158"/>
      <c r="AZ186" s="180">
        <v>10025793</v>
      </c>
      <c r="BA186" s="179" t="s">
        <v>603</v>
      </c>
      <c r="BB186" s="126">
        <v>1</v>
      </c>
      <c r="BC186" s="126" t="s">
        <v>604</v>
      </c>
      <c r="BD186" s="179" t="s">
        <v>605</v>
      </c>
      <c r="BE186" s="179" t="s">
        <v>606</v>
      </c>
      <c r="BF186" s="179"/>
      <c r="BG186" s="179"/>
    </row>
    <row r="187" spans="2:59">
      <c r="B187" s="150" t="str">
        <f t="shared" si="15"/>
        <v>1/1</v>
      </c>
      <c r="C187" s="151"/>
      <c r="D187" s="153"/>
      <c r="E187" s="153"/>
      <c r="F187" s="153"/>
      <c r="G187" s="153"/>
      <c r="H187" s="153"/>
      <c r="I187" s="153"/>
      <c r="J187" s="153"/>
      <c r="K187" s="159"/>
      <c r="L187" s="153"/>
      <c r="M187" s="153"/>
      <c r="N187" s="153"/>
      <c r="O187" s="153"/>
      <c r="P187" s="153"/>
      <c r="Q187" s="153"/>
      <c r="R187" s="153"/>
      <c r="S187" s="159"/>
      <c r="T187" s="153"/>
      <c r="U187" s="153"/>
      <c r="V187" s="153"/>
      <c r="W187" s="153"/>
      <c r="X187" s="153"/>
      <c r="Y187" s="153"/>
      <c r="Z187" s="153"/>
      <c r="AA187" s="159"/>
      <c r="AB187" s="153"/>
      <c r="AC187" s="153"/>
      <c r="AD187" s="153"/>
      <c r="AE187" s="153" t="s">
        <v>9</v>
      </c>
      <c r="AF187" s="153"/>
      <c r="AG187" s="153"/>
      <c r="AH187" s="153"/>
      <c r="AI187" s="159"/>
      <c r="AJ187" s="153"/>
      <c r="AK187" s="153"/>
      <c r="AL187" s="153"/>
      <c r="AM187" s="153"/>
      <c r="AN187" s="153"/>
      <c r="AO187" s="153"/>
      <c r="AP187" s="169"/>
      <c r="AQ187" s="158"/>
      <c r="AR187" s="152"/>
      <c r="AS187" s="152"/>
      <c r="AT187" s="152"/>
      <c r="AU187" s="152"/>
      <c r="AV187" s="152"/>
      <c r="AW187" s="152"/>
      <c r="AX187" s="152"/>
      <c r="AY187" s="158"/>
      <c r="AZ187" s="180">
        <v>10045122</v>
      </c>
      <c r="BA187" s="179" t="s">
        <v>607</v>
      </c>
      <c r="BB187" s="126">
        <v>1</v>
      </c>
      <c r="BC187" s="126" t="s">
        <v>608</v>
      </c>
      <c r="BD187" s="179" t="s">
        <v>609</v>
      </c>
      <c r="BE187" s="179" t="s">
        <v>610</v>
      </c>
      <c r="BF187" s="179"/>
      <c r="BG187" s="179"/>
    </row>
    <row r="188" spans="2:59">
      <c r="B188" s="150"/>
      <c r="AZ188" s="180">
        <v>10044582</v>
      </c>
      <c r="BA188" s="179" t="s">
        <v>611</v>
      </c>
      <c r="BB188" s="126">
        <v>1</v>
      </c>
      <c r="BC188" s="126" t="s">
        <v>612</v>
      </c>
      <c r="BD188" s="179" t="s">
        <v>613</v>
      </c>
      <c r="BE188" s="179" t="s">
        <v>614</v>
      </c>
      <c r="BF188" s="179"/>
      <c r="BG188" s="179"/>
    </row>
    <row r="189" spans="2:59">
      <c r="B189" s="150"/>
      <c r="AZ189" s="180">
        <v>10038349</v>
      </c>
      <c r="BA189" s="179" t="s">
        <v>615</v>
      </c>
      <c r="BB189" s="126">
        <v>1</v>
      </c>
      <c r="BC189" s="126" t="s">
        <v>616</v>
      </c>
      <c r="BD189" s="179" t="s">
        <v>617</v>
      </c>
      <c r="BE189" s="179" t="s">
        <v>618</v>
      </c>
      <c r="BF189" s="179"/>
      <c r="BG189" s="179"/>
    </row>
    <row r="190" spans="2:59">
      <c r="B190" s="150"/>
      <c r="AZ190" s="180">
        <v>10044351</v>
      </c>
      <c r="BA190" s="179" t="s">
        <v>619</v>
      </c>
      <c r="BB190" s="126">
        <v>1</v>
      </c>
      <c r="BC190" s="126" t="s">
        <v>616</v>
      </c>
      <c r="BD190" s="179" t="s">
        <v>620</v>
      </c>
      <c r="BE190" s="179" t="s">
        <v>618</v>
      </c>
      <c r="BF190" s="179"/>
      <c r="BG190" s="179"/>
    </row>
    <row r="191" spans="2:59">
      <c r="B191" s="150"/>
      <c r="AZ191" s="180">
        <v>10045496</v>
      </c>
      <c r="BA191" s="179" t="s">
        <v>621</v>
      </c>
      <c r="BB191" s="126">
        <v>1</v>
      </c>
      <c r="BC191" s="126" t="s">
        <v>622</v>
      </c>
      <c r="BD191" s="179" t="s">
        <v>623</v>
      </c>
      <c r="BE191" s="179" t="s">
        <v>624</v>
      </c>
      <c r="BF191" s="179"/>
      <c r="BG191" s="179"/>
    </row>
    <row r="192" spans="2:59">
      <c r="B192" s="150"/>
      <c r="AZ192" s="180">
        <v>10040837</v>
      </c>
      <c r="BA192" s="179" t="s">
        <v>625</v>
      </c>
      <c r="BB192" s="126">
        <v>1</v>
      </c>
      <c r="BC192" s="126" t="s">
        <v>626</v>
      </c>
      <c r="BD192" s="179" t="s">
        <v>627</v>
      </c>
      <c r="BE192" s="179" t="s">
        <v>628</v>
      </c>
      <c r="BF192" s="179"/>
      <c r="BG192" s="179"/>
    </row>
    <row r="193" spans="2:59">
      <c r="B193" s="150"/>
      <c r="AZ193" s="180">
        <v>10009938</v>
      </c>
      <c r="BA193" s="179" t="s">
        <v>629</v>
      </c>
      <c r="BB193" s="126">
        <v>1</v>
      </c>
      <c r="BC193" s="126" t="s">
        <v>630</v>
      </c>
      <c r="BD193" s="179" t="s">
        <v>22</v>
      </c>
      <c r="BE193" s="179" t="s">
        <v>631</v>
      </c>
      <c r="BF193" s="179"/>
      <c r="BG193" s="179"/>
    </row>
    <row r="194" spans="2:59">
      <c r="B194" s="150"/>
      <c r="AZ194" s="180">
        <v>10033917</v>
      </c>
      <c r="BA194" s="179" t="s">
        <v>632</v>
      </c>
      <c r="BB194" s="126">
        <v>1</v>
      </c>
      <c r="BC194" s="126" t="s">
        <v>633</v>
      </c>
      <c r="BD194" s="179" t="s">
        <v>22</v>
      </c>
      <c r="BE194" s="179" t="s">
        <v>634</v>
      </c>
      <c r="BF194" s="179"/>
      <c r="BG194" s="179"/>
    </row>
    <row r="195" spans="2:59">
      <c r="B195" s="150"/>
      <c r="AZ195" s="180">
        <v>10044481</v>
      </c>
      <c r="BA195" s="179" t="s">
        <v>635</v>
      </c>
      <c r="BB195" s="126">
        <v>1</v>
      </c>
      <c r="BC195" s="126" t="s">
        <v>636</v>
      </c>
      <c r="BD195" s="179" t="s">
        <v>22</v>
      </c>
      <c r="BE195" s="179" t="s">
        <v>637</v>
      </c>
      <c r="BF195" s="179"/>
      <c r="BG195" s="179"/>
    </row>
    <row r="196" spans="2:59">
      <c r="B196" s="150"/>
      <c r="AZ196" s="180">
        <v>10043303</v>
      </c>
      <c r="BA196" s="179" t="s">
        <v>638</v>
      </c>
      <c r="BB196" s="126">
        <v>1</v>
      </c>
      <c r="BC196" s="126" t="s">
        <v>639</v>
      </c>
      <c r="BD196" s="179" t="s">
        <v>640</v>
      </c>
      <c r="BE196" s="179" t="s">
        <v>641</v>
      </c>
      <c r="BF196" s="179"/>
      <c r="BG196" s="179"/>
    </row>
    <row r="197" spans="2:59">
      <c r="B197" s="150"/>
      <c r="AZ197" s="180">
        <v>10039487</v>
      </c>
      <c r="BA197" s="179" t="s">
        <v>642</v>
      </c>
      <c r="BB197" s="126">
        <v>1</v>
      </c>
      <c r="BC197" s="126" t="s">
        <v>643</v>
      </c>
      <c r="BD197" s="179" t="s">
        <v>644</v>
      </c>
      <c r="BE197" s="179" t="s">
        <v>645</v>
      </c>
      <c r="BF197" s="179"/>
      <c r="BG197" s="179"/>
    </row>
    <row r="198" spans="2:59">
      <c r="B198" s="150"/>
      <c r="AZ198" s="180">
        <v>10039995</v>
      </c>
      <c r="BA198" s="179" t="s">
        <v>646</v>
      </c>
      <c r="BB198" s="126">
        <v>1</v>
      </c>
      <c r="BC198" s="126" t="s">
        <v>647</v>
      </c>
      <c r="BD198" s="179" t="s">
        <v>12</v>
      </c>
      <c r="BE198" s="179" t="s">
        <v>648</v>
      </c>
      <c r="BF198" s="179"/>
      <c r="BG198" s="179"/>
    </row>
    <row r="199" spans="2:59">
      <c r="B199" s="150"/>
      <c r="AZ199" s="180">
        <v>10032544</v>
      </c>
      <c r="BA199" s="179" t="s">
        <v>649</v>
      </c>
      <c r="BB199" s="126">
        <v>1</v>
      </c>
      <c r="BC199" s="126" t="s">
        <v>650</v>
      </c>
      <c r="BD199" s="179" t="s">
        <v>651</v>
      </c>
      <c r="BE199" s="179" t="s">
        <v>652</v>
      </c>
      <c r="BF199" s="179"/>
      <c r="BG199" s="179"/>
    </row>
    <row r="200" spans="2:59">
      <c r="B200" s="150"/>
      <c r="AZ200" s="180">
        <v>10046042</v>
      </c>
      <c r="BA200" s="179" t="s">
        <v>653</v>
      </c>
      <c r="BB200" s="126">
        <v>1</v>
      </c>
      <c r="BC200" s="126" t="s">
        <v>654</v>
      </c>
      <c r="BD200" s="179" t="s">
        <v>655</v>
      </c>
      <c r="BE200" s="179" t="s">
        <v>656</v>
      </c>
      <c r="BF200" s="179"/>
      <c r="BG200" s="179"/>
    </row>
    <row r="201" spans="2:59">
      <c r="B201" s="150"/>
      <c r="AZ201" s="180">
        <v>10034228</v>
      </c>
      <c r="BA201" s="179" t="s">
        <v>657</v>
      </c>
      <c r="BB201" s="126">
        <v>1</v>
      </c>
      <c r="BC201" s="126" t="s">
        <v>658</v>
      </c>
      <c r="BD201" s="179" t="s">
        <v>22</v>
      </c>
      <c r="BE201" s="179" t="s">
        <v>659</v>
      </c>
      <c r="BF201" s="179"/>
      <c r="BG201" s="179"/>
    </row>
    <row r="202" spans="2:59">
      <c r="B202" s="150"/>
      <c r="AZ202" s="181">
        <v>10024610</v>
      </c>
      <c r="BA202" s="182" t="s">
        <v>660</v>
      </c>
      <c r="BB202" s="182">
        <v>1</v>
      </c>
      <c r="BC202" t="s">
        <v>661</v>
      </c>
      <c r="BD202" t="s">
        <v>662</v>
      </c>
      <c r="BE202" t="s">
        <v>663</v>
      </c>
      <c r="BG202"/>
    </row>
    <row r="203" spans="2:59">
      <c r="B203" s="150"/>
      <c r="AE203" s="130" t="s">
        <v>9</v>
      </c>
      <c r="AZ203" s="181">
        <v>10045166</v>
      </c>
      <c r="BA203" s="182" t="s">
        <v>664</v>
      </c>
      <c r="BB203" s="182">
        <v>1</v>
      </c>
      <c r="BC203" t="s">
        <v>665</v>
      </c>
      <c r="BD203" t="s">
        <v>666</v>
      </c>
      <c r="BE203" t="s">
        <v>667</v>
      </c>
      <c r="BG203"/>
    </row>
    <row r="204" spans="2:59">
      <c r="B204" s="150"/>
      <c r="AZ204" s="181">
        <v>10039379</v>
      </c>
      <c r="BA204" s="182" t="s">
        <v>668</v>
      </c>
      <c r="BB204" s="182">
        <v>1</v>
      </c>
      <c r="BC204" t="s">
        <v>669</v>
      </c>
      <c r="BD204" t="s">
        <v>670</v>
      </c>
      <c r="BE204" t="s">
        <v>671</v>
      </c>
      <c r="BG204"/>
    </row>
    <row r="205" spans="2:59">
      <c r="B205" s="150"/>
      <c r="AZ205" s="181">
        <v>10042788</v>
      </c>
      <c r="BA205" s="182" t="s">
        <v>672</v>
      </c>
      <c r="BB205" s="182">
        <v>2</v>
      </c>
      <c r="BC205" t="s">
        <v>673</v>
      </c>
      <c r="BD205" t="s">
        <v>12</v>
      </c>
      <c r="BE205" t="s">
        <v>674</v>
      </c>
      <c r="BG205"/>
    </row>
    <row r="206" spans="2:59">
      <c r="B206" s="150"/>
      <c r="AZ206" s="181">
        <v>10041273</v>
      </c>
      <c r="BA206" s="182" t="s">
        <v>675</v>
      </c>
      <c r="BB206" s="182">
        <v>2</v>
      </c>
      <c r="BC206" t="s">
        <v>676</v>
      </c>
      <c r="BD206" t="s">
        <v>219</v>
      </c>
      <c r="BE206" t="s">
        <v>677</v>
      </c>
      <c r="BG206"/>
    </row>
    <row r="207" spans="2:59">
      <c r="B207" s="150"/>
      <c r="AZ207" s="181">
        <v>10031852</v>
      </c>
      <c r="BA207" s="182" t="s">
        <v>678</v>
      </c>
      <c r="BB207" s="182">
        <v>1</v>
      </c>
      <c r="BC207" t="s">
        <v>679</v>
      </c>
      <c r="BD207" t="s">
        <v>12</v>
      </c>
      <c r="BE207" t="s">
        <v>680</v>
      </c>
      <c r="BG207"/>
    </row>
    <row r="208" spans="2:59">
      <c r="B208" s="150"/>
      <c r="AZ208" s="181">
        <v>10044973</v>
      </c>
      <c r="BA208" s="182" t="s">
        <v>681</v>
      </c>
      <c r="BB208" s="182">
        <v>1</v>
      </c>
      <c r="BC208" t="s">
        <v>682</v>
      </c>
      <c r="BD208" t="s">
        <v>12</v>
      </c>
      <c r="BE208" t="s">
        <v>683</v>
      </c>
      <c r="BG208"/>
    </row>
    <row r="209" spans="2:59">
      <c r="B209" s="150"/>
      <c r="AZ209" s="181">
        <v>10038137</v>
      </c>
      <c r="BA209" s="182" t="s">
        <v>684</v>
      </c>
      <c r="BB209" s="182">
        <v>1</v>
      </c>
      <c r="BC209" t="s">
        <v>685</v>
      </c>
      <c r="BD209" t="s">
        <v>686</v>
      </c>
      <c r="BE209" t="s">
        <v>687</v>
      </c>
      <c r="BG209"/>
    </row>
    <row r="210" spans="2:59">
      <c r="B210" s="150"/>
      <c r="AZ210" s="181">
        <v>10038136</v>
      </c>
      <c r="BA210" s="182" t="s">
        <v>688</v>
      </c>
      <c r="BB210" s="182">
        <v>1</v>
      </c>
      <c r="BC210" t="s">
        <v>689</v>
      </c>
      <c r="BD210" t="s">
        <v>690</v>
      </c>
      <c r="BE210" t="s">
        <v>691</v>
      </c>
      <c r="BG210"/>
    </row>
    <row r="211" spans="2:59">
      <c r="B211" s="150"/>
      <c r="AZ211" s="181">
        <v>10045754</v>
      </c>
      <c r="BA211" s="182" t="s">
        <v>692</v>
      </c>
      <c r="BB211" s="182">
        <v>2</v>
      </c>
      <c r="BC211" t="s">
        <v>693</v>
      </c>
      <c r="BD211" t="s">
        <v>694</v>
      </c>
      <c r="BE211" t="s">
        <v>695</v>
      </c>
      <c r="BG211"/>
    </row>
    <row r="212" spans="2:59">
      <c r="B212" s="150"/>
      <c r="AZ212" s="181">
        <v>10043358</v>
      </c>
      <c r="BA212" s="182" t="s">
        <v>696</v>
      </c>
      <c r="BB212" s="182">
        <v>1</v>
      </c>
      <c r="BC212" t="s">
        <v>697</v>
      </c>
      <c r="BD212" t="s">
        <v>698</v>
      </c>
      <c r="BE212" t="s">
        <v>699</v>
      </c>
      <c r="BG212"/>
    </row>
    <row r="213" spans="2:59">
      <c r="B213" s="150"/>
      <c r="AZ213" s="181">
        <v>10045628</v>
      </c>
      <c r="BA213" s="182" t="s">
        <v>700</v>
      </c>
      <c r="BB213" s="182">
        <v>1</v>
      </c>
      <c r="BC213" t="s">
        <v>701</v>
      </c>
      <c r="BD213" t="s">
        <v>702</v>
      </c>
      <c r="BE213" t="s">
        <v>703</v>
      </c>
      <c r="BG213"/>
    </row>
    <row r="214" spans="2:59">
      <c r="B214" s="150"/>
      <c r="AZ214" s="181">
        <v>10041124</v>
      </c>
      <c r="BA214" s="182" t="s">
        <v>704</v>
      </c>
      <c r="BB214" s="182">
        <v>1</v>
      </c>
      <c r="BC214" t="s">
        <v>705</v>
      </c>
      <c r="BD214" t="s">
        <v>706</v>
      </c>
      <c r="BE214" t="s">
        <v>707</v>
      </c>
      <c r="BG214"/>
    </row>
    <row r="215" spans="2:59">
      <c r="B215" s="150"/>
      <c r="AZ215" s="181">
        <v>10043310</v>
      </c>
      <c r="BA215" s="182" t="s">
        <v>708</v>
      </c>
      <c r="BB215" s="182">
        <v>2</v>
      </c>
      <c r="BC215" t="s">
        <v>709</v>
      </c>
      <c r="BD215" t="s">
        <v>710</v>
      </c>
      <c r="BE215" t="s">
        <v>711</v>
      </c>
      <c r="BG215"/>
    </row>
    <row r="216" spans="2:59">
      <c r="B216" s="150"/>
      <c r="AZ216" s="181">
        <v>10045962</v>
      </c>
      <c r="BA216" s="182" t="s">
        <v>712</v>
      </c>
      <c r="BB216" s="182">
        <v>2</v>
      </c>
      <c r="BC216" t="s">
        <v>713</v>
      </c>
      <c r="BD216" t="s">
        <v>714</v>
      </c>
      <c r="BE216" t="s">
        <v>715</v>
      </c>
      <c r="BG216"/>
    </row>
    <row r="217" spans="2:59">
      <c r="B217" s="150"/>
      <c r="AZ217" s="181">
        <v>10038559</v>
      </c>
      <c r="BA217" s="182" t="s">
        <v>716</v>
      </c>
      <c r="BB217" s="182">
        <v>1</v>
      </c>
      <c r="BC217" t="s">
        <v>717</v>
      </c>
      <c r="BD217" t="s">
        <v>718</v>
      </c>
      <c r="BE217" t="s">
        <v>719</v>
      </c>
      <c r="BG217"/>
    </row>
    <row r="218" spans="2:59">
      <c r="B218" s="150"/>
      <c r="AZ218" s="181">
        <v>10043373</v>
      </c>
      <c r="BA218" s="182" t="s">
        <v>720</v>
      </c>
      <c r="BB218" s="182">
        <v>1</v>
      </c>
      <c r="BC218" t="s">
        <v>717</v>
      </c>
      <c r="BD218" t="s">
        <v>721</v>
      </c>
      <c r="BE218" t="s">
        <v>719</v>
      </c>
      <c r="BG218"/>
    </row>
    <row r="219" spans="2:59">
      <c r="B219" s="150"/>
      <c r="AZ219" s="181">
        <v>10042528</v>
      </c>
      <c r="BA219" s="182" t="s">
        <v>722</v>
      </c>
      <c r="BB219" s="182">
        <v>1</v>
      </c>
      <c r="BC219" t="s">
        <v>723</v>
      </c>
      <c r="BD219" t="s">
        <v>724</v>
      </c>
      <c r="BE219" t="s">
        <v>725</v>
      </c>
      <c r="BG219"/>
    </row>
    <row r="220" spans="2:59">
      <c r="B220" s="150"/>
      <c r="AZ220" s="181">
        <v>10036244</v>
      </c>
      <c r="BA220" s="182" t="s">
        <v>726</v>
      </c>
      <c r="BB220" s="182">
        <v>1</v>
      </c>
      <c r="BC220" t="s">
        <v>727</v>
      </c>
      <c r="BD220" t="s">
        <v>728</v>
      </c>
      <c r="BE220" t="s">
        <v>729</v>
      </c>
      <c r="BG220"/>
    </row>
    <row r="221" spans="2:59">
      <c r="B221" s="150"/>
      <c r="AZ221" s="181">
        <v>10037086</v>
      </c>
      <c r="BA221" s="182" t="s">
        <v>730</v>
      </c>
      <c r="BB221" s="182">
        <v>1</v>
      </c>
      <c r="BC221" t="s">
        <v>731</v>
      </c>
      <c r="BD221" t="s">
        <v>22</v>
      </c>
      <c r="BE221" t="s">
        <v>732</v>
      </c>
      <c r="BG221"/>
    </row>
    <row r="222" spans="2:59">
      <c r="B222" s="150"/>
      <c r="AZ222" s="181">
        <v>10040818</v>
      </c>
      <c r="BA222" s="182" t="s">
        <v>733</v>
      </c>
      <c r="BB222" s="182">
        <v>2</v>
      </c>
      <c r="BC222" t="s">
        <v>734</v>
      </c>
      <c r="BD222" t="s">
        <v>22</v>
      </c>
      <c r="BE222" t="s">
        <v>735</v>
      </c>
      <c r="BG222"/>
    </row>
    <row r="223" spans="2:59">
      <c r="B223" s="150"/>
      <c r="AZ223" s="181">
        <v>10039471</v>
      </c>
      <c r="BA223" s="182" t="s">
        <v>736</v>
      </c>
      <c r="BB223" s="182">
        <v>1</v>
      </c>
      <c r="BC223" t="s">
        <v>737</v>
      </c>
      <c r="BD223" t="s">
        <v>738</v>
      </c>
      <c r="BE223" t="s">
        <v>739</v>
      </c>
      <c r="BG223"/>
    </row>
    <row r="224" spans="2:59">
      <c r="B224" s="150"/>
      <c r="AZ224" s="181">
        <v>10045957</v>
      </c>
      <c r="BA224" s="182" t="s">
        <v>740</v>
      </c>
      <c r="BB224" s="182">
        <v>2</v>
      </c>
      <c r="BC224" t="s">
        <v>737</v>
      </c>
      <c r="BD224" t="s">
        <v>741</v>
      </c>
      <c r="BE224" t="s">
        <v>739</v>
      </c>
      <c r="BG224"/>
    </row>
    <row r="225" spans="2:59">
      <c r="B225" s="150"/>
      <c r="AZ225" s="181">
        <v>10041016</v>
      </c>
      <c r="BA225" s="182" t="s">
        <v>742</v>
      </c>
      <c r="BB225" s="182">
        <v>1</v>
      </c>
      <c r="BC225" t="s">
        <v>743</v>
      </c>
      <c r="BD225" t="s">
        <v>744</v>
      </c>
      <c r="BE225" t="s">
        <v>745</v>
      </c>
      <c r="BG225"/>
    </row>
    <row r="226" spans="2:59">
      <c r="B226" s="150"/>
      <c r="AZ226" s="181">
        <v>10041510</v>
      </c>
      <c r="BA226" s="182" t="s">
        <v>746</v>
      </c>
      <c r="BB226" s="182">
        <v>1</v>
      </c>
      <c r="BC226" t="s">
        <v>743</v>
      </c>
      <c r="BD226" t="s">
        <v>747</v>
      </c>
      <c r="BE226" t="s">
        <v>745</v>
      </c>
      <c r="BG226"/>
    </row>
    <row r="227" spans="2:59">
      <c r="B227" s="150"/>
      <c r="AZ227" s="181">
        <v>10029884</v>
      </c>
      <c r="BA227" s="182" t="s">
        <v>748</v>
      </c>
      <c r="BB227" s="182">
        <v>1</v>
      </c>
      <c r="BC227" t="s">
        <v>749</v>
      </c>
      <c r="BD227" t="s">
        <v>750</v>
      </c>
      <c r="BE227" t="s">
        <v>751</v>
      </c>
      <c r="BG227"/>
    </row>
    <row r="228" spans="2:59">
      <c r="B228" s="150"/>
      <c r="AZ228" s="181">
        <v>10016473</v>
      </c>
      <c r="BA228" s="182" t="s">
        <v>752</v>
      </c>
      <c r="BB228" s="182">
        <v>2</v>
      </c>
      <c r="BC228" t="s">
        <v>753</v>
      </c>
      <c r="BD228" t="s">
        <v>754</v>
      </c>
      <c r="BE228" t="s">
        <v>755</v>
      </c>
      <c r="BG228"/>
    </row>
    <row r="229" spans="2:59">
      <c r="B229" s="150"/>
      <c r="AZ229" s="181">
        <v>10044173</v>
      </c>
      <c r="BA229" s="182" t="s">
        <v>756</v>
      </c>
      <c r="BB229" s="182">
        <v>1</v>
      </c>
      <c r="BC229" t="s">
        <v>757</v>
      </c>
      <c r="BD229" t="s">
        <v>758</v>
      </c>
      <c r="BE229" t="s">
        <v>759</v>
      </c>
      <c r="BG229"/>
    </row>
    <row r="230" spans="2:59">
      <c r="B230" s="150"/>
      <c r="AZ230" s="181">
        <v>10043370</v>
      </c>
      <c r="BA230" s="182" t="s">
        <v>760</v>
      </c>
      <c r="BB230" s="182">
        <v>1</v>
      </c>
      <c r="BC230" t="s">
        <v>761</v>
      </c>
      <c r="BD230" t="s">
        <v>762</v>
      </c>
      <c r="BE230" t="s">
        <v>763</v>
      </c>
      <c r="BG230"/>
    </row>
    <row r="231" spans="2:59">
      <c r="B231" s="150"/>
      <c r="AZ231" s="181">
        <v>10043070</v>
      </c>
      <c r="BA231" s="182" t="s">
        <v>764</v>
      </c>
      <c r="BB231" s="182">
        <v>1</v>
      </c>
      <c r="BC231" t="s">
        <v>765</v>
      </c>
      <c r="BD231" t="s">
        <v>766</v>
      </c>
      <c r="BE231" t="s">
        <v>767</v>
      </c>
      <c r="BG231"/>
    </row>
    <row r="232" spans="2:59">
      <c r="B232" s="150"/>
      <c r="AZ232" s="181">
        <v>10043257</v>
      </c>
      <c r="BA232" s="182" t="s">
        <v>768</v>
      </c>
      <c r="BB232" s="182">
        <v>1</v>
      </c>
      <c r="BC232" t="s">
        <v>765</v>
      </c>
      <c r="BD232" t="s">
        <v>769</v>
      </c>
      <c r="BE232" t="s">
        <v>767</v>
      </c>
      <c r="BG232"/>
    </row>
    <row r="233" spans="2:59">
      <c r="B233" s="150"/>
      <c r="AZ233" s="181">
        <v>10045863</v>
      </c>
      <c r="BA233" s="182" t="s">
        <v>770</v>
      </c>
      <c r="BB233" s="182">
        <v>2</v>
      </c>
      <c r="BC233" t="s">
        <v>771</v>
      </c>
      <c r="BD233" t="s">
        <v>772</v>
      </c>
      <c r="BE233" t="s">
        <v>773</v>
      </c>
      <c r="BG233"/>
    </row>
    <row r="234" spans="2:59">
      <c r="B234" s="150"/>
      <c r="AZ234" s="181">
        <v>10036449</v>
      </c>
      <c r="BA234" s="182" t="s">
        <v>774</v>
      </c>
      <c r="BB234" s="182">
        <v>1</v>
      </c>
      <c r="BC234" t="s">
        <v>775</v>
      </c>
      <c r="BD234" t="s">
        <v>776</v>
      </c>
      <c r="BE234" t="s">
        <v>777</v>
      </c>
      <c r="BG234"/>
    </row>
    <row r="235" spans="2:59">
      <c r="B235" s="150"/>
      <c r="AZ235" s="181">
        <v>10007772</v>
      </c>
      <c r="BA235" s="182" t="s">
        <v>778</v>
      </c>
      <c r="BB235" s="182">
        <v>1</v>
      </c>
      <c r="BC235" t="s">
        <v>779</v>
      </c>
      <c r="BD235" t="s">
        <v>780</v>
      </c>
      <c r="BE235" t="s">
        <v>781</v>
      </c>
      <c r="BG235"/>
    </row>
    <row r="236" spans="2:59">
      <c r="B236" s="150"/>
      <c r="AZ236" s="181">
        <v>10014937</v>
      </c>
      <c r="BA236" s="182" t="s">
        <v>782</v>
      </c>
      <c r="BB236" s="182">
        <v>1</v>
      </c>
      <c r="BC236" t="s">
        <v>779</v>
      </c>
      <c r="BD236" t="s">
        <v>783</v>
      </c>
      <c r="BE236" t="s">
        <v>784</v>
      </c>
      <c r="BG236"/>
    </row>
    <row r="237" spans="2:59">
      <c r="B237" s="150"/>
      <c r="AZ237" s="181">
        <v>10027614</v>
      </c>
      <c r="BA237" s="182" t="s">
        <v>785</v>
      </c>
      <c r="BB237" s="182">
        <v>2</v>
      </c>
      <c r="BC237" t="s">
        <v>779</v>
      </c>
      <c r="BD237" t="s">
        <v>783</v>
      </c>
      <c r="BE237" t="s">
        <v>784</v>
      </c>
      <c r="BG237"/>
    </row>
    <row r="238" spans="2:59">
      <c r="B238" s="150"/>
      <c r="AZ238" s="181">
        <v>10032899</v>
      </c>
      <c r="BA238" s="182" t="s">
        <v>786</v>
      </c>
      <c r="BB238" s="182">
        <v>1</v>
      </c>
      <c r="BC238" t="s">
        <v>779</v>
      </c>
      <c r="BD238" t="s">
        <v>783</v>
      </c>
      <c r="BE238" t="s">
        <v>784</v>
      </c>
      <c r="BG238"/>
    </row>
    <row r="239" spans="2:59">
      <c r="B239" s="150"/>
      <c r="AZ239" s="181">
        <v>10034588</v>
      </c>
      <c r="BA239" s="182" t="s">
        <v>787</v>
      </c>
      <c r="BB239" s="182">
        <v>2</v>
      </c>
      <c r="BC239" t="s">
        <v>779</v>
      </c>
      <c r="BD239" t="s">
        <v>783</v>
      </c>
      <c r="BE239" t="s">
        <v>784</v>
      </c>
      <c r="BG239"/>
    </row>
    <row r="240" spans="2:59">
      <c r="B240" s="150"/>
      <c r="AZ240" s="181">
        <v>10036503</v>
      </c>
      <c r="BA240" s="182" t="s">
        <v>788</v>
      </c>
      <c r="BB240" s="182">
        <v>1</v>
      </c>
      <c r="BC240" t="s">
        <v>779</v>
      </c>
      <c r="BD240" t="s">
        <v>783</v>
      </c>
      <c r="BE240" t="s">
        <v>784</v>
      </c>
      <c r="BG240"/>
    </row>
    <row r="241" spans="2:59">
      <c r="B241" s="150"/>
      <c r="AZ241" s="181">
        <v>10040439</v>
      </c>
      <c r="BA241" s="182" t="s">
        <v>789</v>
      </c>
      <c r="BB241" s="182">
        <v>1</v>
      </c>
      <c r="BC241" t="s">
        <v>779</v>
      </c>
      <c r="BD241" t="s">
        <v>783</v>
      </c>
      <c r="BE241" t="s">
        <v>784</v>
      </c>
      <c r="BG241"/>
    </row>
    <row r="242" spans="2:59">
      <c r="B242" s="150"/>
      <c r="AZ242" s="181">
        <v>10040740</v>
      </c>
      <c r="BA242" s="182" t="s">
        <v>790</v>
      </c>
      <c r="BB242" s="182">
        <v>1</v>
      </c>
      <c r="BC242" t="s">
        <v>779</v>
      </c>
      <c r="BD242" t="s">
        <v>791</v>
      </c>
      <c r="BE242" t="s">
        <v>784</v>
      </c>
      <c r="BG242"/>
    </row>
    <row r="243" spans="2:59">
      <c r="B243" s="150"/>
      <c r="AZ243" s="181">
        <v>10043369</v>
      </c>
      <c r="BA243" s="182" t="s">
        <v>792</v>
      </c>
      <c r="BB243" s="182">
        <v>1</v>
      </c>
      <c r="BC243" t="s">
        <v>793</v>
      </c>
      <c r="BD243" t="s">
        <v>794</v>
      </c>
      <c r="BE243" t="s">
        <v>795</v>
      </c>
      <c r="BG243"/>
    </row>
    <row r="244" spans="2:59">
      <c r="B244" s="150"/>
      <c r="AZ244" s="181">
        <v>10032533</v>
      </c>
      <c r="BA244" s="182" t="s">
        <v>796</v>
      </c>
      <c r="BB244" s="182">
        <v>1</v>
      </c>
      <c r="BC244" t="s">
        <v>797</v>
      </c>
      <c r="BD244" t="s">
        <v>798</v>
      </c>
      <c r="BE244" t="s">
        <v>799</v>
      </c>
      <c r="BG244"/>
    </row>
    <row r="245" spans="2:59">
      <c r="B245" s="150"/>
      <c r="AZ245" s="181">
        <v>10043709</v>
      </c>
      <c r="BA245" s="182" t="s">
        <v>800</v>
      </c>
      <c r="BB245" s="182">
        <v>1</v>
      </c>
      <c r="BC245" t="s">
        <v>797</v>
      </c>
      <c r="BD245" t="s">
        <v>801</v>
      </c>
      <c r="BE245" t="s">
        <v>799</v>
      </c>
      <c r="BG245"/>
    </row>
    <row r="246" spans="2:59">
      <c r="B246" s="150"/>
      <c r="AZ246" s="181">
        <v>10044208</v>
      </c>
      <c r="BA246" s="182" t="s">
        <v>802</v>
      </c>
      <c r="BB246" s="182">
        <v>1</v>
      </c>
      <c r="BC246" t="s">
        <v>803</v>
      </c>
      <c r="BD246" t="s">
        <v>804</v>
      </c>
      <c r="BE246" t="s">
        <v>805</v>
      </c>
      <c r="BG246"/>
    </row>
    <row r="247" spans="2:59">
      <c r="B247" s="150"/>
      <c r="AZ247" s="181">
        <v>10045958</v>
      </c>
      <c r="BA247" s="182" t="s">
        <v>806</v>
      </c>
      <c r="BB247" s="182">
        <v>2</v>
      </c>
      <c r="BC247" t="s">
        <v>807</v>
      </c>
      <c r="BD247" t="s">
        <v>808</v>
      </c>
      <c r="BE247" t="s">
        <v>809</v>
      </c>
      <c r="BG247"/>
    </row>
    <row r="248" spans="2:59">
      <c r="B248" s="150"/>
      <c r="AZ248" s="181">
        <v>10043437</v>
      </c>
      <c r="BA248" s="182" t="s">
        <v>810</v>
      </c>
      <c r="BB248" s="182">
        <v>1</v>
      </c>
      <c r="BC248" t="s">
        <v>811</v>
      </c>
      <c r="BD248" t="s">
        <v>812</v>
      </c>
      <c r="BE248" t="s">
        <v>813</v>
      </c>
      <c r="BG248"/>
    </row>
    <row r="249" spans="2:59">
      <c r="B249" s="150"/>
      <c r="AZ249" s="181">
        <v>10044941</v>
      </c>
      <c r="BA249" s="182" t="s">
        <v>814</v>
      </c>
      <c r="BB249" s="182">
        <v>1</v>
      </c>
      <c r="BC249" t="s">
        <v>811</v>
      </c>
      <c r="BD249" t="s">
        <v>815</v>
      </c>
      <c r="BE249" t="s">
        <v>813</v>
      </c>
      <c r="BG249"/>
    </row>
    <row r="250" spans="2:59">
      <c r="B250" s="150"/>
      <c r="AZ250" s="181">
        <v>10044714</v>
      </c>
      <c r="BA250" s="182" t="s">
        <v>816</v>
      </c>
      <c r="BB250" s="182">
        <v>1</v>
      </c>
      <c r="BC250" t="s">
        <v>817</v>
      </c>
      <c r="BD250" t="s">
        <v>22</v>
      </c>
      <c r="BE250" t="s">
        <v>818</v>
      </c>
      <c r="BG250"/>
    </row>
    <row r="251" spans="2:59">
      <c r="B251" s="150"/>
      <c r="AZ251" s="181">
        <v>10044454</v>
      </c>
      <c r="BA251" s="182" t="s">
        <v>819</v>
      </c>
      <c r="BB251" s="182">
        <v>1</v>
      </c>
      <c r="BC251" t="s">
        <v>820</v>
      </c>
      <c r="BD251" t="s">
        <v>821</v>
      </c>
      <c r="BE251" t="s">
        <v>822</v>
      </c>
      <c r="BG251"/>
    </row>
    <row r="252" spans="2:59">
      <c r="B252" s="150"/>
      <c r="AZ252" s="181">
        <v>10045143</v>
      </c>
      <c r="BA252" s="182" t="s">
        <v>823</v>
      </c>
      <c r="BB252" s="182">
        <v>1</v>
      </c>
      <c r="BC252" t="s">
        <v>820</v>
      </c>
      <c r="BD252" t="s">
        <v>824</v>
      </c>
      <c r="BE252" t="s">
        <v>822</v>
      </c>
      <c r="BG252"/>
    </row>
    <row r="253" spans="2:59">
      <c r="B253" s="150"/>
      <c r="AZ253" s="181">
        <v>10044762</v>
      </c>
      <c r="BA253" s="182" t="s">
        <v>825</v>
      </c>
      <c r="BB253" s="182">
        <v>1</v>
      </c>
      <c r="BC253" t="s">
        <v>826</v>
      </c>
      <c r="BD253" t="s">
        <v>827</v>
      </c>
      <c r="BE253" t="s">
        <v>828</v>
      </c>
      <c r="BG253"/>
    </row>
    <row r="254" spans="2:59">
      <c r="B254" s="150"/>
      <c r="AZ254" s="181">
        <v>10041831</v>
      </c>
      <c r="BA254" s="182" t="s">
        <v>829</v>
      </c>
      <c r="BB254" s="182">
        <v>1</v>
      </c>
      <c r="BC254" t="s">
        <v>830</v>
      </c>
      <c r="BD254" t="s">
        <v>831</v>
      </c>
      <c r="BE254" t="s">
        <v>832</v>
      </c>
      <c r="BG254"/>
    </row>
    <row r="255" spans="2:59">
      <c r="B255" s="150"/>
      <c r="AZ255" s="181">
        <v>10043368</v>
      </c>
      <c r="BA255" s="182" t="s">
        <v>833</v>
      </c>
      <c r="BB255" s="182">
        <v>1</v>
      </c>
      <c r="BC255" t="s">
        <v>830</v>
      </c>
      <c r="BD255" t="s">
        <v>834</v>
      </c>
      <c r="BE255" t="s">
        <v>832</v>
      </c>
      <c r="BG255"/>
    </row>
    <row r="256" spans="2:59">
      <c r="B256" s="150"/>
      <c r="AZ256" s="181">
        <v>10043374</v>
      </c>
      <c r="BA256" s="182" t="s">
        <v>835</v>
      </c>
      <c r="BB256" s="182">
        <v>1</v>
      </c>
      <c r="BC256" t="s">
        <v>830</v>
      </c>
      <c r="BD256" t="s">
        <v>834</v>
      </c>
      <c r="BE256" t="s">
        <v>832</v>
      </c>
      <c r="BG256"/>
    </row>
    <row r="257" spans="2:59">
      <c r="B257" s="150"/>
      <c r="AZ257" s="181"/>
      <c r="BA257" s="182"/>
      <c r="BB257" s="182"/>
      <c r="BC257"/>
      <c r="BD257"/>
      <c r="BE257"/>
      <c r="BG257"/>
    </row>
    <row r="258" spans="2:59">
      <c r="B258" s="150"/>
      <c r="AZ258" s="181"/>
      <c r="BA258" s="182"/>
      <c r="BB258" s="182"/>
      <c r="BC258"/>
      <c r="BD258"/>
      <c r="BE258"/>
      <c r="BG258"/>
    </row>
    <row r="259" spans="2:59">
      <c r="B259" s="150"/>
      <c r="AZ259" s="181"/>
      <c r="BA259" s="182"/>
      <c r="BB259" s="182"/>
      <c r="BC259"/>
      <c r="BD259"/>
      <c r="BE259"/>
      <c r="BG259"/>
    </row>
    <row r="260" spans="2:59">
      <c r="B260" s="150"/>
      <c r="AZ260" s="181"/>
      <c r="BA260" s="182"/>
      <c r="BB260" s="182"/>
      <c r="BC260"/>
      <c r="BD260"/>
      <c r="BE260"/>
      <c r="BG260"/>
    </row>
    <row r="261" spans="2:59">
      <c r="B261" s="150"/>
      <c r="AZ261" s="181"/>
      <c r="BA261" s="182"/>
      <c r="BB261" s="182"/>
      <c r="BC261"/>
      <c r="BD261"/>
      <c r="BE261"/>
      <c r="BG261"/>
    </row>
    <row r="262" spans="2:59">
      <c r="B262" s="150"/>
      <c r="AZ262" s="181"/>
      <c r="BA262" s="182"/>
      <c r="BB262" s="182"/>
      <c r="BC262"/>
      <c r="BD262"/>
      <c r="BE262"/>
      <c r="BG262"/>
    </row>
    <row r="263" spans="2:59">
      <c r="B263" s="150"/>
      <c r="AZ263" s="181"/>
      <c r="BA263" s="182"/>
      <c r="BB263" s="182"/>
      <c r="BC263"/>
      <c r="BD263"/>
      <c r="BE263"/>
      <c r="BG263"/>
    </row>
    <row r="264" spans="2:59">
      <c r="B264" s="150"/>
      <c r="AZ264" s="181"/>
      <c r="BA264" s="182"/>
      <c r="BB264" s="182"/>
      <c r="BC264"/>
      <c r="BD264"/>
      <c r="BE264"/>
      <c r="BG264"/>
    </row>
    <row r="265" spans="2:59">
      <c r="B265" s="150"/>
      <c r="AZ265" s="181"/>
      <c r="BA265" s="182"/>
      <c r="BB265" s="182"/>
      <c r="BC265"/>
      <c r="BD265"/>
      <c r="BE265"/>
      <c r="BG265"/>
    </row>
    <row r="266" spans="2:59">
      <c r="B266" s="150"/>
      <c r="AZ266" s="181"/>
      <c r="BA266" s="182"/>
      <c r="BB266" s="182"/>
      <c r="BC266"/>
      <c r="BD266"/>
      <c r="BE266"/>
      <c r="BG266"/>
    </row>
    <row r="267" spans="2:59">
      <c r="B267" s="150"/>
      <c r="AZ267" s="181"/>
      <c r="BA267" s="182"/>
      <c r="BB267" s="182"/>
      <c r="BC267"/>
      <c r="BD267"/>
      <c r="BE267"/>
      <c r="BG267"/>
    </row>
    <row r="268" spans="2:59">
      <c r="B268" s="150"/>
      <c r="AZ268" s="181"/>
      <c r="BA268" s="182"/>
      <c r="BB268" s="182"/>
      <c r="BC268"/>
      <c r="BD268"/>
      <c r="BE268"/>
      <c r="BG268"/>
    </row>
    <row r="269" spans="2:59">
      <c r="B269" s="150"/>
      <c r="AZ269" s="181"/>
      <c r="BA269" s="182"/>
      <c r="BB269" s="182"/>
      <c r="BC269"/>
      <c r="BD269"/>
      <c r="BE269"/>
      <c r="BG269"/>
    </row>
    <row r="270" spans="2:59">
      <c r="B270" s="150"/>
      <c r="AZ270" s="181"/>
      <c r="BA270" s="182"/>
      <c r="BB270" s="182"/>
      <c r="BC270"/>
      <c r="BD270"/>
      <c r="BE270"/>
      <c r="BG270"/>
    </row>
    <row r="271" spans="2:59">
      <c r="B271" s="150"/>
      <c r="AZ271" s="181"/>
      <c r="BA271" s="182"/>
      <c r="BB271" s="182"/>
      <c r="BC271"/>
      <c r="BD271"/>
      <c r="BE271"/>
      <c r="BG271"/>
    </row>
    <row r="272" spans="2:59">
      <c r="B272" s="150"/>
      <c r="AZ272" s="181"/>
      <c r="BA272" s="182"/>
      <c r="BB272" s="182"/>
      <c r="BC272"/>
      <c r="BD272"/>
      <c r="BE272"/>
      <c r="BG272"/>
    </row>
    <row r="273" spans="2:59">
      <c r="B273" s="150"/>
      <c r="AZ273" s="181"/>
      <c r="BA273" s="182"/>
      <c r="BB273" s="182"/>
      <c r="BC273"/>
      <c r="BD273"/>
      <c r="BE273"/>
      <c r="BG273"/>
    </row>
    <row r="274" spans="2:59">
      <c r="B274" s="150"/>
      <c r="AZ274" s="181"/>
      <c r="BA274" s="182"/>
      <c r="BB274" s="182"/>
      <c r="BC274"/>
      <c r="BD274"/>
      <c r="BE274"/>
      <c r="BG274"/>
    </row>
    <row r="275" spans="2:59">
      <c r="B275" s="150"/>
      <c r="AZ275" s="181"/>
      <c r="BA275" s="182"/>
      <c r="BB275" s="182"/>
      <c r="BC275"/>
      <c r="BD275"/>
      <c r="BE275"/>
      <c r="BG275"/>
    </row>
    <row r="276" spans="2:59">
      <c r="B276" s="150"/>
      <c r="AZ276" s="181"/>
      <c r="BA276" s="182"/>
      <c r="BB276" s="182"/>
      <c r="BC276"/>
      <c r="BD276"/>
      <c r="BE276"/>
      <c r="BG276"/>
    </row>
    <row r="277" spans="2:59">
      <c r="B277" s="150"/>
      <c r="AZ277" s="181"/>
      <c r="BA277" s="182"/>
      <c r="BB277" s="182"/>
      <c r="BC277"/>
      <c r="BD277"/>
      <c r="BE277"/>
      <c r="BG277"/>
    </row>
    <row r="278" spans="2:59">
      <c r="B278" s="150"/>
      <c r="AZ278" s="181"/>
      <c r="BA278" s="182"/>
      <c r="BB278" s="182"/>
      <c r="BC278"/>
      <c r="BD278"/>
      <c r="BE278"/>
      <c r="BG278"/>
    </row>
    <row r="279" spans="2:59">
      <c r="B279" s="150"/>
      <c r="AZ279" s="181"/>
      <c r="BA279" s="182"/>
      <c r="BB279" s="182"/>
      <c r="BC279"/>
      <c r="BD279"/>
      <c r="BE279"/>
      <c r="BG279"/>
    </row>
    <row r="280" spans="2:59">
      <c r="B280" s="150"/>
      <c r="AZ280" s="181"/>
      <c r="BA280" s="182"/>
      <c r="BB280" s="182"/>
      <c r="BC280"/>
      <c r="BD280"/>
      <c r="BE280"/>
      <c r="BG280"/>
    </row>
    <row r="281" spans="2:59">
      <c r="B281" s="150"/>
      <c r="AZ281" s="181"/>
      <c r="BA281" s="182"/>
      <c r="BB281" s="182"/>
      <c r="BC281"/>
      <c r="BD281"/>
      <c r="BE281"/>
      <c r="BG281"/>
    </row>
    <row r="282" spans="2:59">
      <c r="B282" s="150"/>
      <c r="AZ282" s="181"/>
      <c r="BA282" s="182"/>
      <c r="BB282" s="182"/>
      <c r="BC282"/>
      <c r="BD282"/>
      <c r="BE282"/>
      <c r="BG282"/>
    </row>
    <row r="283" spans="2:59">
      <c r="B283" s="150"/>
      <c r="AZ283" s="181"/>
      <c r="BA283" s="182"/>
      <c r="BB283" s="182"/>
      <c r="BC283"/>
      <c r="BD283"/>
      <c r="BE283"/>
      <c r="BG283"/>
    </row>
    <row r="284" spans="2:59">
      <c r="B284" s="150"/>
      <c r="AZ284" s="181"/>
      <c r="BA284" s="182"/>
      <c r="BB284" s="182"/>
      <c r="BC284"/>
      <c r="BD284"/>
      <c r="BE284"/>
      <c r="BG284"/>
    </row>
    <row r="285" spans="2:59">
      <c r="B285" s="150"/>
      <c r="AZ285" s="181"/>
      <c r="BA285" s="182"/>
      <c r="BB285" s="182"/>
      <c r="BC285"/>
      <c r="BD285"/>
      <c r="BE285"/>
      <c r="BG285"/>
    </row>
    <row r="286" spans="2:59">
      <c r="B286" s="150"/>
      <c r="AZ286" s="181"/>
      <c r="BA286" s="182"/>
      <c r="BB286" s="182"/>
      <c r="BC286"/>
      <c r="BD286"/>
      <c r="BE286"/>
      <c r="BG286"/>
    </row>
    <row r="287" spans="2:59">
      <c r="B287" s="150"/>
      <c r="AZ287" s="181"/>
      <c r="BA287" s="182"/>
      <c r="BB287" s="182"/>
      <c r="BC287"/>
      <c r="BD287"/>
      <c r="BE287"/>
      <c r="BG287"/>
    </row>
    <row r="288" spans="2:59">
      <c r="B288" s="150"/>
      <c r="AZ288" s="181"/>
      <c r="BA288" s="182"/>
      <c r="BB288" s="182"/>
      <c r="BC288"/>
      <c r="BD288"/>
      <c r="BE288"/>
      <c r="BG288"/>
    </row>
    <row r="289" spans="2:59">
      <c r="B289" s="150"/>
      <c r="AZ289" s="181"/>
      <c r="BA289" s="182"/>
      <c r="BB289" s="182"/>
      <c r="BC289"/>
      <c r="BD289"/>
      <c r="BE289"/>
      <c r="BG289"/>
    </row>
    <row r="290" spans="2:59">
      <c r="B290" s="150"/>
      <c r="AZ290" s="181"/>
      <c r="BA290" s="182"/>
      <c r="BB290" s="182"/>
      <c r="BC290"/>
      <c r="BD290"/>
      <c r="BE290"/>
      <c r="BG290"/>
    </row>
    <row r="291" spans="2:59">
      <c r="B291" s="150"/>
      <c r="AZ291" s="181"/>
      <c r="BA291" s="182"/>
      <c r="BB291" s="182"/>
      <c r="BC291"/>
      <c r="BD291"/>
      <c r="BE291"/>
      <c r="BG291"/>
    </row>
    <row r="292" spans="2:59">
      <c r="B292" s="150"/>
      <c r="AZ292" s="181"/>
      <c r="BA292" s="182"/>
      <c r="BB292" s="182"/>
      <c r="BC292"/>
      <c r="BD292"/>
      <c r="BE292"/>
      <c r="BG292"/>
    </row>
    <row r="293" spans="2:59">
      <c r="B293" s="150"/>
      <c r="AZ293" s="181"/>
      <c r="BA293" s="182"/>
      <c r="BB293" s="182"/>
      <c r="BC293"/>
      <c r="BD293"/>
      <c r="BE293"/>
      <c r="BG293"/>
    </row>
    <row r="294" spans="2:59">
      <c r="B294" s="150"/>
      <c r="AZ294" s="181"/>
      <c r="BA294" s="182"/>
      <c r="BB294" s="182"/>
      <c r="BC294"/>
      <c r="BD294"/>
      <c r="BE294"/>
      <c r="BG294"/>
    </row>
    <row r="295" spans="2:59">
      <c r="B295" s="150"/>
      <c r="AZ295" s="181"/>
      <c r="BA295" s="182"/>
      <c r="BB295" s="182"/>
      <c r="BC295"/>
      <c r="BD295"/>
      <c r="BE295"/>
      <c r="BG295"/>
    </row>
    <row r="296" spans="2:59">
      <c r="B296" s="150"/>
      <c r="AZ296" s="181"/>
      <c r="BA296" s="182"/>
      <c r="BB296" s="182"/>
      <c r="BC296"/>
      <c r="BD296"/>
      <c r="BE296"/>
      <c r="BG296"/>
    </row>
    <row r="297" spans="2:59">
      <c r="B297" s="150"/>
      <c r="AZ297" s="181"/>
      <c r="BA297" s="182"/>
      <c r="BB297" s="182"/>
      <c r="BC297"/>
      <c r="BD297"/>
      <c r="BE297"/>
      <c r="BG297"/>
    </row>
    <row r="298" spans="2:59">
      <c r="B298" s="150"/>
      <c r="AZ298" s="181"/>
      <c r="BA298" s="182"/>
      <c r="BB298" s="182"/>
      <c r="BC298"/>
      <c r="BD298"/>
      <c r="BE298"/>
      <c r="BG298"/>
    </row>
    <row r="299" spans="2:59">
      <c r="B299" s="150"/>
      <c r="AZ299" s="181"/>
      <c r="BA299" s="182"/>
      <c r="BB299" s="182"/>
      <c r="BC299"/>
      <c r="BD299"/>
      <c r="BE299"/>
      <c r="BG299"/>
    </row>
    <row r="300" spans="2:59">
      <c r="B300" s="150"/>
      <c r="AZ300" s="181"/>
      <c r="BA300" s="182"/>
      <c r="BB300" s="182"/>
      <c r="BC300"/>
      <c r="BD300"/>
      <c r="BE300"/>
      <c r="BG300"/>
    </row>
    <row r="301" spans="2:59">
      <c r="B301" s="150"/>
      <c r="AZ301" s="181"/>
      <c r="BA301" s="182"/>
      <c r="BB301" s="182"/>
      <c r="BC301"/>
      <c r="BD301"/>
      <c r="BE301"/>
      <c r="BG301"/>
    </row>
    <row r="302" spans="2:59">
      <c r="B302" s="150"/>
      <c r="AZ302" s="181"/>
      <c r="BA302" s="182"/>
      <c r="BB302" s="182"/>
      <c r="BC302"/>
      <c r="BD302"/>
      <c r="BE302"/>
      <c r="BG302"/>
    </row>
    <row r="303" spans="2:59">
      <c r="B303" s="150"/>
      <c r="AZ303" s="181"/>
      <c r="BA303" s="182"/>
      <c r="BB303" s="182"/>
      <c r="BC303"/>
      <c r="BD303"/>
      <c r="BE303"/>
      <c r="BG303"/>
    </row>
    <row r="304" spans="2:59">
      <c r="B304" s="150"/>
      <c r="AZ304" s="181"/>
      <c r="BA304" s="182"/>
      <c r="BB304" s="182"/>
      <c r="BC304"/>
      <c r="BD304"/>
      <c r="BE304"/>
      <c r="BG304"/>
    </row>
    <row r="305" spans="2:59">
      <c r="B305" s="150"/>
      <c r="AZ305" s="181"/>
      <c r="BA305" s="182"/>
      <c r="BB305" s="182"/>
      <c r="BC305"/>
      <c r="BD305"/>
      <c r="BE305"/>
      <c r="BG305"/>
    </row>
    <row r="306" spans="2:59">
      <c r="B306" s="150"/>
      <c r="AZ306" s="181"/>
      <c r="BA306" s="182"/>
      <c r="BB306" s="182"/>
      <c r="BC306"/>
      <c r="BD306"/>
      <c r="BE306"/>
      <c r="BG306"/>
    </row>
    <row r="307" spans="2:59">
      <c r="B307" s="150"/>
      <c r="AZ307" s="181"/>
      <c r="BA307" s="182"/>
      <c r="BB307" s="182"/>
      <c r="BC307"/>
      <c r="BD307"/>
      <c r="BE307"/>
      <c r="BG307"/>
    </row>
    <row r="308" spans="2:59">
      <c r="B308" s="150"/>
      <c r="AZ308" s="181"/>
      <c r="BA308" s="182"/>
      <c r="BB308" s="182"/>
      <c r="BC308"/>
      <c r="BD308"/>
      <c r="BE308"/>
      <c r="BG308"/>
    </row>
    <row r="309" spans="2:59">
      <c r="B309" s="150"/>
      <c r="AZ309" s="181"/>
      <c r="BA309" s="182"/>
      <c r="BB309" s="182"/>
      <c r="BC309"/>
      <c r="BD309"/>
      <c r="BE309"/>
      <c r="BG309"/>
    </row>
    <row r="310" spans="2:59">
      <c r="B310" s="150"/>
      <c r="AZ310" s="181"/>
      <c r="BA310" s="182"/>
      <c r="BB310" s="182"/>
      <c r="BC310"/>
      <c r="BD310"/>
      <c r="BE310"/>
      <c r="BG310"/>
    </row>
    <row r="311" spans="2:59">
      <c r="B311" s="150"/>
      <c r="AZ311" s="181"/>
      <c r="BA311" s="182"/>
      <c r="BB311" s="182"/>
      <c r="BC311"/>
      <c r="BD311"/>
      <c r="BE311"/>
      <c r="BG311"/>
    </row>
    <row r="312" spans="2:59">
      <c r="B312" s="150"/>
      <c r="AZ312" s="181"/>
      <c r="BA312" s="182"/>
      <c r="BB312" s="182"/>
      <c r="BC312"/>
      <c r="BD312"/>
      <c r="BE312"/>
      <c r="BG312"/>
    </row>
    <row r="313" spans="2:59">
      <c r="B313" s="150"/>
      <c r="AZ313" s="181"/>
      <c r="BA313" s="182"/>
      <c r="BB313" s="182"/>
      <c r="BC313"/>
      <c r="BD313"/>
      <c r="BE313"/>
      <c r="BG313"/>
    </row>
    <row r="314" spans="2:59">
      <c r="B314" s="150"/>
      <c r="AZ314" s="181"/>
      <c r="BA314" s="182"/>
      <c r="BB314" s="182"/>
      <c r="BC314"/>
      <c r="BD314"/>
      <c r="BE314"/>
      <c r="BG314"/>
    </row>
    <row r="315" spans="2:59">
      <c r="B315" s="150"/>
      <c r="AZ315" s="181"/>
      <c r="BA315" s="182"/>
      <c r="BB315" s="182"/>
      <c r="BC315"/>
      <c r="BD315"/>
      <c r="BE315"/>
      <c r="BG315"/>
    </row>
    <row r="316" spans="2:59">
      <c r="B316" s="150"/>
      <c r="AZ316" s="181"/>
      <c r="BA316" s="182"/>
      <c r="BB316" s="182"/>
      <c r="BC316"/>
      <c r="BD316"/>
      <c r="BE316"/>
      <c r="BG316"/>
    </row>
    <row r="317" spans="2:59">
      <c r="B317" s="150"/>
      <c r="AZ317" s="181"/>
      <c r="BA317" s="182"/>
      <c r="BB317" s="182"/>
      <c r="BC317"/>
      <c r="BD317"/>
      <c r="BE317"/>
      <c r="BG317"/>
    </row>
    <row r="318" spans="2:59">
      <c r="B318" s="150"/>
      <c r="AZ318" s="181"/>
      <c r="BA318" s="182"/>
      <c r="BB318" s="182"/>
      <c r="BC318"/>
      <c r="BD318"/>
      <c r="BE318"/>
      <c r="BG318"/>
    </row>
    <row r="319" spans="2:59">
      <c r="B319" s="150"/>
      <c r="AZ319" s="181"/>
      <c r="BA319" s="182"/>
      <c r="BB319" s="182"/>
      <c r="BC319"/>
      <c r="BD319"/>
      <c r="BE319"/>
      <c r="BG319"/>
    </row>
    <row r="320" spans="2:59">
      <c r="B320" s="150"/>
      <c r="AZ320" s="181"/>
      <c r="BA320" s="182"/>
      <c r="BB320" s="182"/>
      <c r="BC320"/>
      <c r="BD320"/>
      <c r="BE320"/>
      <c r="BG320"/>
    </row>
    <row r="321" spans="2:59">
      <c r="B321" s="150"/>
      <c r="AZ321" s="181"/>
      <c r="BA321" s="182"/>
      <c r="BB321" s="182"/>
      <c r="BC321"/>
      <c r="BD321"/>
      <c r="BE321"/>
      <c r="BG321"/>
    </row>
    <row r="322" spans="2:59">
      <c r="B322" s="150"/>
      <c r="AZ322" s="181"/>
      <c r="BA322" s="182"/>
      <c r="BB322" s="182"/>
      <c r="BC322"/>
      <c r="BD322"/>
      <c r="BE322"/>
      <c r="BG322"/>
    </row>
    <row r="323" spans="2:59">
      <c r="B323" s="150"/>
      <c r="AZ323" s="181"/>
      <c r="BA323" s="182"/>
      <c r="BB323" s="182"/>
      <c r="BC323"/>
      <c r="BD323"/>
      <c r="BE323"/>
      <c r="BG323"/>
    </row>
    <row r="324" spans="2:59">
      <c r="B324" s="150"/>
      <c r="AZ324" s="181"/>
      <c r="BA324" s="182"/>
      <c r="BB324" s="182"/>
      <c r="BC324"/>
      <c r="BD324"/>
      <c r="BE324"/>
      <c r="BG324"/>
    </row>
    <row r="325" spans="2:59">
      <c r="B325" s="150"/>
      <c r="AZ325" s="181"/>
      <c r="BA325" s="182"/>
      <c r="BB325" s="182"/>
      <c r="BC325"/>
      <c r="BD325"/>
      <c r="BE325"/>
      <c r="BG325"/>
    </row>
    <row r="326" spans="2:59">
      <c r="B326" s="150"/>
      <c r="AZ326" s="181"/>
      <c r="BA326" s="182"/>
      <c r="BB326" s="182"/>
      <c r="BC326"/>
      <c r="BD326"/>
      <c r="BE326"/>
      <c r="BG326"/>
    </row>
    <row r="327" spans="2:59">
      <c r="B327" s="150"/>
      <c r="AZ327" s="181"/>
      <c r="BA327" s="182"/>
      <c r="BB327" s="182"/>
      <c r="BC327"/>
      <c r="BD327"/>
      <c r="BE327"/>
      <c r="BG327"/>
    </row>
    <row r="328" spans="2:59">
      <c r="B328" s="150"/>
      <c r="AZ328" s="181"/>
      <c r="BA328" s="182"/>
      <c r="BB328" s="182"/>
      <c r="BC328"/>
      <c r="BD328"/>
      <c r="BE328"/>
      <c r="BG328"/>
    </row>
    <row r="329" spans="2:59">
      <c r="B329" s="150"/>
      <c r="AZ329" s="181"/>
      <c r="BA329" s="182"/>
      <c r="BB329" s="182"/>
      <c r="BC329"/>
      <c r="BD329"/>
      <c r="BE329"/>
      <c r="BG329"/>
    </row>
    <row r="330" spans="2:59">
      <c r="B330" s="150"/>
      <c r="AZ330" s="181"/>
      <c r="BA330" s="182"/>
      <c r="BB330" s="182"/>
      <c r="BC330"/>
      <c r="BD330"/>
      <c r="BE330"/>
      <c r="BG330"/>
    </row>
    <row r="331" spans="2:59">
      <c r="B331" s="150"/>
      <c r="AZ331" s="181"/>
      <c r="BA331" s="182"/>
      <c r="BB331" s="182"/>
      <c r="BC331"/>
      <c r="BD331"/>
      <c r="BE331"/>
      <c r="BG331"/>
    </row>
    <row r="332" spans="2:59">
      <c r="B332" s="150"/>
      <c r="AZ332" s="181"/>
      <c r="BA332" s="182"/>
      <c r="BB332" s="182"/>
      <c r="BC332"/>
      <c r="BD332"/>
      <c r="BE332"/>
      <c r="BG332"/>
    </row>
    <row r="333" spans="2:59">
      <c r="B333" s="150"/>
      <c r="AZ333" s="181"/>
      <c r="BA333" s="182"/>
      <c r="BB333" s="182"/>
      <c r="BC333"/>
      <c r="BD333"/>
      <c r="BE333"/>
      <c r="BG333"/>
    </row>
    <row r="334" spans="2:59">
      <c r="B334" s="150"/>
      <c r="AZ334" s="181"/>
      <c r="BA334" s="182"/>
      <c r="BB334" s="182"/>
      <c r="BC334"/>
      <c r="BD334"/>
      <c r="BE334"/>
      <c r="BG334"/>
    </row>
    <row r="335" spans="2:59">
      <c r="B335" s="150"/>
      <c r="AZ335" s="181"/>
      <c r="BA335" s="182"/>
      <c r="BB335" s="182"/>
      <c r="BC335"/>
      <c r="BD335"/>
      <c r="BE335"/>
      <c r="BG335"/>
    </row>
    <row r="336" spans="2:59">
      <c r="B336" s="150"/>
      <c r="AZ336" s="181"/>
      <c r="BA336" s="182"/>
      <c r="BB336" s="182"/>
      <c r="BC336"/>
      <c r="BD336"/>
      <c r="BE336"/>
      <c r="BG336"/>
    </row>
    <row r="337" spans="2:59">
      <c r="B337" s="150"/>
      <c r="AZ337" s="181"/>
      <c r="BA337" s="182"/>
      <c r="BB337" s="182"/>
      <c r="BC337"/>
      <c r="BD337"/>
      <c r="BE337"/>
      <c r="BG337"/>
    </row>
    <row r="338" spans="2:59">
      <c r="B338" s="150"/>
      <c r="AZ338" s="181"/>
      <c r="BA338" s="182"/>
      <c r="BB338" s="182"/>
      <c r="BC338"/>
      <c r="BD338"/>
      <c r="BE338"/>
      <c r="BG338"/>
    </row>
    <row r="339" spans="2:59">
      <c r="B339" s="150"/>
      <c r="AZ339" s="181"/>
      <c r="BA339" s="182"/>
      <c r="BB339" s="182"/>
      <c r="BC339"/>
      <c r="BD339"/>
      <c r="BE339"/>
      <c r="BG339"/>
    </row>
    <row r="340" spans="2:59">
      <c r="B340" s="150"/>
      <c r="AZ340" s="181"/>
      <c r="BA340" s="182"/>
      <c r="BB340" s="182"/>
      <c r="BC340"/>
      <c r="BD340"/>
      <c r="BE340"/>
      <c r="BG340"/>
    </row>
    <row r="341" spans="2:59">
      <c r="B341" s="150"/>
      <c r="AZ341" s="181"/>
      <c r="BA341" s="182"/>
      <c r="BB341" s="182"/>
      <c r="BC341"/>
      <c r="BD341"/>
      <c r="BE341"/>
      <c r="BG341"/>
    </row>
    <row r="342" spans="2:59">
      <c r="B342" s="150"/>
      <c r="AZ342" s="181"/>
      <c r="BA342" s="182"/>
      <c r="BB342" s="182"/>
      <c r="BC342"/>
      <c r="BD342"/>
      <c r="BE342"/>
      <c r="BG342"/>
    </row>
    <row r="343" spans="2:59">
      <c r="B343" s="150"/>
      <c r="AZ343" s="181"/>
      <c r="BA343" s="182"/>
      <c r="BB343" s="182"/>
      <c r="BC343"/>
      <c r="BD343"/>
      <c r="BE343"/>
      <c r="BG343"/>
    </row>
    <row r="344" spans="2:59">
      <c r="B344" s="150"/>
      <c r="AZ344" s="181"/>
      <c r="BA344" s="182"/>
      <c r="BB344" s="182"/>
      <c r="BC344"/>
      <c r="BD344"/>
      <c r="BE344"/>
      <c r="BG344"/>
    </row>
    <row r="345" spans="2:59">
      <c r="B345" s="150"/>
      <c r="AZ345" s="181"/>
      <c r="BA345" s="182"/>
      <c r="BB345" s="182"/>
      <c r="BC345"/>
      <c r="BD345"/>
      <c r="BE345"/>
      <c r="BG345"/>
    </row>
    <row r="346" spans="2:59">
      <c r="B346" s="150"/>
      <c r="AZ346" s="181"/>
      <c r="BA346" s="182"/>
      <c r="BB346" s="182"/>
      <c r="BC346"/>
      <c r="BD346"/>
      <c r="BE346"/>
      <c r="BG346"/>
    </row>
    <row r="347" spans="2:59">
      <c r="B347" s="150"/>
      <c r="AZ347" s="181"/>
      <c r="BA347" s="182"/>
      <c r="BB347" s="182"/>
      <c r="BC347"/>
      <c r="BD347"/>
      <c r="BE347"/>
      <c r="BG347"/>
    </row>
    <row r="348" spans="2:59">
      <c r="B348" s="150"/>
      <c r="AZ348" s="181"/>
      <c r="BA348" s="182"/>
      <c r="BB348" s="182"/>
      <c r="BC348"/>
      <c r="BD348"/>
      <c r="BE348"/>
      <c r="BG348"/>
    </row>
    <row r="349" spans="2:59">
      <c r="B349" s="150"/>
      <c r="AZ349" s="181"/>
      <c r="BA349" s="182"/>
      <c r="BB349" s="182"/>
      <c r="BC349"/>
      <c r="BD349"/>
      <c r="BE349"/>
      <c r="BG349"/>
    </row>
    <row r="350" spans="2:59">
      <c r="B350" s="150"/>
      <c r="AZ350" s="181"/>
      <c r="BA350" s="182"/>
      <c r="BB350" s="182"/>
      <c r="BC350"/>
      <c r="BD350"/>
      <c r="BE350"/>
      <c r="BG350"/>
    </row>
    <row r="351" spans="2:59">
      <c r="B351" s="150"/>
      <c r="AZ351" s="181"/>
      <c r="BA351" s="182"/>
      <c r="BB351" s="182"/>
      <c r="BC351"/>
      <c r="BD351"/>
      <c r="BE351"/>
      <c r="BG351"/>
    </row>
    <row r="352" spans="2:59">
      <c r="B352" s="150"/>
      <c r="AZ352" s="181"/>
      <c r="BA352" s="182"/>
      <c r="BB352" s="182"/>
      <c r="BC352"/>
      <c r="BD352"/>
      <c r="BE352"/>
      <c r="BG352"/>
    </row>
    <row r="353" spans="2:59">
      <c r="B353" s="150"/>
      <c r="AZ353" s="181"/>
      <c r="BA353" s="182"/>
      <c r="BB353" s="182"/>
      <c r="BC353"/>
      <c r="BD353"/>
      <c r="BE353"/>
      <c r="BG353"/>
    </row>
    <row r="354" spans="2:59">
      <c r="B354" s="150"/>
      <c r="AZ354" s="181"/>
      <c r="BA354" s="182"/>
      <c r="BB354" s="182"/>
      <c r="BC354"/>
      <c r="BD354"/>
      <c r="BE354"/>
      <c r="BG354"/>
    </row>
    <row r="355" spans="2:59">
      <c r="B355" s="150"/>
      <c r="AZ355" s="181"/>
      <c r="BA355" s="182"/>
      <c r="BB355" s="182"/>
      <c r="BC355"/>
      <c r="BD355"/>
      <c r="BE355"/>
      <c r="BG355"/>
    </row>
    <row r="356" spans="2:59">
      <c r="B356" s="150"/>
      <c r="AZ356" s="181"/>
      <c r="BA356" s="182"/>
      <c r="BB356" s="182"/>
      <c r="BC356"/>
      <c r="BD356"/>
      <c r="BE356"/>
      <c r="BG356"/>
    </row>
    <row r="357" spans="2:59">
      <c r="B357" s="150"/>
      <c r="AZ357" s="181"/>
      <c r="BA357" s="182"/>
      <c r="BB357" s="182"/>
      <c r="BC357"/>
      <c r="BD357"/>
      <c r="BE357"/>
      <c r="BG357"/>
    </row>
    <row r="358" spans="2:59">
      <c r="B358" s="150"/>
      <c r="AZ358" s="181"/>
      <c r="BA358" s="182"/>
      <c r="BB358" s="182"/>
      <c r="BC358"/>
      <c r="BD358"/>
      <c r="BE358"/>
      <c r="BG358"/>
    </row>
    <row r="359" spans="2:59">
      <c r="B359" s="150"/>
      <c r="AZ359" s="181"/>
      <c r="BA359" s="182"/>
      <c r="BB359" s="182"/>
      <c r="BC359"/>
      <c r="BD359"/>
      <c r="BE359"/>
      <c r="BG359"/>
    </row>
    <row r="360" spans="2:59">
      <c r="B360" s="150"/>
      <c r="AZ360" s="181"/>
      <c r="BA360" s="182"/>
      <c r="BB360" s="182"/>
      <c r="BC360"/>
      <c r="BD360"/>
      <c r="BE360"/>
      <c r="BG360"/>
    </row>
    <row r="361" spans="2:59">
      <c r="B361" s="150"/>
      <c r="AZ361" s="181"/>
      <c r="BA361" s="182"/>
      <c r="BB361" s="182"/>
      <c r="BC361"/>
      <c r="BD361"/>
      <c r="BE361"/>
      <c r="BG361"/>
    </row>
    <row r="362" spans="2:59">
      <c r="B362" s="150"/>
      <c r="AZ362" s="181"/>
      <c r="BA362" s="182"/>
      <c r="BB362" s="182"/>
      <c r="BC362"/>
      <c r="BD362"/>
      <c r="BE362"/>
      <c r="BG362"/>
    </row>
    <row r="363" spans="2:59">
      <c r="B363" s="150"/>
      <c r="AZ363" s="181"/>
      <c r="BA363" s="182"/>
      <c r="BB363" s="182"/>
      <c r="BC363"/>
      <c r="BD363"/>
      <c r="BE363"/>
      <c r="BG363"/>
    </row>
    <row r="364" spans="2:59">
      <c r="B364" s="150"/>
      <c r="AZ364" s="181"/>
      <c r="BA364" s="182"/>
      <c r="BB364" s="182"/>
      <c r="BC364"/>
      <c r="BD364"/>
      <c r="BE364"/>
      <c r="BG364"/>
    </row>
    <row r="365" spans="2:59">
      <c r="B365" s="150"/>
      <c r="AZ365" s="181"/>
      <c r="BA365" s="182"/>
      <c r="BB365" s="182"/>
      <c r="BC365"/>
      <c r="BD365"/>
      <c r="BE365"/>
      <c r="BG365"/>
    </row>
    <row r="366" spans="2:59">
      <c r="B366" s="150"/>
      <c r="AZ366" s="181"/>
      <c r="BA366" s="182"/>
      <c r="BB366" s="182"/>
      <c r="BC366"/>
      <c r="BD366"/>
      <c r="BE366"/>
      <c r="BG366"/>
    </row>
    <row r="367" spans="2:59">
      <c r="B367" s="150"/>
      <c r="AZ367" s="181"/>
      <c r="BA367" s="182"/>
      <c r="BB367" s="182"/>
      <c r="BC367"/>
      <c r="BD367"/>
      <c r="BE367"/>
      <c r="BG367"/>
    </row>
    <row r="368" spans="2:59">
      <c r="B368" s="150"/>
      <c r="AZ368" s="181"/>
      <c r="BA368" s="182"/>
      <c r="BB368" s="182"/>
      <c r="BC368"/>
      <c r="BD368"/>
      <c r="BE368"/>
      <c r="BG368"/>
    </row>
    <row r="369" spans="2:59">
      <c r="B369" s="150"/>
      <c r="AZ369" s="181"/>
      <c r="BA369" s="182"/>
      <c r="BB369" s="182"/>
      <c r="BC369"/>
      <c r="BD369"/>
      <c r="BE369"/>
      <c r="BG369"/>
    </row>
    <row r="370" spans="2:59">
      <c r="B370" s="150"/>
      <c r="AZ370" s="181"/>
      <c r="BA370" s="182"/>
      <c r="BB370" s="182"/>
      <c r="BC370"/>
      <c r="BD370"/>
      <c r="BE370"/>
      <c r="BG370"/>
    </row>
    <row r="371" spans="2:59">
      <c r="B371" s="150"/>
      <c r="AZ371" s="181"/>
      <c r="BA371" s="182"/>
      <c r="BB371" s="182"/>
      <c r="BC371"/>
      <c r="BD371"/>
      <c r="BE371"/>
      <c r="BG371"/>
    </row>
    <row r="372" spans="2:59">
      <c r="B372" s="150"/>
      <c r="AZ372" s="181"/>
      <c r="BA372" s="182"/>
      <c r="BB372" s="182"/>
      <c r="BC372"/>
      <c r="BD372"/>
      <c r="BE372"/>
      <c r="BG372"/>
    </row>
    <row r="373" spans="2:59">
      <c r="B373" s="150"/>
      <c r="AZ373" s="181"/>
      <c r="BA373" s="182"/>
      <c r="BB373" s="182"/>
      <c r="BC373"/>
      <c r="BD373"/>
      <c r="BE373"/>
      <c r="BG373"/>
    </row>
    <row r="374" spans="2:59">
      <c r="B374" s="150"/>
      <c r="AZ374" s="181"/>
      <c r="BA374" s="182"/>
      <c r="BB374" s="182"/>
      <c r="BC374"/>
      <c r="BD374"/>
      <c r="BE374"/>
      <c r="BG374"/>
    </row>
    <row r="375" spans="2:59">
      <c r="B375" s="150"/>
      <c r="AZ375" s="181"/>
      <c r="BA375" s="182"/>
      <c r="BB375" s="182"/>
      <c r="BC375"/>
      <c r="BD375"/>
      <c r="BE375"/>
      <c r="BG375"/>
    </row>
    <row r="376" spans="2:59">
      <c r="B376" s="150"/>
      <c r="AZ376" s="181"/>
      <c r="BA376" s="182"/>
      <c r="BB376" s="182"/>
      <c r="BC376"/>
      <c r="BD376"/>
      <c r="BE376"/>
      <c r="BG376"/>
    </row>
    <row r="377" spans="2:59">
      <c r="B377" s="150"/>
      <c r="AZ377" s="181"/>
      <c r="BA377" s="182"/>
      <c r="BB377" s="182"/>
      <c r="BC377"/>
      <c r="BD377"/>
      <c r="BE377"/>
      <c r="BG377"/>
    </row>
    <row r="378" spans="2:59">
      <c r="B378" s="150"/>
      <c r="AZ378" s="181"/>
      <c r="BA378" s="182"/>
      <c r="BB378" s="182"/>
      <c r="BC378"/>
      <c r="BD378"/>
      <c r="BE378"/>
      <c r="BG378"/>
    </row>
    <row r="379" spans="2:59">
      <c r="B379" s="150"/>
      <c r="AZ379" s="181"/>
      <c r="BA379" s="182"/>
      <c r="BB379" s="182"/>
      <c r="BC379"/>
      <c r="BD379"/>
      <c r="BE379"/>
      <c r="BG379"/>
    </row>
    <row r="380" spans="2:59">
      <c r="B380" s="150"/>
      <c r="AZ380" s="181"/>
      <c r="BA380" s="182"/>
      <c r="BB380" s="182"/>
      <c r="BC380"/>
      <c r="BD380"/>
      <c r="BE380"/>
      <c r="BG380"/>
    </row>
    <row r="381" spans="2:59">
      <c r="B381" s="150"/>
      <c r="AZ381" s="181"/>
      <c r="BA381" s="182"/>
      <c r="BB381" s="182"/>
      <c r="BC381"/>
      <c r="BD381"/>
      <c r="BE381"/>
      <c r="BG381"/>
    </row>
    <row r="382" spans="2:59">
      <c r="B382" s="150"/>
      <c r="AZ382" s="181"/>
      <c r="BA382" s="182"/>
      <c r="BB382" s="182"/>
      <c r="BC382"/>
      <c r="BD382"/>
      <c r="BE382"/>
      <c r="BG382"/>
    </row>
    <row r="383" spans="2:59">
      <c r="B383" s="150"/>
      <c r="AZ383" s="181"/>
      <c r="BA383" s="182"/>
      <c r="BB383" s="182"/>
      <c r="BC383"/>
      <c r="BD383"/>
      <c r="BE383"/>
      <c r="BG383"/>
    </row>
    <row r="384" spans="2:59">
      <c r="B384" s="150"/>
      <c r="AZ384" s="181"/>
      <c r="BA384" s="182"/>
      <c r="BB384" s="182"/>
      <c r="BC384"/>
      <c r="BD384"/>
      <c r="BE384"/>
      <c r="BG384"/>
    </row>
    <row r="385" spans="2:59">
      <c r="B385" s="150"/>
      <c r="AZ385" s="181"/>
      <c r="BA385" s="182"/>
      <c r="BB385" s="182"/>
      <c r="BC385"/>
      <c r="BD385"/>
      <c r="BE385"/>
      <c r="BG385"/>
    </row>
    <row r="386" spans="2:59">
      <c r="B386" s="150"/>
      <c r="AZ386" s="181"/>
      <c r="BA386" s="182"/>
      <c r="BB386" s="182"/>
      <c r="BC386"/>
      <c r="BD386"/>
      <c r="BE386"/>
      <c r="BG386"/>
    </row>
    <row r="387" spans="2:59">
      <c r="B387" s="150"/>
      <c r="AZ387" s="181"/>
      <c r="BA387" s="182"/>
      <c r="BB387" s="182"/>
      <c r="BC387"/>
      <c r="BD387"/>
      <c r="BE387"/>
      <c r="BG387"/>
    </row>
    <row r="388" spans="2:59">
      <c r="B388" s="150"/>
      <c r="AZ388" s="181"/>
      <c r="BA388" s="182"/>
      <c r="BB388" s="182"/>
      <c r="BC388"/>
      <c r="BD388"/>
      <c r="BE388"/>
      <c r="BG388"/>
    </row>
    <row r="389" spans="2:59">
      <c r="B389" s="150"/>
      <c r="AZ389" s="181"/>
      <c r="BA389" s="182"/>
      <c r="BB389" s="182"/>
      <c r="BC389"/>
      <c r="BD389"/>
      <c r="BE389"/>
      <c r="BG389"/>
    </row>
    <row r="390" spans="2:59">
      <c r="B390" s="150"/>
      <c r="AZ390" s="181"/>
      <c r="BA390" s="182"/>
      <c r="BB390" s="182"/>
      <c r="BC390"/>
      <c r="BD390"/>
      <c r="BE390"/>
      <c r="BG390"/>
    </row>
    <row r="391" spans="2:59">
      <c r="B391" s="150"/>
      <c r="AZ391" s="181"/>
      <c r="BA391" s="182"/>
      <c r="BB391" s="182"/>
      <c r="BC391"/>
      <c r="BD391"/>
      <c r="BE391"/>
      <c r="BG391"/>
    </row>
    <row r="392" spans="2:59">
      <c r="B392" s="150"/>
      <c r="AZ392" s="181"/>
      <c r="BA392" s="182"/>
      <c r="BB392" s="182"/>
      <c r="BC392"/>
      <c r="BD392"/>
      <c r="BE392"/>
      <c r="BG392"/>
    </row>
    <row r="393" spans="2:59">
      <c r="B393" s="150"/>
      <c r="AZ393" s="181"/>
      <c r="BA393" s="182"/>
      <c r="BB393" s="182"/>
      <c r="BC393"/>
      <c r="BD393"/>
      <c r="BE393"/>
      <c r="BG393"/>
    </row>
    <row r="394" spans="2:59">
      <c r="B394" s="150"/>
      <c r="AZ394" s="181"/>
      <c r="BA394" s="182"/>
      <c r="BB394" s="182"/>
      <c r="BC394"/>
      <c r="BD394"/>
      <c r="BE394"/>
      <c r="BG394"/>
    </row>
    <row r="395" spans="2:59">
      <c r="B395" s="150"/>
      <c r="AZ395" s="181"/>
      <c r="BA395" s="182"/>
      <c r="BB395" s="182"/>
      <c r="BC395"/>
      <c r="BD395"/>
      <c r="BE395"/>
      <c r="BG395"/>
    </row>
    <row r="396" spans="2:59">
      <c r="B396" s="150"/>
      <c r="AZ396" s="181"/>
      <c r="BA396" s="182"/>
      <c r="BB396" s="182"/>
      <c r="BC396"/>
      <c r="BD396"/>
      <c r="BE396"/>
      <c r="BG396"/>
    </row>
    <row r="397" spans="2:59">
      <c r="B397" s="150"/>
      <c r="AZ397" s="181"/>
      <c r="BA397" s="182"/>
      <c r="BB397" s="182"/>
      <c r="BC397"/>
      <c r="BD397"/>
      <c r="BE397"/>
      <c r="BG397"/>
    </row>
    <row r="398" spans="2:59">
      <c r="B398" s="150"/>
      <c r="AZ398" s="181"/>
      <c r="BA398" s="182"/>
      <c r="BB398" s="182"/>
      <c r="BC398"/>
      <c r="BD398"/>
      <c r="BE398"/>
      <c r="BG398"/>
    </row>
    <row r="399" spans="2:59">
      <c r="B399" s="150"/>
      <c r="AZ399" s="181"/>
      <c r="BA399" s="182"/>
      <c r="BB399" s="182"/>
      <c r="BC399"/>
      <c r="BD399"/>
      <c r="BE399"/>
      <c r="BG399"/>
    </row>
    <row r="400" spans="2:59">
      <c r="B400" s="150"/>
      <c r="AZ400" s="181"/>
      <c r="BA400" s="182"/>
      <c r="BB400" s="182"/>
      <c r="BC400"/>
      <c r="BD400"/>
      <c r="BE400"/>
      <c r="BG400"/>
    </row>
    <row r="401" spans="2:59">
      <c r="B401" s="150"/>
      <c r="AZ401" s="181"/>
      <c r="BA401" s="182"/>
      <c r="BB401" s="182"/>
      <c r="BC401"/>
      <c r="BD401"/>
      <c r="BE401"/>
      <c r="BG401"/>
    </row>
    <row r="402" spans="2:59">
      <c r="B402" s="150"/>
      <c r="AZ402" s="181"/>
      <c r="BA402" s="182"/>
      <c r="BB402" s="182"/>
      <c r="BC402"/>
      <c r="BD402"/>
      <c r="BE402"/>
      <c r="BG402"/>
    </row>
    <row r="403" spans="2:59">
      <c r="B403" s="150"/>
      <c r="AZ403" s="181"/>
      <c r="BA403" s="182"/>
      <c r="BB403" s="182"/>
      <c r="BC403"/>
      <c r="BD403"/>
      <c r="BE403"/>
      <c r="BG403"/>
    </row>
    <row r="404" spans="2:59">
      <c r="B404" s="150"/>
      <c r="AZ404" s="181"/>
      <c r="BA404" s="182"/>
      <c r="BB404" s="182"/>
      <c r="BC404"/>
      <c r="BD404"/>
      <c r="BE404"/>
      <c r="BG404"/>
    </row>
    <row r="405" spans="2:59">
      <c r="B405" s="150"/>
      <c r="AZ405" s="181"/>
      <c r="BA405" s="182"/>
      <c r="BB405" s="182"/>
      <c r="BC405"/>
      <c r="BD405"/>
      <c r="BE405"/>
      <c r="BG405"/>
    </row>
    <row r="406" spans="2:59">
      <c r="B406" s="150"/>
      <c r="AZ406" s="181"/>
      <c r="BA406" s="182"/>
      <c r="BB406" s="182"/>
      <c r="BC406"/>
      <c r="BD406"/>
      <c r="BE406"/>
      <c r="BG406"/>
    </row>
    <row r="407" spans="2:59">
      <c r="B407" s="150"/>
      <c r="AZ407" s="181"/>
      <c r="BA407" s="182"/>
      <c r="BB407" s="182"/>
      <c r="BC407"/>
      <c r="BD407"/>
      <c r="BE407"/>
      <c r="BG407"/>
    </row>
    <row r="408" spans="2:59">
      <c r="B408" s="150"/>
      <c r="AZ408" s="181"/>
      <c r="BA408" s="182"/>
      <c r="BB408" s="182"/>
      <c r="BC408"/>
      <c r="BD408"/>
      <c r="BE408"/>
      <c r="BG408"/>
    </row>
    <row r="409" spans="2:59">
      <c r="B409" s="150"/>
      <c r="AZ409" s="181"/>
      <c r="BA409" s="182"/>
      <c r="BB409" s="182"/>
      <c r="BC409"/>
      <c r="BD409"/>
      <c r="BE409"/>
      <c r="BG409"/>
    </row>
    <row r="410" spans="2:59">
      <c r="B410" s="150"/>
      <c r="AZ410" s="181"/>
      <c r="BA410" s="182"/>
      <c r="BB410" s="182"/>
      <c r="BC410"/>
      <c r="BD410"/>
      <c r="BE410"/>
      <c r="BG410"/>
    </row>
    <row r="411" spans="2:59">
      <c r="B411" s="150"/>
      <c r="AZ411" s="181"/>
      <c r="BA411" s="182"/>
      <c r="BB411" s="182"/>
      <c r="BC411"/>
      <c r="BD411"/>
      <c r="BE411"/>
      <c r="BG411"/>
    </row>
    <row r="412" spans="2:59">
      <c r="B412" s="150"/>
      <c r="AZ412" s="181"/>
      <c r="BA412" s="182"/>
      <c r="BB412" s="182"/>
      <c r="BC412"/>
      <c r="BD412"/>
      <c r="BE412"/>
      <c r="BG412"/>
    </row>
    <row r="413" spans="2:59">
      <c r="B413" s="150"/>
      <c r="AZ413" s="181"/>
      <c r="BA413" s="182"/>
      <c r="BB413" s="182"/>
      <c r="BC413"/>
      <c r="BD413"/>
      <c r="BE413"/>
      <c r="BG413"/>
    </row>
    <row r="414" spans="2:59">
      <c r="B414" s="150"/>
      <c r="AZ414" s="181"/>
      <c r="BA414" s="182"/>
      <c r="BB414" s="182"/>
      <c r="BC414"/>
      <c r="BD414"/>
      <c r="BE414"/>
      <c r="BG414"/>
    </row>
    <row r="415" spans="2:59">
      <c r="B415" s="150"/>
      <c r="AZ415" s="181"/>
      <c r="BA415" s="182"/>
      <c r="BB415" s="182"/>
      <c r="BC415"/>
      <c r="BD415"/>
      <c r="BE415"/>
      <c r="BG415"/>
    </row>
    <row r="416" spans="2:59">
      <c r="B416" s="150"/>
      <c r="AZ416" s="181"/>
      <c r="BA416" s="182"/>
      <c r="BB416" s="182"/>
      <c r="BC416"/>
      <c r="BD416"/>
      <c r="BE416"/>
      <c r="BG416"/>
    </row>
    <row r="417" spans="2:59">
      <c r="B417" s="150"/>
      <c r="AZ417" s="181"/>
      <c r="BA417" s="182"/>
      <c r="BB417" s="182"/>
      <c r="BC417"/>
      <c r="BD417"/>
      <c r="BE417"/>
      <c r="BG417"/>
    </row>
    <row r="418" spans="2:59">
      <c r="B418" s="150"/>
      <c r="AZ418" s="181"/>
      <c r="BA418" s="182"/>
      <c r="BB418" s="182"/>
      <c r="BC418"/>
      <c r="BD418"/>
      <c r="BE418"/>
      <c r="BG418"/>
    </row>
    <row r="419" spans="2:59">
      <c r="B419" s="150"/>
      <c r="AZ419" s="181"/>
      <c r="BA419" s="182"/>
      <c r="BB419" s="182"/>
      <c r="BC419"/>
      <c r="BD419"/>
      <c r="BE419"/>
      <c r="BG419"/>
    </row>
    <row r="420" spans="2:59">
      <c r="B420" s="150"/>
      <c r="AZ420" s="181"/>
      <c r="BA420" s="182"/>
      <c r="BB420" s="182"/>
      <c r="BC420"/>
      <c r="BD420"/>
      <c r="BE420"/>
      <c r="BG420"/>
    </row>
    <row r="421" spans="2:59">
      <c r="B421" s="150"/>
      <c r="AZ421" s="181"/>
      <c r="BA421" s="182"/>
      <c r="BB421" s="182"/>
      <c r="BC421"/>
      <c r="BD421"/>
      <c r="BE421"/>
      <c r="BG421"/>
    </row>
    <row r="422" spans="2:59">
      <c r="B422" s="150"/>
      <c r="AZ422" s="181"/>
      <c r="BA422" s="182"/>
      <c r="BB422" s="182"/>
      <c r="BC422"/>
      <c r="BD422"/>
      <c r="BE422"/>
      <c r="BG422"/>
    </row>
    <row r="423" spans="2:59">
      <c r="B423" s="150"/>
      <c r="AZ423" s="181"/>
      <c r="BA423" s="182"/>
      <c r="BB423" s="182"/>
      <c r="BC423"/>
      <c r="BD423"/>
      <c r="BE423"/>
      <c r="BG423"/>
    </row>
    <row r="424" spans="2:59">
      <c r="B424" s="150"/>
      <c r="AZ424" s="181"/>
      <c r="BA424" s="182"/>
      <c r="BB424" s="182"/>
      <c r="BC424"/>
      <c r="BD424"/>
      <c r="BE424"/>
      <c r="BG424"/>
    </row>
    <row r="425" spans="2:59">
      <c r="B425" s="150"/>
      <c r="AZ425" s="181"/>
      <c r="BA425" s="182"/>
      <c r="BB425" s="182"/>
      <c r="BC425"/>
      <c r="BD425"/>
      <c r="BE425"/>
      <c r="BG425"/>
    </row>
    <row r="426" spans="2:59">
      <c r="B426" s="150"/>
      <c r="AZ426" s="181"/>
      <c r="BA426" s="182"/>
      <c r="BB426" s="182"/>
      <c r="BC426"/>
      <c r="BD426"/>
      <c r="BE426"/>
      <c r="BG426"/>
    </row>
    <row r="427" spans="2:59">
      <c r="B427" s="150"/>
      <c r="AZ427" s="181"/>
      <c r="BA427" s="182"/>
      <c r="BB427" s="182"/>
      <c r="BC427"/>
      <c r="BD427"/>
      <c r="BE427"/>
      <c r="BG427"/>
    </row>
    <row r="428" spans="2:59">
      <c r="B428" s="150"/>
      <c r="AZ428" s="181"/>
      <c r="BA428" s="182"/>
      <c r="BB428" s="182"/>
      <c r="BC428"/>
      <c r="BD428"/>
      <c r="BE428"/>
      <c r="BG428"/>
    </row>
    <row r="429" spans="2:59">
      <c r="B429" s="150"/>
      <c r="AZ429" s="181"/>
      <c r="BA429" s="182"/>
      <c r="BB429" s="182"/>
      <c r="BC429"/>
      <c r="BD429"/>
      <c r="BE429"/>
      <c r="BG429"/>
    </row>
    <row r="430" spans="2:59">
      <c r="B430" s="150"/>
      <c r="AZ430" s="181"/>
      <c r="BA430" s="182"/>
      <c r="BB430" s="182"/>
      <c r="BC430"/>
      <c r="BD430"/>
      <c r="BE430"/>
      <c r="BG430"/>
    </row>
    <row r="431" spans="2:59">
      <c r="B431" s="150"/>
      <c r="AZ431" s="181"/>
      <c r="BA431" s="182"/>
      <c r="BB431" s="182"/>
      <c r="BC431"/>
      <c r="BD431"/>
      <c r="BE431"/>
      <c r="BG431"/>
    </row>
    <row r="432" spans="2:59">
      <c r="B432" s="150"/>
      <c r="AZ432" s="181"/>
      <c r="BA432" s="182"/>
      <c r="BB432" s="182"/>
      <c r="BC432"/>
      <c r="BD432"/>
      <c r="BE432"/>
      <c r="BG432"/>
    </row>
    <row r="433" spans="2:59">
      <c r="B433" s="150"/>
      <c r="AZ433" s="181"/>
      <c r="BA433" s="182"/>
      <c r="BB433" s="182"/>
      <c r="BC433"/>
      <c r="BD433"/>
      <c r="BE433"/>
      <c r="BG433"/>
    </row>
    <row r="434" spans="2:59">
      <c r="B434" s="150"/>
      <c r="AZ434" s="181"/>
      <c r="BA434" s="182"/>
      <c r="BB434" s="182"/>
      <c r="BC434"/>
      <c r="BD434"/>
      <c r="BE434"/>
      <c r="BG434"/>
    </row>
    <row r="435" spans="2:59">
      <c r="B435" s="150"/>
      <c r="AZ435" s="181"/>
      <c r="BA435" s="182"/>
      <c r="BB435" s="182"/>
      <c r="BC435"/>
      <c r="BD435"/>
      <c r="BE435"/>
      <c r="BG435"/>
    </row>
    <row r="436" spans="2:59">
      <c r="B436" s="150"/>
      <c r="AZ436" s="181"/>
      <c r="BA436" s="182"/>
      <c r="BB436" s="182"/>
      <c r="BC436"/>
      <c r="BD436"/>
      <c r="BE436"/>
      <c r="BG436"/>
    </row>
    <row r="437" spans="2:59">
      <c r="B437" s="150"/>
      <c r="AZ437" s="181"/>
      <c r="BA437" s="182"/>
      <c r="BB437" s="182"/>
      <c r="BC437"/>
      <c r="BD437"/>
      <c r="BE437"/>
      <c r="BG437"/>
    </row>
    <row r="438" spans="2:59">
      <c r="B438" s="150"/>
      <c r="AZ438" s="181"/>
      <c r="BA438" s="182"/>
      <c r="BB438" s="182"/>
      <c r="BC438"/>
      <c r="BD438"/>
      <c r="BE438"/>
      <c r="BG438"/>
    </row>
    <row r="439" spans="2:59">
      <c r="B439" s="150"/>
      <c r="AZ439" s="181"/>
      <c r="BA439" s="182"/>
      <c r="BB439" s="182"/>
      <c r="BC439"/>
      <c r="BD439"/>
      <c r="BE439"/>
      <c r="BG439"/>
    </row>
    <row r="440" spans="2:59">
      <c r="B440" s="150"/>
      <c r="AZ440" s="181"/>
      <c r="BA440" s="182"/>
      <c r="BB440" s="182"/>
      <c r="BC440"/>
      <c r="BD440"/>
      <c r="BE440"/>
      <c r="BG440"/>
    </row>
    <row r="441" spans="2:59">
      <c r="B441" s="150"/>
      <c r="AZ441" s="181"/>
      <c r="BA441" s="182"/>
      <c r="BB441" s="182"/>
      <c r="BC441"/>
      <c r="BD441"/>
      <c r="BE441"/>
      <c r="BG441"/>
    </row>
    <row r="442" spans="2:59">
      <c r="B442" s="150"/>
      <c r="AZ442" s="181"/>
      <c r="BA442" s="182"/>
      <c r="BB442" s="182"/>
      <c r="BC442"/>
      <c r="BD442"/>
      <c r="BE442"/>
      <c r="BG442"/>
    </row>
    <row r="443" spans="2:59">
      <c r="B443" s="150"/>
      <c r="AZ443" s="181"/>
      <c r="BA443" s="182"/>
      <c r="BB443" s="182"/>
      <c r="BC443"/>
      <c r="BD443"/>
      <c r="BE443"/>
      <c r="BG443"/>
    </row>
    <row r="444" spans="2:59">
      <c r="B444" s="150"/>
      <c r="AZ444" s="181"/>
      <c r="BA444" s="182"/>
      <c r="BB444" s="182"/>
      <c r="BC444"/>
      <c r="BD444"/>
      <c r="BE444"/>
      <c r="BG444"/>
    </row>
    <row r="445" spans="2:59">
      <c r="B445" s="150"/>
      <c r="AZ445" s="181"/>
      <c r="BA445" s="182"/>
      <c r="BB445" s="182"/>
      <c r="BC445"/>
      <c r="BD445"/>
      <c r="BE445"/>
      <c r="BG445"/>
    </row>
    <row r="446" spans="2:59">
      <c r="B446" s="150"/>
      <c r="AZ446" s="181"/>
      <c r="BA446" s="182"/>
      <c r="BB446" s="182"/>
      <c r="BC446"/>
      <c r="BD446"/>
      <c r="BE446"/>
      <c r="BG446"/>
    </row>
    <row r="447" spans="2:59">
      <c r="B447" s="150"/>
      <c r="AZ447" s="181"/>
      <c r="BA447" s="182"/>
      <c r="BB447" s="182"/>
      <c r="BC447"/>
      <c r="BD447"/>
      <c r="BE447"/>
      <c r="BG447"/>
    </row>
    <row r="448" spans="2:59">
      <c r="B448" s="150"/>
      <c r="AZ448" s="181"/>
      <c r="BA448" s="182"/>
      <c r="BB448" s="182"/>
      <c r="BC448"/>
      <c r="BD448"/>
      <c r="BE448"/>
      <c r="BG448"/>
    </row>
    <row r="449" spans="2:59">
      <c r="B449" s="150"/>
      <c r="AZ449" s="181"/>
      <c r="BA449" s="182"/>
      <c r="BB449" s="182"/>
      <c r="BC449"/>
      <c r="BD449"/>
      <c r="BE449"/>
      <c r="BG449"/>
    </row>
    <row r="450" spans="2:59">
      <c r="B450" s="150"/>
      <c r="AZ450" s="181"/>
      <c r="BA450" s="182"/>
      <c r="BB450" s="182"/>
      <c r="BC450"/>
      <c r="BD450"/>
      <c r="BE450"/>
      <c r="BG450"/>
    </row>
    <row r="451" spans="2:59">
      <c r="B451" s="150"/>
      <c r="AZ451" s="181"/>
      <c r="BA451" s="182"/>
      <c r="BB451" s="182"/>
      <c r="BC451"/>
      <c r="BD451"/>
      <c r="BE451"/>
      <c r="BG451"/>
    </row>
    <row r="452" spans="2:59">
      <c r="B452" s="150"/>
      <c r="AZ452" s="181"/>
      <c r="BA452" s="182"/>
      <c r="BB452" s="182"/>
      <c r="BC452"/>
      <c r="BD452"/>
      <c r="BE452"/>
      <c r="BG452"/>
    </row>
    <row r="453" spans="2:59">
      <c r="B453" s="150"/>
      <c r="AZ453" s="181"/>
      <c r="BA453" s="182"/>
      <c r="BB453" s="182"/>
      <c r="BC453"/>
      <c r="BD453"/>
      <c r="BE453"/>
      <c r="BG453"/>
    </row>
    <row r="454" spans="2:59">
      <c r="B454" s="150"/>
      <c r="AZ454" s="181"/>
      <c r="BA454" s="182"/>
      <c r="BB454" s="182"/>
      <c r="BC454"/>
      <c r="BD454"/>
      <c r="BE454"/>
      <c r="BG454"/>
    </row>
    <row r="455" spans="2:59">
      <c r="B455" s="150"/>
      <c r="AZ455" s="181"/>
      <c r="BA455" s="182"/>
      <c r="BB455" s="182"/>
      <c r="BC455"/>
      <c r="BD455"/>
      <c r="BE455"/>
      <c r="BG455"/>
    </row>
    <row r="456" spans="2:59">
      <c r="B456" s="150"/>
      <c r="AZ456" s="181"/>
      <c r="BA456" s="182"/>
      <c r="BB456" s="182"/>
      <c r="BC456"/>
      <c r="BD456"/>
      <c r="BE456"/>
      <c r="BG456"/>
    </row>
    <row r="457" spans="2:59">
      <c r="B457" s="150"/>
      <c r="AZ457" s="181"/>
      <c r="BA457" s="182"/>
      <c r="BB457" s="182"/>
      <c r="BC457"/>
      <c r="BD457"/>
      <c r="BE457"/>
      <c r="BG457"/>
    </row>
    <row r="458" spans="2:59">
      <c r="B458" s="150"/>
      <c r="AZ458" s="181"/>
      <c r="BA458" s="182"/>
      <c r="BB458" s="182"/>
      <c r="BC458"/>
      <c r="BD458"/>
      <c r="BE458"/>
      <c r="BG458"/>
    </row>
    <row r="459" spans="2:59">
      <c r="B459" s="150"/>
      <c r="AZ459" s="181"/>
      <c r="BA459" s="182"/>
      <c r="BB459" s="182"/>
      <c r="BC459"/>
      <c r="BD459"/>
      <c r="BE459"/>
      <c r="BG459"/>
    </row>
    <row r="460" spans="2:59">
      <c r="B460" s="150"/>
      <c r="AZ460" s="181"/>
      <c r="BA460" s="182"/>
      <c r="BB460" s="182"/>
      <c r="BC460"/>
      <c r="BD460"/>
      <c r="BE460"/>
      <c r="BG460"/>
    </row>
    <row r="461" spans="2:59">
      <c r="B461" s="150"/>
      <c r="AZ461" s="181"/>
      <c r="BA461" s="182"/>
      <c r="BB461" s="182"/>
      <c r="BC461"/>
      <c r="BD461"/>
      <c r="BE461"/>
      <c r="BG461"/>
    </row>
    <row r="462" spans="2:59">
      <c r="B462" s="150"/>
      <c r="AZ462" s="181"/>
      <c r="BA462" s="182"/>
      <c r="BB462" s="182"/>
      <c r="BC462"/>
      <c r="BD462"/>
      <c r="BE462"/>
      <c r="BG462"/>
    </row>
    <row r="463" spans="2:59">
      <c r="B463" s="150"/>
      <c r="AZ463" s="181"/>
      <c r="BA463" s="182"/>
      <c r="BB463" s="182"/>
      <c r="BC463"/>
      <c r="BD463"/>
      <c r="BE463"/>
      <c r="BG463"/>
    </row>
    <row r="464" spans="2:59">
      <c r="B464" s="150"/>
      <c r="AZ464" s="181"/>
      <c r="BA464" s="182"/>
      <c r="BB464" s="182"/>
      <c r="BC464"/>
      <c r="BD464"/>
      <c r="BE464"/>
      <c r="BG464"/>
    </row>
    <row r="465" spans="2:59">
      <c r="B465" s="150"/>
      <c r="AZ465" s="181"/>
      <c r="BA465" s="182"/>
      <c r="BB465" s="182"/>
      <c r="BC465"/>
      <c r="BD465"/>
      <c r="BE465"/>
      <c r="BG465"/>
    </row>
    <row r="466" spans="2:59">
      <c r="B466" s="150"/>
      <c r="AZ466" s="181"/>
      <c r="BA466" s="182"/>
      <c r="BB466" s="182"/>
      <c r="BC466"/>
      <c r="BD466"/>
      <c r="BE466"/>
      <c r="BG466"/>
    </row>
    <row r="467" spans="2:59">
      <c r="B467" s="150"/>
      <c r="AZ467" s="181"/>
      <c r="BA467" s="182"/>
      <c r="BB467" s="182"/>
      <c r="BC467"/>
      <c r="BD467"/>
      <c r="BE467"/>
      <c r="BG467"/>
    </row>
    <row r="468" spans="2:59">
      <c r="B468" s="150"/>
      <c r="AZ468" s="181"/>
      <c r="BA468" s="182"/>
      <c r="BB468" s="182"/>
      <c r="BC468"/>
      <c r="BD468"/>
      <c r="BE468"/>
      <c r="BG468"/>
    </row>
    <row r="469" spans="2:59">
      <c r="B469" s="150"/>
      <c r="AZ469" s="181"/>
      <c r="BA469" s="182"/>
      <c r="BB469" s="182"/>
      <c r="BC469"/>
      <c r="BD469"/>
      <c r="BE469"/>
      <c r="BG469"/>
    </row>
    <row r="470" spans="2:59">
      <c r="B470" s="150"/>
      <c r="AZ470" s="181"/>
      <c r="BA470" s="182"/>
      <c r="BB470" s="182"/>
      <c r="BC470"/>
      <c r="BD470"/>
      <c r="BE470"/>
      <c r="BG470"/>
    </row>
    <row r="471" spans="2:59">
      <c r="B471" s="150"/>
      <c r="AZ471" s="181"/>
      <c r="BA471" s="182"/>
      <c r="BB471" s="182"/>
      <c r="BC471"/>
      <c r="BD471"/>
      <c r="BE471"/>
      <c r="BG471"/>
    </row>
    <row r="472" spans="2:59">
      <c r="B472" s="150"/>
      <c r="AZ472" s="181"/>
      <c r="BA472" s="182"/>
      <c r="BB472" s="182"/>
      <c r="BC472"/>
      <c r="BD472"/>
      <c r="BE472"/>
      <c r="BG472"/>
    </row>
    <row r="473" spans="2:59">
      <c r="B473" s="150"/>
      <c r="AZ473" s="181"/>
      <c r="BA473" s="182"/>
      <c r="BB473" s="182"/>
      <c r="BC473"/>
      <c r="BD473"/>
      <c r="BE473"/>
      <c r="BG473"/>
    </row>
    <row r="474" spans="2:59">
      <c r="B474" s="150"/>
      <c r="AZ474" s="181"/>
      <c r="BA474" s="182"/>
      <c r="BB474" s="182"/>
      <c r="BC474"/>
      <c r="BD474"/>
      <c r="BE474"/>
      <c r="BG474"/>
    </row>
    <row r="475" spans="2:59">
      <c r="B475" s="150"/>
      <c r="AZ475" s="181"/>
      <c r="BA475" s="182"/>
      <c r="BB475" s="182"/>
      <c r="BC475"/>
      <c r="BD475"/>
      <c r="BE475"/>
      <c r="BG475"/>
    </row>
    <row r="476" spans="2:59">
      <c r="B476" s="150"/>
      <c r="AZ476" s="181"/>
      <c r="BA476" s="182"/>
      <c r="BB476" s="182"/>
      <c r="BC476"/>
      <c r="BD476"/>
      <c r="BE476"/>
      <c r="BG476"/>
    </row>
    <row r="477" spans="2:59">
      <c r="B477" s="150"/>
      <c r="AZ477" s="181"/>
      <c r="BA477" s="182"/>
      <c r="BB477" s="182"/>
      <c r="BC477"/>
      <c r="BD477"/>
      <c r="BE477"/>
      <c r="BG477"/>
    </row>
    <row r="478" spans="2:59">
      <c r="B478" s="150"/>
      <c r="AZ478" s="181"/>
      <c r="BA478" s="182"/>
      <c r="BB478" s="182"/>
      <c r="BC478"/>
      <c r="BD478"/>
      <c r="BE478"/>
      <c r="BG478"/>
    </row>
    <row r="479" spans="2:59">
      <c r="B479" s="150"/>
      <c r="AZ479" s="181"/>
      <c r="BA479" s="182"/>
      <c r="BB479" s="182"/>
      <c r="BC479"/>
      <c r="BD479"/>
      <c r="BE479"/>
      <c r="BG479"/>
    </row>
    <row r="480" spans="2:59">
      <c r="B480" s="150"/>
      <c r="AZ480" s="181"/>
      <c r="BA480" s="182"/>
      <c r="BB480" s="182"/>
      <c r="BC480"/>
      <c r="BD480"/>
      <c r="BE480"/>
      <c r="BG480"/>
    </row>
    <row r="481" spans="2:59">
      <c r="B481" s="150"/>
      <c r="AZ481" s="181"/>
      <c r="BA481" s="182"/>
      <c r="BB481" s="182"/>
      <c r="BC481"/>
      <c r="BD481"/>
      <c r="BE481"/>
      <c r="BG481"/>
    </row>
    <row r="482" spans="2:59">
      <c r="B482" s="150"/>
      <c r="AZ482" s="181"/>
      <c r="BA482" s="182"/>
      <c r="BB482" s="182"/>
      <c r="BC482"/>
      <c r="BD482"/>
      <c r="BE482"/>
      <c r="BG482"/>
    </row>
    <row r="483" spans="2:59">
      <c r="B483" s="150"/>
      <c r="AZ483" s="181"/>
      <c r="BA483" s="182"/>
      <c r="BB483" s="182"/>
      <c r="BC483"/>
      <c r="BD483"/>
      <c r="BE483"/>
      <c r="BG483"/>
    </row>
    <row r="484" spans="2:59">
      <c r="B484" s="150"/>
      <c r="AZ484" s="181"/>
      <c r="BA484" s="182"/>
      <c r="BB484" s="182"/>
      <c r="BC484"/>
      <c r="BD484"/>
      <c r="BE484"/>
      <c r="BG484"/>
    </row>
    <row r="485" spans="2:59">
      <c r="B485" s="150"/>
      <c r="AZ485" s="181"/>
      <c r="BA485" s="182"/>
      <c r="BB485" s="182"/>
      <c r="BC485"/>
      <c r="BD485"/>
      <c r="BE485"/>
      <c r="BG485"/>
    </row>
    <row r="486" spans="2:59">
      <c r="B486" s="150"/>
      <c r="AZ486" s="181"/>
      <c r="BA486" s="182"/>
      <c r="BB486" s="182"/>
      <c r="BC486"/>
      <c r="BD486"/>
      <c r="BE486"/>
      <c r="BG486"/>
    </row>
    <row r="487" spans="2:59">
      <c r="B487" s="150"/>
      <c r="AZ487" s="181"/>
      <c r="BA487" s="182"/>
      <c r="BB487" s="182"/>
      <c r="BC487"/>
      <c r="BD487"/>
      <c r="BE487"/>
      <c r="BG487"/>
    </row>
    <row r="488" spans="2:59">
      <c r="B488" s="150"/>
      <c r="AZ488" s="181"/>
      <c r="BA488" s="182"/>
      <c r="BB488" s="182"/>
      <c r="BC488"/>
      <c r="BD488"/>
      <c r="BE488"/>
      <c r="BG488"/>
    </row>
    <row r="489" spans="2:59">
      <c r="B489" s="150"/>
      <c r="AZ489" s="181"/>
      <c r="BA489" s="182"/>
      <c r="BB489" s="182"/>
      <c r="BC489"/>
      <c r="BD489"/>
      <c r="BE489"/>
      <c r="BG489"/>
    </row>
    <row r="490" spans="2:59">
      <c r="B490" s="150"/>
      <c r="AZ490" s="181"/>
      <c r="BA490" s="182"/>
      <c r="BB490" s="182"/>
      <c r="BC490"/>
      <c r="BD490"/>
      <c r="BE490"/>
      <c r="BG490"/>
    </row>
    <row r="491" spans="2:59">
      <c r="B491" s="150"/>
      <c r="AZ491" s="181"/>
      <c r="BA491" s="182"/>
      <c r="BB491" s="182"/>
      <c r="BC491"/>
      <c r="BD491"/>
      <c r="BE491"/>
      <c r="BG491"/>
    </row>
    <row r="492" spans="2:59">
      <c r="B492" s="150"/>
      <c r="AZ492" s="181"/>
      <c r="BA492" s="182"/>
      <c r="BB492" s="182"/>
      <c r="BC492"/>
      <c r="BD492"/>
      <c r="BE492"/>
      <c r="BG492"/>
    </row>
    <row r="493" spans="2:59">
      <c r="B493" s="150"/>
      <c r="AZ493" s="181"/>
      <c r="BA493" s="182"/>
      <c r="BB493" s="182"/>
      <c r="BC493"/>
      <c r="BD493"/>
      <c r="BE493"/>
      <c r="BG493"/>
    </row>
    <row r="494" spans="2:59">
      <c r="B494" s="150"/>
      <c r="AZ494" s="181"/>
      <c r="BA494" s="182"/>
      <c r="BB494" s="182"/>
      <c r="BC494"/>
      <c r="BD494"/>
      <c r="BE494"/>
      <c r="BG494"/>
    </row>
    <row r="495" spans="2:59">
      <c r="B495" s="150"/>
      <c r="AZ495" s="181"/>
      <c r="BA495" s="182"/>
      <c r="BB495" s="182"/>
      <c r="BC495"/>
      <c r="BD495"/>
      <c r="BE495"/>
      <c r="BG495"/>
    </row>
    <row r="496" spans="2:59">
      <c r="B496" s="150"/>
      <c r="AZ496" s="181"/>
      <c r="BA496" s="182"/>
      <c r="BB496" s="182"/>
      <c r="BC496"/>
      <c r="BD496"/>
      <c r="BE496"/>
      <c r="BG496"/>
    </row>
    <row r="497" spans="2:59">
      <c r="B497" s="150"/>
      <c r="AZ497" s="181"/>
      <c r="BA497" s="182"/>
      <c r="BB497" s="182"/>
      <c r="BC497"/>
      <c r="BD497"/>
      <c r="BE497"/>
      <c r="BG497"/>
    </row>
    <row r="498" spans="2:59">
      <c r="B498" s="150"/>
      <c r="AZ498" s="181"/>
      <c r="BA498" s="182"/>
      <c r="BB498" s="182"/>
      <c r="BC498"/>
      <c r="BD498"/>
      <c r="BE498"/>
      <c r="BG498"/>
    </row>
    <row r="499" spans="2:59">
      <c r="B499" s="150"/>
      <c r="AZ499" s="181"/>
      <c r="BA499" s="182"/>
      <c r="BB499" s="182"/>
      <c r="BC499"/>
      <c r="BD499"/>
      <c r="BE499"/>
      <c r="BG499"/>
    </row>
    <row r="500" spans="2:59">
      <c r="B500" s="150"/>
      <c r="AZ500" s="181"/>
      <c r="BA500" s="182"/>
      <c r="BB500" s="182"/>
      <c r="BC500"/>
      <c r="BD500"/>
      <c r="BE500"/>
      <c r="BG500"/>
    </row>
    <row r="501" spans="2:59">
      <c r="B501" s="150"/>
      <c r="AZ501" s="181"/>
      <c r="BA501" s="182"/>
      <c r="BB501" s="182"/>
      <c r="BC501"/>
      <c r="BD501"/>
      <c r="BE501"/>
      <c r="BG501"/>
    </row>
    <row r="502" spans="2:59">
      <c r="B502" s="150"/>
      <c r="AZ502" s="181"/>
      <c r="BA502" s="182"/>
      <c r="BB502" s="182"/>
      <c r="BC502"/>
      <c r="BD502"/>
      <c r="BE502"/>
      <c r="BG502"/>
    </row>
    <row r="503" spans="2:59">
      <c r="B503" s="150"/>
      <c r="AZ503" s="181"/>
      <c r="BA503" s="182"/>
      <c r="BB503" s="182"/>
      <c r="BC503"/>
      <c r="BD503"/>
      <c r="BE503"/>
      <c r="BG503"/>
    </row>
    <row r="504" spans="2:59">
      <c r="B504" s="150"/>
      <c r="AZ504" s="181"/>
      <c r="BA504" s="182"/>
      <c r="BB504" s="182"/>
      <c r="BC504"/>
      <c r="BD504"/>
      <c r="BE504"/>
      <c r="BG504"/>
    </row>
    <row r="505" spans="2:59">
      <c r="B505" s="150"/>
      <c r="AZ505" s="181"/>
      <c r="BA505" s="182"/>
      <c r="BB505" s="182"/>
      <c r="BC505"/>
      <c r="BD505"/>
      <c r="BE505"/>
      <c r="BG505"/>
    </row>
    <row r="506" spans="2:59">
      <c r="B506" s="150"/>
      <c r="AZ506" s="181"/>
      <c r="BA506" s="182"/>
      <c r="BB506" s="182"/>
      <c r="BC506"/>
      <c r="BD506"/>
      <c r="BE506"/>
      <c r="BG506"/>
    </row>
    <row r="507" spans="2:59">
      <c r="B507" s="150"/>
      <c r="AZ507" s="181"/>
      <c r="BA507" s="182"/>
      <c r="BB507" s="182"/>
      <c r="BC507"/>
      <c r="BD507"/>
      <c r="BE507"/>
      <c r="BG507"/>
    </row>
    <row r="508" spans="2:59">
      <c r="B508" s="150"/>
      <c r="AZ508" s="181"/>
      <c r="BA508" s="182"/>
      <c r="BB508" s="182"/>
      <c r="BC508"/>
      <c r="BD508"/>
      <c r="BE508"/>
      <c r="BG508"/>
    </row>
    <row r="509" spans="2:59">
      <c r="B509" s="150"/>
      <c r="AZ509" s="181"/>
      <c r="BA509" s="182"/>
      <c r="BB509" s="182"/>
      <c r="BC509"/>
      <c r="BD509"/>
      <c r="BE509"/>
      <c r="BG509"/>
    </row>
    <row r="510" spans="2:59">
      <c r="B510" s="150"/>
      <c r="AZ510" s="181"/>
      <c r="BA510" s="182"/>
      <c r="BB510" s="182"/>
      <c r="BC510"/>
      <c r="BD510"/>
      <c r="BE510"/>
      <c r="BG510"/>
    </row>
    <row r="511" spans="2:59">
      <c r="B511" s="150"/>
      <c r="AZ511" s="181"/>
      <c r="BA511" s="182"/>
      <c r="BB511" s="182"/>
      <c r="BC511"/>
      <c r="BD511"/>
      <c r="BE511"/>
      <c r="BG511"/>
    </row>
    <row r="512" spans="2:59">
      <c r="B512" s="150"/>
      <c r="AZ512" s="181"/>
      <c r="BA512" s="182"/>
      <c r="BB512" s="182"/>
      <c r="BC512"/>
      <c r="BD512"/>
      <c r="BE512"/>
      <c r="BG512"/>
    </row>
    <row r="513" spans="2:59">
      <c r="B513" s="150"/>
      <c r="AZ513" s="181"/>
      <c r="BA513" s="182"/>
      <c r="BB513" s="182"/>
      <c r="BC513"/>
      <c r="BD513"/>
      <c r="BE513"/>
      <c r="BG513"/>
    </row>
    <row r="514" spans="2:59">
      <c r="B514" s="150"/>
      <c r="AZ514" s="181"/>
      <c r="BA514" s="182"/>
      <c r="BB514" s="182"/>
      <c r="BC514"/>
      <c r="BD514"/>
      <c r="BE514"/>
      <c r="BG514"/>
    </row>
    <row r="515" spans="2:59">
      <c r="B515" s="150"/>
      <c r="AZ515" s="181"/>
      <c r="BA515" s="182"/>
      <c r="BB515" s="182"/>
      <c r="BC515"/>
      <c r="BD515"/>
      <c r="BE515"/>
      <c r="BG515"/>
    </row>
    <row r="516" spans="2:59">
      <c r="B516" s="150"/>
      <c r="AZ516" s="181"/>
      <c r="BA516" s="182"/>
      <c r="BB516" s="182"/>
      <c r="BC516"/>
      <c r="BD516"/>
      <c r="BE516"/>
      <c r="BG516"/>
    </row>
    <row r="517" spans="2:59">
      <c r="B517" s="150"/>
      <c r="AZ517" s="181"/>
      <c r="BA517" s="182"/>
      <c r="BB517" s="182"/>
      <c r="BC517"/>
      <c r="BD517"/>
      <c r="BE517"/>
      <c r="BG517"/>
    </row>
    <row r="518" spans="2:59">
      <c r="B518" s="150"/>
      <c r="AZ518" s="181"/>
      <c r="BA518" s="182"/>
      <c r="BB518" s="182"/>
      <c r="BC518"/>
      <c r="BD518"/>
      <c r="BE518"/>
      <c r="BG518"/>
    </row>
    <row r="519" spans="2:59">
      <c r="B519" s="150"/>
      <c r="AZ519" s="181"/>
      <c r="BA519" s="182"/>
      <c r="BB519" s="182"/>
      <c r="BC519"/>
      <c r="BD519"/>
      <c r="BE519"/>
      <c r="BG519"/>
    </row>
    <row r="520" spans="2:59">
      <c r="B520" s="150"/>
      <c r="AZ520" s="181"/>
      <c r="BA520" s="182"/>
      <c r="BB520" s="182"/>
      <c r="BC520"/>
      <c r="BD520"/>
      <c r="BE520"/>
      <c r="BG520"/>
    </row>
    <row r="521" spans="2:59">
      <c r="B521" s="150"/>
      <c r="AZ521" s="181"/>
      <c r="BA521" s="182"/>
      <c r="BB521" s="182"/>
      <c r="BC521"/>
      <c r="BD521"/>
      <c r="BE521"/>
      <c r="BG521"/>
    </row>
    <row r="522" spans="2:59">
      <c r="B522" s="150"/>
      <c r="AZ522" s="181"/>
      <c r="BA522" s="182"/>
      <c r="BB522" s="182"/>
      <c r="BC522"/>
      <c r="BD522"/>
      <c r="BE522"/>
      <c r="BG522"/>
    </row>
    <row r="523" spans="2:59">
      <c r="B523" s="150"/>
      <c r="AZ523" s="181"/>
      <c r="BA523" s="182"/>
      <c r="BB523" s="182"/>
      <c r="BC523"/>
      <c r="BD523"/>
      <c r="BE523"/>
      <c r="BG523"/>
    </row>
    <row r="524" spans="2:59">
      <c r="B524" s="150"/>
      <c r="AZ524" s="181"/>
      <c r="BA524" s="182"/>
      <c r="BB524" s="182"/>
      <c r="BC524"/>
      <c r="BD524"/>
      <c r="BE524"/>
      <c r="BG524"/>
    </row>
    <row r="525" spans="2:59">
      <c r="B525" s="150"/>
      <c r="AZ525" s="181"/>
      <c r="BA525" s="182"/>
      <c r="BB525" s="182"/>
      <c r="BC525"/>
      <c r="BD525"/>
      <c r="BE525"/>
      <c r="BG525"/>
    </row>
    <row r="526" spans="2:59">
      <c r="B526" s="150"/>
      <c r="AZ526" s="181"/>
      <c r="BA526" s="182"/>
      <c r="BB526" s="182"/>
      <c r="BC526"/>
      <c r="BD526"/>
      <c r="BE526"/>
      <c r="BG526"/>
    </row>
    <row r="527" spans="2:59">
      <c r="B527" s="150"/>
      <c r="AZ527" s="181"/>
      <c r="BA527" s="182"/>
      <c r="BB527" s="182"/>
      <c r="BC527"/>
      <c r="BD527"/>
      <c r="BE527"/>
      <c r="BG527"/>
    </row>
    <row r="528" spans="2:59">
      <c r="B528" s="150"/>
      <c r="AZ528" s="181"/>
      <c r="BA528" s="182"/>
      <c r="BB528" s="182"/>
      <c r="BC528"/>
      <c r="BD528"/>
      <c r="BE528"/>
      <c r="BG528"/>
    </row>
    <row r="529" spans="2:59">
      <c r="B529" s="150"/>
      <c r="AZ529" s="181"/>
      <c r="BA529" s="182"/>
      <c r="BB529" s="182"/>
      <c r="BC529"/>
      <c r="BD529"/>
      <c r="BE529"/>
      <c r="BG529"/>
    </row>
    <row r="530" spans="2:59">
      <c r="B530" s="150"/>
      <c r="AZ530" s="181"/>
      <c r="BA530" s="182"/>
      <c r="BB530" s="182"/>
      <c r="BC530"/>
      <c r="BD530"/>
      <c r="BE530"/>
      <c r="BG530"/>
    </row>
    <row r="531" spans="2:59">
      <c r="B531" s="150"/>
      <c r="AZ531" s="181"/>
      <c r="BA531" s="182"/>
      <c r="BB531" s="182"/>
      <c r="BC531"/>
      <c r="BD531"/>
      <c r="BE531"/>
      <c r="BG531"/>
    </row>
    <row r="532" spans="2:59">
      <c r="B532" s="150"/>
      <c r="AZ532" s="181"/>
      <c r="BA532" s="182"/>
      <c r="BB532" s="182"/>
      <c r="BC532"/>
      <c r="BD532"/>
      <c r="BE532"/>
      <c r="BG532"/>
    </row>
    <row r="533" spans="2:59">
      <c r="B533" s="150"/>
      <c r="AZ533" s="181"/>
      <c r="BA533" s="182"/>
      <c r="BB533" s="182"/>
      <c r="BC533"/>
      <c r="BD533"/>
      <c r="BE533"/>
      <c r="BG533"/>
    </row>
    <row r="534" spans="2:59">
      <c r="B534" s="150"/>
      <c r="AZ534" s="181"/>
      <c r="BA534" s="182"/>
      <c r="BB534" s="182"/>
      <c r="BC534"/>
      <c r="BD534"/>
      <c r="BE534"/>
      <c r="BG534"/>
    </row>
    <row r="535" spans="2:59">
      <c r="B535" s="150"/>
      <c r="AZ535" s="181"/>
      <c r="BA535" s="182"/>
      <c r="BB535" s="182"/>
      <c r="BC535"/>
      <c r="BD535"/>
      <c r="BE535"/>
      <c r="BG535"/>
    </row>
    <row r="536" spans="2:59">
      <c r="B536" s="150"/>
      <c r="AZ536" s="181"/>
      <c r="BA536" s="182"/>
      <c r="BB536" s="182"/>
      <c r="BC536"/>
      <c r="BD536"/>
      <c r="BE536"/>
      <c r="BG536"/>
    </row>
    <row r="537" spans="2:59">
      <c r="B537" s="150"/>
      <c r="AZ537" s="181"/>
      <c r="BA537" s="182"/>
      <c r="BB537" s="182"/>
      <c r="BC537"/>
      <c r="BD537"/>
      <c r="BE537"/>
      <c r="BG537"/>
    </row>
    <row r="538" spans="2:59">
      <c r="B538" s="150"/>
      <c r="AZ538" s="181"/>
      <c r="BA538" s="182"/>
      <c r="BB538" s="182"/>
      <c r="BC538"/>
      <c r="BD538"/>
      <c r="BE538"/>
      <c r="BG538"/>
    </row>
    <row r="539" spans="2:59">
      <c r="B539" s="150"/>
      <c r="AZ539" s="181"/>
      <c r="BA539" s="182"/>
      <c r="BB539" s="182"/>
      <c r="BC539"/>
      <c r="BD539"/>
      <c r="BE539"/>
      <c r="BG539"/>
    </row>
    <row r="540" spans="2:59">
      <c r="B540" s="150"/>
      <c r="AZ540" s="181"/>
      <c r="BA540" s="182"/>
      <c r="BB540" s="182"/>
      <c r="BC540"/>
      <c r="BD540"/>
      <c r="BE540"/>
      <c r="BG540"/>
    </row>
    <row r="541" spans="2:59">
      <c r="B541" s="150"/>
      <c r="AZ541" s="181"/>
      <c r="BA541" s="182"/>
      <c r="BB541" s="182"/>
      <c r="BC541"/>
      <c r="BD541"/>
      <c r="BE541"/>
      <c r="BG541"/>
    </row>
    <row r="542" spans="2:59">
      <c r="B542" s="150"/>
      <c r="AZ542" s="181"/>
      <c r="BA542" s="182"/>
      <c r="BB542" s="182"/>
      <c r="BC542"/>
      <c r="BD542"/>
      <c r="BE542"/>
      <c r="BG542"/>
    </row>
    <row r="543" spans="2:59">
      <c r="B543" s="150"/>
      <c r="AZ543" s="181"/>
      <c r="BA543" s="182"/>
      <c r="BB543" s="182"/>
      <c r="BC543"/>
      <c r="BD543"/>
      <c r="BE543"/>
      <c r="BG543"/>
    </row>
    <row r="544" spans="2:59">
      <c r="B544" s="150"/>
      <c r="AZ544" s="181"/>
      <c r="BA544" s="182"/>
      <c r="BB544" s="182"/>
      <c r="BC544"/>
      <c r="BD544"/>
      <c r="BE544"/>
      <c r="BG544"/>
    </row>
    <row r="545" spans="2:59">
      <c r="B545" s="150"/>
      <c r="AZ545" s="181"/>
      <c r="BA545" s="182"/>
      <c r="BB545" s="182"/>
      <c r="BC545"/>
      <c r="BD545"/>
      <c r="BE545"/>
      <c r="BG545"/>
    </row>
    <row r="546" spans="2:59">
      <c r="B546" s="150"/>
      <c r="AZ546" s="181"/>
      <c r="BA546" s="182"/>
      <c r="BB546" s="182"/>
      <c r="BC546"/>
      <c r="BD546"/>
      <c r="BE546"/>
      <c r="BG546"/>
    </row>
    <row r="547" spans="2:59">
      <c r="B547" s="150"/>
      <c r="AZ547" s="181"/>
      <c r="BA547" s="182"/>
      <c r="BB547" s="182"/>
      <c r="BC547"/>
      <c r="BD547"/>
      <c r="BE547"/>
      <c r="BG547"/>
    </row>
    <row r="548" spans="2:59">
      <c r="B548" s="150"/>
      <c r="AZ548" s="181"/>
      <c r="BA548" s="182"/>
      <c r="BB548" s="182"/>
      <c r="BC548"/>
      <c r="BD548"/>
      <c r="BE548"/>
      <c r="BG548"/>
    </row>
    <row r="549" spans="2:59">
      <c r="B549" s="150"/>
      <c r="AZ549" s="181"/>
      <c r="BA549" s="182"/>
      <c r="BB549" s="182"/>
      <c r="BC549"/>
      <c r="BD549"/>
      <c r="BE549"/>
      <c r="BG549"/>
    </row>
    <row r="550" spans="2:59">
      <c r="B550" s="150"/>
      <c r="AZ550" s="181"/>
      <c r="BA550" s="182"/>
      <c r="BB550" s="182"/>
      <c r="BC550"/>
      <c r="BD550"/>
      <c r="BE550"/>
      <c r="BG550"/>
    </row>
    <row r="551" spans="2:59">
      <c r="B551" s="150"/>
      <c r="AZ551" s="181"/>
      <c r="BA551" s="182"/>
      <c r="BB551" s="182"/>
      <c r="BC551"/>
      <c r="BD551"/>
      <c r="BE551"/>
      <c r="BG551"/>
    </row>
    <row r="552" spans="2:59">
      <c r="B552" s="150"/>
      <c r="AZ552" s="181"/>
      <c r="BA552" s="182"/>
      <c r="BB552" s="182"/>
      <c r="BC552"/>
      <c r="BD552"/>
      <c r="BE552"/>
      <c r="BG552"/>
    </row>
    <row r="553" spans="2:59">
      <c r="B553" s="150"/>
      <c r="AZ553" s="181"/>
      <c r="BA553" s="182"/>
      <c r="BB553" s="182"/>
      <c r="BC553"/>
      <c r="BD553"/>
      <c r="BE553"/>
      <c r="BG553"/>
    </row>
    <row r="554" spans="2:59">
      <c r="B554" s="150"/>
      <c r="AZ554" s="181"/>
      <c r="BA554" s="182"/>
      <c r="BB554" s="182"/>
      <c r="BC554"/>
      <c r="BD554"/>
      <c r="BE554"/>
      <c r="BG554"/>
    </row>
    <row r="555" spans="2:59">
      <c r="B555" s="150"/>
      <c r="AZ555" s="181"/>
      <c r="BA555" s="182"/>
      <c r="BB555" s="182"/>
      <c r="BC555"/>
      <c r="BD555"/>
      <c r="BE555"/>
      <c r="BG555"/>
    </row>
    <row r="556" spans="2:59">
      <c r="B556" s="150"/>
      <c r="AZ556" s="181"/>
      <c r="BA556" s="182"/>
      <c r="BB556" s="182"/>
      <c r="BC556"/>
      <c r="BD556"/>
      <c r="BE556"/>
      <c r="BG556"/>
    </row>
    <row r="557" spans="2:59">
      <c r="B557" s="150"/>
      <c r="AZ557" s="181"/>
      <c r="BA557" s="182"/>
      <c r="BB557" s="182"/>
      <c r="BC557"/>
      <c r="BD557"/>
      <c r="BE557"/>
      <c r="BG557"/>
    </row>
    <row r="558" spans="2:59">
      <c r="B558" s="150"/>
      <c r="AZ558" s="181"/>
      <c r="BA558" s="182"/>
      <c r="BB558" s="182"/>
      <c r="BC558"/>
      <c r="BD558"/>
      <c r="BE558"/>
      <c r="BG558"/>
    </row>
    <row r="559" spans="2:59">
      <c r="B559" s="150"/>
      <c r="AZ559" s="181"/>
      <c r="BA559" s="182"/>
      <c r="BB559" s="182"/>
      <c r="BC559"/>
      <c r="BD559"/>
      <c r="BE559"/>
      <c r="BG559"/>
    </row>
    <row r="560" spans="2:59">
      <c r="B560" s="150"/>
      <c r="AZ560" s="181"/>
      <c r="BA560" s="182"/>
      <c r="BB560" s="182"/>
      <c r="BC560"/>
      <c r="BD560"/>
      <c r="BE560"/>
      <c r="BG560"/>
    </row>
    <row r="561" spans="2:59">
      <c r="B561" s="150"/>
      <c r="AZ561" s="181"/>
      <c r="BA561" s="182"/>
      <c r="BB561" s="182"/>
      <c r="BC561"/>
      <c r="BD561"/>
      <c r="BE561"/>
      <c r="BG561"/>
    </row>
    <row r="562" spans="2:59">
      <c r="B562" s="150"/>
      <c r="AZ562" s="181"/>
      <c r="BA562" s="182"/>
      <c r="BB562" s="182"/>
      <c r="BC562"/>
      <c r="BD562"/>
      <c r="BE562"/>
      <c r="BG562"/>
    </row>
    <row r="563" spans="2:59">
      <c r="B563" s="150"/>
      <c r="AZ563" s="181"/>
      <c r="BA563" s="182"/>
      <c r="BB563" s="182"/>
      <c r="BC563"/>
      <c r="BD563"/>
      <c r="BE563"/>
      <c r="BG563"/>
    </row>
    <row r="564" spans="2:59">
      <c r="B564" s="150"/>
      <c r="AZ564" s="181"/>
      <c r="BA564" s="182"/>
      <c r="BB564" s="182"/>
      <c r="BC564"/>
      <c r="BD564"/>
      <c r="BE564"/>
      <c r="BG564"/>
    </row>
    <row r="565" spans="2:59">
      <c r="B565" s="150"/>
      <c r="AZ565" s="181"/>
      <c r="BA565" s="182"/>
      <c r="BB565" s="182"/>
      <c r="BC565"/>
      <c r="BD565"/>
      <c r="BE565"/>
      <c r="BG565"/>
    </row>
    <row r="566" spans="2:59">
      <c r="B566" s="150"/>
      <c r="AZ566" s="181"/>
      <c r="BA566" s="182"/>
      <c r="BB566" s="182"/>
      <c r="BC566"/>
      <c r="BD566"/>
      <c r="BE566"/>
      <c r="BG566"/>
    </row>
    <row r="567" spans="2:59">
      <c r="B567" s="150"/>
      <c r="AZ567" s="181"/>
      <c r="BA567" s="182"/>
      <c r="BB567" s="182"/>
      <c r="BC567"/>
      <c r="BD567"/>
      <c r="BE567"/>
      <c r="BG567"/>
    </row>
    <row r="568" spans="2:59">
      <c r="B568" s="150"/>
      <c r="AZ568" s="181"/>
      <c r="BA568" s="182"/>
      <c r="BB568" s="182"/>
      <c r="BC568"/>
      <c r="BD568"/>
      <c r="BE568"/>
      <c r="BG568"/>
    </row>
    <row r="569" spans="2:59">
      <c r="B569" s="150"/>
      <c r="AZ569" s="181"/>
      <c r="BA569" s="182"/>
      <c r="BB569" s="182"/>
      <c r="BC569"/>
      <c r="BD569"/>
      <c r="BE569"/>
      <c r="BG569"/>
    </row>
    <row r="570" spans="2:59">
      <c r="B570" s="150"/>
      <c r="AZ570" s="181"/>
      <c r="BA570" s="182"/>
      <c r="BB570" s="182"/>
      <c r="BC570"/>
      <c r="BD570"/>
      <c r="BE570"/>
      <c r="BG570"/>
    </row>
    <row r="571" spans="2:59">
      <c r="B571" s="150"/>
      <c r="AZ571" s="181"/>
      <c r="BA571" s="182"/>
      <c r="BB571" s="182"/>
      <c r="BC571"/>
      <c r="BD571"/>
      <c r="BE571"/>
      <c r="BG571"/>
    </row>
    <row r="572" spans="2:59">
      <c r="B572" s="150"/>
      <c r="AZ572" s="181"/>
      <c r="BA572" s="182"/>
      <c r="BB572" s="182"/>
      <c r="BC572"/>
      <c r="BD572"/>
      <c r="BE572"/>
      <c r="BG572"/>
    </row>
    <row r="573" spans="2:59">
      <c r="B573" s="150"/>
      <c r="AZ573" s="181"/>
      <c r="BA573" s="182"/>
      <c r="BB573" s="182"/>
      <c r="BC573"/>
      <c r="BD573"/>
      <c r="BE573"/>
      <c r="BG573"/>
    </row>
    <row r="574" spans="2:59">
      <c r="B574" s="150"/>
      <c r="AZ574" s="181"/>
      <c r="BA574" s="182"/>
      <c r="BB574" s="182"/>
      <c r="BC574"/>
      <c r="BD574"/>
      <c r="BE574"/>
      <c r="BG574"/>
    </row>
    <row r="575" spans="2:59">
      <c r="B575" s="150"/>
      <c r="AZ575" s="181"/>
      <c r="BA575" s="182"/>
      <c r="BB575" s="182"/>
      <c r="BC575"/>
      <c r="BD575"/>
      <c r="BE575"/>
      <c r="BG575"/>
    </row>
    <row r="576" spans="2:59">
      <c r="B576" s="150"/>
      <c r="AZ576" s="181"/>
      <c r="BA576" s="182"/>
      <c r="BB576" s="182"/>
      <c r="BC576"/>
      <c r="BD576"/>
      <c r="BE576"/>
      <c r="BG576"/>
    </row>
    <row r="577" spans="2:59">
      <c r="B577" s="150"/>
      <c r="AZ577" s="181"/>
      <c r="BA577" s="182"/>
      <c r="BB577" s="182"/>
      <c r="BC577"/>
      <c r="BD577"/>
      <c r="BE577"/>
      <c r="BG577"/>
    </row>
    <row r="578" spans="2:59">
      <c r="B578" s="150"/>
      <c r="AZ578" s="181"/>
      <c r="BA578" s="182"/>
      <c r="BB578" s="182"/>
      <c r="BC578"/>
      <c r="BD578"/>
      <c r="BE578"/>
      <c r="BG578"/>
    </row>
    <row r="579" spans="2:59">
      <c r="B579" s="150"/>
      <c r="AZ579" s="181"/>
      <c r="BA579" s="182"/>
      <c r="BB579" s="182"/>
      <c r="BC579"/>
      <c r="BD579"/>
      <c r="BE579"/>
      <c r="BG579"/>
    </row>
    <row r="580" spans="2:59">
      <c r="B580" s="150"/>
      <c r="AZ580" s="181"/>
      <c r="BA580" s="182"/>
      <c r="BB580" s="182"/>
      <c r="BC580"/>
      <c r="BD580"/>
      <c r="BE580"/>
      <c r="BG580"/>
    </row>
    <row r="581" spans="2:59">
      <c r="B581" s="150"/>
      <c r="AZ581" s="181"/>
      <c r="BA581" s="182"/>
      <c r="BB581" s="182"/>
      <c r="BC581"/>
      <c r="BD581"/>
      <c r="BE581"/>
      <c r="BG581"/>
    </row>
    <row r="582" spans="2:59">
      <c r="B582" s="150"/>
      <c r="AZ582" s="181"/>
      <c r="BA582" s="182"/>
      <c r="BB582" s="182"/>
      <c r="BC582"/>
      <c r="BD582"/>
      <c r="BE582"/>
      <c r="BG582"/>
    </row>
    <row r="583" spans="2:59">
      <c r="B583" s="150"/>
      <c r="AZ583" s="181"/>
      <c r="BA583" s="182"/>
      <c r="BB583" s="182"/>
      <c r="BC583"/>
      <c r="BD583"/>
      <c r="BE583"/>
      <c r="BG583"/>
    </row>
    <row r="584" spans="2:59">
      <c r="B584" s="150"/>
      <c r="AZ584" s="181"/>
      <c r="BA584" s="182"/>
      <c r="BB584" s="182"/>
      <c r="BC584"/>
      <c r="BD584"/>
      <c r="BE584"/>
      <c r="BG584"/>
    </row>
    <row r="585" spans="2:59">
      <c r="B585" s="150"/>
      <c r="AZ585" s="181"/>
      <c r="BA585" s="182"/>
      <c r="BB585" s="182"/>
      <c r="BC585"/>
      <c r="BD585"/>
      <c r="BE585"/>
      <c r="BG585"/>
    </row>
    <row r="586" spans="2:59">
      <c r="B586" s="150"/>
      <c r="AZ586" s="181"/>
      <c r="BA586" s="182"/>
      <c r="BB586" s="182"/>
      <c r="BC586"/>
      <c r="BD586"/>
      <c r="BE586"/>
      <c r="BG586"/>
    </row>
    <row r="587" spans="2:59">
      <c r="B587" s="150"/>
      <c r="AZ587" s="181"/>
      <c r="BA587" s="182"/>
      <c r="BB587" s="182"/>
      <c r="BC587"/>
      <c r="BD587"/>
      <c r="BE587"/>
      <c r="BG587"/>
    </row>
    <row r="588" spans="2:59">
      <c r="B588" s="150"/>
      <c r="AZ588" s="181"/>
      <c r="BA588" s="182"/>
      <c r="BB588" s="182"/>
      <c r="BC588"/>
      <c r="BD588"/>
      <c r="BE588"/>
      <c r="BG588"/>
    </row>
    <row r="589" spans="2:59">
      <c r="B589" s="150"/>
      <c r="AZ589" s="181"/>
      <c r="BA589" s="182"/>
      <c r="BB589" s="182"/>
      <c r="BC589"/>
      <c r="BD589"/>
      <c r="BE589"/>
      <c r="BG589"/>
    </row>
    <row r="590" spans="2:59">
      <c r="B590" s="150"/>
      <c r="AZ590" s="181"/>
      <c r="BA590" s="182"/>
      <c r="BB590" s="182"/>
      <c r="BC590"/>
      <c r="BD590"/>
      <c r="BE590"/>
      <c r="BG590"/>
    </row>
    <row r="591" spans="2:59">
      <c r="B591" s="150"/>
      <c r="AZ591" s="181"/>
      <c r="BA591" s="182"/>
      <c r="BB591" s="182"/>
      <c r="BC591"/>
      <c r="BD591"/>
      <c r="BE591"/>
      <c r="BG591"/>
    </row>
    <row r="592" spans="2:59">
      <c r="B592" s="150"/>
      <c r="AZ592" s="181"/>
      <c r="BA592" s="182"/>
      <c r="BB592" s="182"/>
      <c r="BC592"/>
      <c r="BD592"/>
      <c r="BE592"/>
      <c r="BG592"/>
    </row>
    <row r="593" spans="2:59">
      <c r="B593" s="150"/>
      <c r="AZ593" s="181"/>
      <c r="BA593" s="182"/>
      <c r="BB593" s="182"/>
      <c r="BC593"/>
      <c r="BD593"/>
      <c r="BE593"/>
      <c r="BG593"/>
    </row>
    <row r="594" spans="2:59">
      <c r="B594" s="150"/>
      <c r="AZ594" s="181"/>
      <c r="BA594" s="182"/>
      <c r="BB594" s="182"/>
      <c r="BC594"/>
      <c r="BD594"/>
      <c r="BE594"/>
      <c r="BG594"/>
    </row>
    <row r="595" spans="2:59">
      <c r="B595" s="150"/>
      <c r="AZ595" s="181"/>
      <c r="BA595" s="182"/>
      <c r="BB595" s="182"/>
      <c r="BC595"/>
      <c r="BD595"/>
      <c r="BE595"/>
      <c r="BG595"/>
    </row>
    <row r="596" spans="2:59">
      <c r="B596" s="150"/>
      <c r="AZ596" s="181"/>
      <c r="BA596" s="182"/>
      <c r="BB596" s="182"/>
      <c r="BC596"/>
      <c r="BD596"/>
      <c r="BE596"/>
      <c r="BG596"/>
    </row>
    <row r="597" spans="2:59">
      <c r="B597" s="150"/>
      <c r="AZ597" s="181"/>
      <c r="BA597" s="182"/>
      <c r="BB597" s="182"/>
      <c r="BC597"/>
      <c r="BD597"/>
      <c r="BE597"/>
      <c r="BG597"/>
    </row>
    <row r="598" spans="2:59">
      <c r="B598" s="150"/>
      <c r="AZ598" s="181"/>
      <c r="BA598" s="182"/>
      <c r="BB598" s="182"/>
      <c r="BC598"/>
      <c r="BD598"/>
      <c r="BE598"/>
      <c r="BG598"/>
    </row>
    <row r="599" spans="2:59">
      <c r="B599" s="150"/>
      <c r="AZ599" s="181"/>
      <c r="BA599" s="182"/>
      <c r="BB599" s="182"/>
      <c r="BC599"/>
      <c r="BD599"/>
      <c r="BE599"/>
      <c r="BG599"/>
    </row>
    <row r="600" spans="2:59">
      <c r="B600" s="150"/>
      <c r="AZ600" s="181"/>
      <c r="BA600" s="182"/>
      <c r="BB600" s="182"/>
      <c r="BC600"/>
      <c r="BD600"/>
      <c r="BE600"/>
      <c r="BG600"/>
    </row>
    <row r="601" spans="2:59">
      <c r="B601" s="150"/>
      <c r="AZ601" s="181"/>
      <c r="BA601" s="182"/>
      <c r="BB601" s="182"/>
      <c r="BC601"/>
      <c r="BD601"/>
      <c r="BE601"/>
      <c r="BG601"/>
    </row>
    <row r="602" spans="2:59">
      <c r="B602" s="150"/>
      <c r="AZ602" s="181"/>
      <c r="BA602" s="182"/>
      <c r="BB602" s="182"/>
      <c r="BC602"/>
      <c r="BD602"/>
      <c r="BE602"/>
      <c r="BG602"/>
    </row>
    <row r="603" spans="2:59">
      <c r="B603" s="150"/>
      <c r="AZ603" s="181"/>
      <c r="BA603" s="182"/>
      <c r="BB603" s="182"/>
      <c r="BC603"/>
      <c r="BD603"/>
      <c r="BE603"/>
      <c r="BG603"/>
    </row>
    <row r="604" spans="2:59">
      <c r="B604" s="150"/>
      <c r="AZ604" s="181"/>
      <c r="BA604" s="182"/>
      <c r="BB604" s="182"/>
      <c r="BC604"/>
      <c r="BD604"/>
      <c r="BE604"/>
      <c r="BG604"/>
    </row>
    <row r="605" spans="2:59">
      <c r="B605" s="150"/>
      <c r="AZ605" s="181"/>
      <c r="BA605" s="182"/>
      <c r="BB605" s="182"/>
      <c r="BC605"/>
      <c r="BD605"/>
      <c r="BE605"/>
      <c r="BG605"/>
    </row>
    <row r="606" spans="2:59">
      <c r="B606" s="150"/>
      <c r="AZ606" s="181"/>
      <c r="BA606" s="182"/>
      <c r="BB606" s="182"/>
      <c r="BC606"/>
      <c r="BD606"/>
      <c r="BE606"/>
      <c r="BG606"/>
    </row>
    <row r="607" spans="2:59">
      <c r="B607" s="150"/>
      <c r="AZ607" s="181"/>
      <c r="BA607" s="182"/>
      <c r="BB607" s="182"/>
      <c r="BC607"/>
      <c r="BD607"/>
      <c r="BE607"/>
      <c r="BG607"/>
    </row>
    <row r="608" spans="2:59">
      <c r="B608" s="150"/>
      <c r="AZ608" s="181"/>
      <c r="BA608" s="182"/>
      <c r="BB608" s="182"/>
      <c r="BC608"/>
      <c r="BD608"/>
      <c r="BE608"/>
      <c r="BG608"/>
    </row>
    <row r="609" spans="2:59">
      <c r="B609" s="150"/>
      <c r="AZ609" s="181"/>
      <c r="BA609" s="182"/>
      <c r="BB609" s="182"/>
      <c r="BC609"/>
      <c r="BD609"/>
      <c r="BE609"/>
      <c r="BG609"/>
    </row>
    <row r="610" spans="2:59">
      <c r="B610" s="150"/>
      <c r="AZ610" s="181"/>
      <c r="BA610" s="182"/>
      <c r="BB610" s="182"/>
      <c r="BC610"/>
      <c r="BD610"/>
      <c r="BE610"/>
      <c r="BG610"/>
    </row>
    <row r="611" spans="2:59">
      <c r="B611" s="150"/>
      <c r="AZ611" s="181"/>
      <c r="BA611" s="182"/>
      <c r="BB611" s="182"/>
      <c r="BC611"/>
      <c r="BD611"/>
      <c r="BE611"/>
      <c r="BG611"/>
    </row>
    <row r="612" spans="2:59">
      <c r="B612" s="150"/>
      <c r="AZ612" s="181"/>
      <c r="BA612" s="182"/>
      <c r="BB612" s="182"/>
      <c r="BC612"/>
      <c r="BD612"/>
      <c r="BE612"/>
      <c r="BG612"/>
    </row>
    <row r="613" spans="2:59">
      <c r="B613" s="150"/>
      <c r="AZ613" s="181"/>
      <c r="BA613" s="182"/>
      <c r="BB613" s="182"/>
      <c r="BC613"/>
      <c r="BD613"/>
      <c r="BE613"/>
      <c r="BG613"/>
    </row>
    <row r="614" spans="2:59">
      <c r="B614" s="150"/>
      <c r="AZ614" s="181"/>
      <c r="BA614" s="182"/>
      <c r="BB614" s="182"/>
      <c r="BC614"/>
      <c r="BD614"/>
      <c r="BE614"/>
      <c r="BG614"/>
    </row>
    <row r="615" spans="2:59">
      <c r="B615" s="150"/>
      <c r="AZ615" s="181"/>
      <c r="BA615" s="182"/>
      <c r="BB615" s="182"/>
      <c r="BC615"/>
      <c r="BD615"/>
      <c r="BE615"/>
      <c r="BG615"/>
    </row>
    <row r="616" spans="2:59">
      <c r="B616" s="150"/>
      <c r="AZ616" s="181"/>
      <c r="BA616" s="182"/>
      <c r="BB616" s="182"/>
      <c r="BC616"/>
      <c r="BD616"/>
      <c r="BE616"/>
      <c r="BG616"/>
    </row>
    <row r="617" spans="2:59">
      <c r="B617" s="150"/>
      <c r="AZ617" s="181"/>
      <c r="BA617" s="182"/>
      <c r="BB617" s="182"/>
      <c r="BC617"/>
      <c r="BD617"/>
      <c r="BE617"/>
      <c r="BG617"/>
    </row>
    <row r="618" spans="2:59">
      <c r="B618" s="150"/>
      <c r="AZ618" s="181"/>
      <c r="BA618" s="182"/>
      <c r="BB618" s="182"/>
      <c r="BC618"/>
      <c r="BD618"/>
      <c r="BE618"/>
      <c r="BG618"/>
    </row>
    <row r="619" spans="2:59">
      <c r="B619" s="150"/>
      <c r="AZ619" s="181"/>
      <c r="BA619" s="182"/>
      <c r="BB619" s="182"/>
      <c r="BC619"/>
      <c r="BD619"/>
      <c r="BE619"/>
      <c r="BG619"/>
    </row>
    <row r="620" spans="2:59">
      <c r="B620" s="150"/>
      <c r="AZ620" s="181"/>
      <c r="BA620" s="182"/>
      <c r="BB620" s="182"/>
      <c r="BC620"/>
      <c r="BD620"/>
      <c r="BE620"/>
      <c r="BG620"/>
    </row>
    <row r="621" spans="2:59">
      <c r="B621" s="150"/>
      <c r="AZ621" s="181"/>
      <c r="BA621" s="182"/>
      <c r="BB621" s="182"/>
      <c r="BC621"/>
      <c r="BD621"/>
      <c r="BE621"/>
      <c r="BG621"/>
    </row>
    <row r="622" spans="2:59">
      <c r="B622" s="150"/>
      <c r="AZ622" s="181"/>
      <c r="BA622" s="182"/>
      <c r="BB622" s="182"/>
      <c r="BC622"/>
      <c r="BD622"/>
      <c r="BE622"/>
      <c r="BG622"/>
    </row>
    <row r="623" spans="2:59">
      <c r="B623" s="150"/>
      <c r="AZ623" s="181"/>
      <c r="BA623" s="182"/>
      <c r="BB623" s="182"/>
      <c r="BC623"/>
      <c r="BD623"/>
      <c r="BE623"/>
      <c r="BG623"/>
    </row>
    <row r="624" spans="2:59">
      <c r="B624" s="150"/>
      <c r="AZ624" s="181"/>
      <c r="BA624" s="182"/>
      <c r="BB624" s="182"/>
      <c r="BC624"/>
      <c r="BD624"/>
      <c r="BE624"/>
      <c r="BG624"/>
    </row>
    <row r="625" spans="2:59">
      <c r="B625" s="150"/>
      <c r="AZ625" s="181"/>
      <c r="BA625" s="182"/>
      <c r="BB625" s="182"/>
      <c r="BC625"/>
      <c r="BD625"/>
      <c r="BE625"/>
      <c r="BG625"/>
    </row>
    <row r="626" spans="2:59">
      <c r="B626" s="150"/>
      <c r="AZ626" s="181"/>
      <c r="BA626" s="182"/>
      <c r="BB626" s="182"/>
      <c r="BC626"/>
      <c r="BD626"/>
      <c r="BE626"/>
      <c r="BG626"/>
    </row>
    <row r="627" spans="2:59">
      <c r="B627" s="150"/>
      <c r="AZ627" s="181"/>
      <c r="BA627" s="182"/>
      <c r="BB627" s="182"/>
      <c r="BC627"/>
      <c r="BD627"/>
      <c r="BE627"/>
      <c r="BG627"/>
    </row>
    <row r="628" spans="2:59">
      <c r="B628" s="150"/>
      <c r="AZ628" s="181"/>
      <c r="BA628" s="182"/>
      <c r="BB628" s="182"/>
      <c r="BC628"/>
      <c r="BD628"/>
      <c r="BE628"/>
      <c r="BG628"/>
    </row>
    <row r="629" spans="2:59">
      <c r="B629" s="150"/>
      <c r="AZ629" s="181"/>
      <c r="BA629" s="182"/>
      <c r="BB629" s="182"/>
      <c r="BC629"/>
      <c r="BD629"/>
      <c r="BE629"/>
      <c r="BG629"/>
    </row>
    <row r="630" spans="2:59">
      <c r="B630" s="150"/>
      <c r="AZ630" s="181"/>
      <c r="BA630" s="182"/>
      <c r="BB630" s="182"/>
      <c r="BC630"/>
      <c r="BD630"/>
      <c r="BE630"/>
      <c r="BG630"/>
    </row>
    <row r="631" spans="2:59">
      <c r="B631" s="150"/>
      <c r="AZ631" s="181"/>
      <c r="BA631" s="182"/>
      <c r="BB631" s="182"/>
      <c r="BC631"/>
      <c r="BD631"/>
      <c r="BE631"/>
      <c r="BG631"/>
    </row>
    <row r="632" spans="2:59">
      <c r="B632" s="150"/>
      <c r="AZ632" s="181"/>
      <c r="BA632" s="182"/>
      <c r="BB632" s="182"/>
      <c r="BC632"/>
      <c r="BD632"/>
      <c r="BE632"/>
      <c r="BG632"/>
    </row>
    <row r="633" spans="2:59">
      <c r="B633" s="150"/>
      <c r="AZ633" s="181"/>
      <c r="BA633" s="182"/>
      <c r="BB633" s="182"/>
      <c r="BC633"/>
      <c r="BD633"/>
      <c r="BE633"/>
      <c r="BG633"/>
    </row>
    <row r="634" spans="2:59">
      <c r="B634" s="150"/>
      <c r="AZ634" s="181"/>
      <c r="BA634" s="182"/>
      <c r="BB634" s="182"/>
      <c r="BC634"/>
      <c r="BD634"/>
      <c r="BE634"/>
      <c r="BG634"/>
    </row>
    <row r="635" spans="2:59">
      <c r="B635" s="150"/>
      <c r="AZ635" s="181"/>
      <c r="BA635" s="182"/>
      <c r="BB635" s="182"/>
      <c r="BC635"/>
      <c r="BD635"/>
      <c r="BE635"/>
      <c r="BG635"/>
    </row>
    <row r="636" spans="2:59">
      <c r="B636" s="150"/>
      <c r="AZ636" s="181"/>
      <c r="BA636" s="182"/>
      <c r="BB636" s="182"/>
      <c r="BC636"/>
      <c r="BD636"/>
      <c r="BE636"/>
      <c r="BG636"/>
    </row>
    <row r="637" spans="2:59">
      <c r="B637" s="150"/>
      <c r="AZ637" s="181"/>
      <c r="BA637" s="182"/>
      <c r="BB637" s="182"/>
      <c r="BC637"/>
      <c r="BD637"/>
      <c r="BE637"/>
      <c r="BG637"/>
    </row>
    <row r="638" spans="2:59">
      <c r="B638" s="150"/>
      <c r="AZ638" s="181"/>
      <c r="BA638" s="182"/>
      <c r="BB638" s="182"/>
      <c r="BC638"/>
      <c r="BD638"/>
      <c r="BE638"/>
      <c r="BG638"/>
    </row>
    <row r="639" spans="2:59">
      <c r="B639" s="150"/>
      <c r="AZ639" s="181"/>
      <c r="BA639" s="182"/>
      <c r="BB639" s="182"/>
      <c r="BC639"/>
      <c r="BD639"/>
      <c r="BE639"/>
      <c r="BG639"/>
    </row>
    <row r="640" spans="2:59">
      <c r="B640" s="150"/>
      <c r="AZ640" s="181"/>
      <c r="BA640" s="182"/>
      <c r="BB640" s="182"/>
      <c r="BC640"/>
      <c r="BD640"/>
      <c r="BE640"/>
      <c r="BG640"/>
    </row>
    <row r="641" spans="2:59">
      <c r="B641" s="150"/>
      <c r="AZ641" s="181"/>
      <c r="BA641" s="182"/>
      <c r="BB641" s="182"/>
      <c r="BC641"/>
      <c r="BD641"/>
      <c r="BE641"/>
      <c r="BG641"/>
    </row>
    <row r="642" spans="2:59">
      <c r="B642" s="150"/>
      <c r="AZ642" s="181"/>
      <c r="BA642" s="182"/>
      <c r="BB642" s="182"/>
      <c r="BC642"/>
      <c r="BD642"/>
      <c r="BE642"/>
      <c r="BG642"/>
    </row>
    <row r="643" spans="2:59">
      <c r="B643" s="150"/>
      <c r="AZ643" s="181"/>
      <c r="BA643" s="182"/>
      <c r="BB643" s="182"/>
      <c r="BC643"/>
      <c r="BD643"/>
      <c r="BE643"/>
      <c r="BG643"/>
    </row>
    <row r="644" spans="2:59">
      <c r="B644" s="150"/>
      <c r="AZ644" s="181"/>
      <c r="BA644" s="182"/>
      <c r="BB644" s="182"/>
      <c r="BC644"/>
      <c r="BD644"/>
      <c r="BE644"/>
      <c r="BG644"/>
    </row>
    <row r="645" spans="2:59">
      <c r="B645" s="150"/>
      <c r="AZ645" s="181"/>
      <c r="BA645" s="182"/>
      <c r="BB645" s="182"/>
      <c r="BC645"/>
      <c r="BD645"/>
      <c r="BE645"/>
      <c r="BG645"/>
    </row>
    <row r="646" spans="2:59">
      <c r="B646" s="150"/>
      <c r="AZ646" s="181"/>
      <c r="BA646" s="182"/>
      <c r="BB646" s="182"/>
      <c r="BC646"/>
      <c r="BD646"/>
      <c r="BE646"/>
      <c r="BG646"/>
    </row>
    <row r="647" spans="2:59">
      <c r="B647" s="150"/>
      <c r="AZ647" s="181"/>
      <c r="BA647" s="182"/>
      <c r="BB647" s="182"/>
      <c r="BC647"/>
      <c r="BD647"/>
      <c r="BE647"/>
      <c r="BG647"/>
    </row>
    <row r="648" spans="2:59">
      <c r="B648" s="150"/>
      <c r="AZ648" s="181"/>
      <c r="BA648" s="182"/>
      <c r="BB648" s="182"/>
      <c r="BC648"/>
      <c r="BD648"/>
      <c r="BE648"/>
      <c r="BG648"/>
    </row>
    <row r="649" spans="2:59">
      <c r="B649" s="150"/>
      <c r="AZ649" s="181"/>
      <c r="BA649" s="182"/>
      <c r="BB649" s="182"/>
      <c r="BC649"/>
      <c r="BD649"/>
      <c r="BE649"/>
      <c r="BG649"/>
    </row>
    <row r="650" spans="2:59">
      <c r="B650" s="150"/>
      <c r="AZ650" s="181"/>
      <c r="BA650" s="182"/>
      <c r="BB650" s="182"/>
      <c r="BC650"/>
      <c r="BD650"/>
      <c r="BE650"/>
      <c r="BG650"/>
    </row>
    <row r="651" spans="2:59">
      <c r="B651" s="150"/>
      <c r="AZ651" s="181"/>
      <c r="BA651" s="182"/>
      <c r="BB651" s="182"/>
      <c r="BC651"/>
      <c r="BD651"/>
      <c r="BE651"/>
      <c r="BG651"/>
    </row>
    <row r="652" spans="2:59">
      <c r="B652" s="150"/>
      <c r="AZ652" s="181"/>
      <c r="BA652" s="182"/>
      <c r="BB652" s="182"/>
      <c r="BC652"/>
      <c r="BD652"/>
      <c r="BE652"/>
      <c r="BG652"/>
    </row>
    <row r="653" spans="2:59">
      <c r="B653" s="150"/>
      <c r="AZ653" s="181"/>
      <c r="BA653" s="182"/>
      <c r="BB653" s="182"/>
      <c r="BC653"/>
      <c r="BD653"/>
      <c r="BE653"/>
      <c r="BG653"/>
    </row>
    <row r="654" spans="2:59">
      <c r="B654" s="150"/>
      <c r="AZ654" s="181"/>
      <c r="BA654" s="182"/>
      <c r="BB654" s="182"/>
      <c r="BC654"/>
      <c r="BD654"/>
      <c r="BE654"/>
      <c r="BG654"/>
    </row>
    <row r="655" spans="2:59">
      <c r="B655" s="150"/>
      <c r="AZ655" s="181"/>
      <c r="BA655" s="182"/>
      <c r="BB655" s="182"/>
      <c r="BC655"/>
      <c r="BD655"/>
      <c r="BE655"/>
      <c r="BG655"/>
    </row>
    <row r="656" spans="2:59">
      <c r="B656" s="150"/>
      <c r="AZ656" s="181"/>
      <c r="BA656" s="182"/>
      <c r="BB656" s="182"/>
      <c r="BC656"/>
      <c r="BD656"/>
      <c r="BE656"/>
      <c r="BG656"/>
    </row>
    <row r="657" spans="2:59">
      <c r="B657" s="150"/>
      <c r="AZ657" s="181"/>
      <c r="BA657" s="182"/>
      <c r="BB657" s="182"/>
      <c r="BC657"/>
      <c r="BD657"/>
      <c r="BE657"/>
      <c r="BG657"/>
    </row>
    <row r="658" spans="2:59">
      <c r="B658" s="150"/>
      <c r="AZ658" s="181"/>
      <c r="BA658" s="182"/>
      <c r="BB658" s="182"/>
      <c r="BC658"/>
      <c r="BD658"/>
      <c r="BE658"/>
      <c r="BG658"/>
    </row>
    <row r="659" spans="2:59">
      <c r="B659" s="150"/>
      <c r="AZ659" s="181"/>
      <c r="BA659" s="182"/>
      <c r="BB659" s="182"/>
      <c r="BC659"/>
      <c r="BD659"/>
      <c r="BE659"/>
      <c r="BG659"/>
    </row>
    <row r="660" spans="2:59">
      <c r="B660" s="150"/>
      <c r="AZ660" s="181"/>
      <c r="BA660" s="182"/>
      <c r="BB660" s="182"/>
      <c r="BC660"/>
      <c r="BD660"/>
      <c r="BE660"/>
      <c r="BG660"/>
    </row>
    <row r="661" spans="2:59">
      <c r="B661" s="150"/>
      <c r="AZ661" s="181"/>
      <c r="BA661" s="182"/>
      <c r="BB661" s="182"/>
      <c r="BC661"/>
      <c r="BD661"/>
      <c r="BE661"/>
      <c r="BG661"/>
    </row>
    <row r="662" spans="2:59">
      <c r="B662" s="150"/>
      <c r="AZ662" s="181"/>
      <c r="BA662" s="182"/>
      <c r="BB662" s="182"/>
      <c r="BC662"/>
      <c r="BD662"/>
      <c r="BE662"/>
      <c r="BG662"/>
    </row>
    <row r="663" spans="2:59">
      <c r="B663" s="150"/>
      <c r="AZ663" s="181"/>
      <c r="BA663" s="182"/>
      <c r="BB663" s="182"/>
      <c r="BC663"/>
      <c r="BD663"/>
      <c r="BE663"/>
      <c r="BG663"/>
    </row>
    <row r="664" spans="2:59">
      <c r="B664" s="150"/>
      <c r="AZ664" s="181"/>
      <c r="BA664" s="182"/>
      <c r="BB664" s="182"/>
      <c r="BC664"/>
      <c r="BD664"/>
      <c r="BE664"/>
      <c r="BG664"/>
    </row>
    <row r="665" spans="2:59">
      <c r="B665" s="150"/>
      <c r="AZ665" s="181"/>
      <c r="BA665" s="182"/>
      <c r="BB665" s="182"/>
      <c r="BC665"/>
      <c r="BD665"/>
      <c r="BE665"/>
      <c r="BG665"/>
    </row>
    <row r="666" spans="2:59">
      <c r="B666" s="150"/>
      <c r="AZ666" s="181"/>
      <c r="BA666" s="182"/>
      <c r="BB666" s="182"/>
      <c r="BC666"/>
      <c r="BD666"/>
      <c r="BE666"/>
      <c r="BG666"/>
    </row>
    <row r="667" spans="2:59">
      <c r="B667" s="150"/>
      <c r="AZ667" s="181"/>
      <c r="BA667" s="182"/>
      <c r="BB667" s="182"/>
      <c r="BC667"/>
      <c r="BD667"/>
      <c r="BE667"/>
      <c r="BG667"/>
    </row>
    <row r="668" spans="2:59">
      <c r="B668" s="150"/>
      <c r="AZ668" s="181"/>
      <c r="BA668" s="182"/>
      <c r="BB668" s="182"/>
      <c r="BC668"/>
      <c r="BD668"/>
      <c r="BE668"/>
      <c r="BG668"/>
    </row>
    <row r="669" spans="2:59">
      <c r="B669" s="150"/>
      <c r="AZ669" s="181"/>
      <c r="BA669" s="182"/>
      <c r="BB669" s="182"/>
      <c r="BC669"/>
      <c r="BD669"/>
      <c r="BE669"/>
      <c r="BG669"/>
    </row>
    <row r="670" spans="2:59">
      <c r="B670" s="150"/>
      <c r="AZ670" s="181"/>
      <c r="BA670" s="182"/>
      <c r="BB670" s="182"/>
      <c r="BC670"/>
      <c r="BD670"/>
      <c r="BE670"/>
      <c r="BG670"/>
    </row>
    <row r="671" spans="2:59">
      <c r="B671" s="150"/>
      <c r="AZ671" s="181"/>
      <c r="BA671" s="182"/>
      <c r="BB671" s="182"/>
      <c r="BC671"/>
      <c r="BD671"/>
      <c r="BE671"/>
      <c r="BG671"/>
    </row>
    <row r="672" spans="2:59">
      <c r="B672" s="150"/>
      <c r="AZ672" s="181"/>
      <c r="BA672" s="182"/>
      <c r="BB672" s="182"/>
      <c r="BC672"/>
      <c r="BD672"/>
      <c r="BE672"/>
      <c r="BG672"/>
    </row>
    <row r="673" spans="2:59">
      <c r="B673" s="150"/>
      <c r="AZ673" s="181"/>
      <c r="BA673" s="182"/>
      <c r="BB673" s="182"/>
      <c r="BC673"/>
      <c r="BD673"/>
      <c r="BE673"/>
      <c r="BG673"/>
    </row>
    <row r="674" spans="2:59">
      <c r="B674" s="150"/>
      <c r="AZ674" s="181"/>
      <c r="BA674" s="182"/>
      <c r="BB674" s="182"/>
      <c r="BC674"/>
      <c r="BD674"/>
      <c r="BE674"/>
      <c r="BG674"/>
    </row>
    <row r="675" spans="2:59">
      <c r="B675" s="150"/>
      <c r="AZ675" s="181"/>
      <c r="BA675" s="182"/>
      <c r="BB675" s="182"/>
      <c r="BC675"/>
      <c r="BD675"/>
      <c r="BE675"/>
      <c r="BG675"/>
    </row>
    <row r="676" spans="2:59">
      <c r="B676" s="150"/>
      <c r="AZ676" s="181"/>
      <c r="BA676" s="182"/>
      <c r="BB676" s="182"/>
      <c r="BC676"/>
      <c r="BD676"/>
      <c r="BE676"/>
      <c r="BG676"/>
    </row>
    <row r="677" spans="2:59">
      <c r="B677" s="150"/>
      <c r="AZ677" s="181"/>
      <c r="BA677" s="182"/>
      <c r="BB677" s="182"/>
      <c r="BC677"/>
      <c r="BD677"/>
      <c r="BE677"/>
      <c r="BG677"/>
    </row>
    <row r="678" spans="2:59">
      <c r="B678" s="150"/>
      <c r="AZ678" s="181"/>
      <c r="BA678" s="182"/>
      <c r="BB678" s="182"/>
      <c r="BC678"/>
      <c r="BD678"/>
      <c r="BE678"/>
      <c r="BG678"/>
    </row>
    <row r="679" spans="2:59">
      <c r="B679" s="150"/>
      <c r="AZ679" s="181"/>
      <c r="BA679" s="182"/>
      <c r="BB679" s="182"/>
      <c r="BC679"/>
      <c r="BD679"/>
      <c r="BE679"/>
      <c r="BG679"/>
    </row>
    <row r="680" spans="2:59">
      <c r="B680" s="150"/>
      <c r="AZ680" s="181"/>
      <c r="BA680" s="182"/>
      <c r="BB680" s="182"/>
      <c r="BC680"/>
      <c r="BD680"/>
      <c r="BE680"/>
      <c r="BG680"/>
    </row>
    <row r="681" spans="2:59">
      <c r="B681" s="150"/>
      <c r="AZ681" s="181"/>
      <c r="BA681" s="182"/>
      <c r="BB681" s="182"/>
      <c r="BC681"/>
      <c r="BD681"/>
      <c r="BE681"/>
      <c r="BG681"/>
    </row>
    <row r="682" spans="2:59">
      <c r="B682" s="150"/>
      <c r="AZ682" s="181"/>
      <c r="BA682" s="182"/>
      <c r="BB682" s="182"/>
      <c r="BC682"/>
      <c r="BD682"/>
      <c r="BE682"/>
      <c r="BG682"/>
    </row>
    <row r="683" spans="2:59">
      <c r="B683" s="150"/>
      <c r="AZ683" s="181"/>
      <c r="BA683" s="182"/>
      <c r="BB683" s="182"/>
      <c r="BC683"/>
      <c r="BD683"/>
      <c r="BE683"/>
      <c r="BG683"/>
    </row>
    <row r="684" spans="2:59">
      <c r="B684" s="150"/>
      <c r="AZ684" s="181"/>
      <c r="BA684" s="182"/>
      <c r="BB684" s="182"/>
      <c r="BC684"/>
      <c r="BD684"/>
      <c r="BE684"/>
      <c r="BG684"/>
    </row>
    <row r="685" spans="2:59">
      <c r="B685" s="150"/>
      <c r="AZ685" s="181"/>
      <c r="BA685" s="182"/>
      <c r="BB685" s="182"/>
      <c r="BC685"/>
      <c r="BD685"/>
      <c r="BE685"/>
      <c r="BG685"/>
    </row>
    <row r="686" spans="2:59">
      <c r="B686" s="150"/>
      <c r="AZ686" s="181"/>
      <c r="BA686" s="182"/>
      <c r="BB686" s="182"/>
      <c r="BC686"/>
      <c r="BD686"/>
      <c r="BE686"/>
      <c r="BG686"/>
    </row>
    <row r="687" spans="2:59">
      <c r="B687" s="150"/>
      <c r="AZ687" s="181"/>
      <c r="BA687" s="182"/>
      <c r="BB687" s="182"/>
      <c r="BC687"/>
      <c r="BD687"/>
      <c r="BE687"/>
      <c r="BG687"/>
    </row>
    <row r="688" spans="2:59">
      <c r="B688" s="150"/>
      <c r="AZ688" s="181"/>
      <c r="BA688" s="182"/>
      <c r="BB688" s="182"/>
      <c r="BC688"/>
      <c r="BD688"/>
      <c r="BE688"/>
      <c r="BG688"/>
    </row>
    <row r="689" spans="2:59">
      <c r="B689" s="150"/>
      <c r="AZ689" s="181"/>
      <c r="BA689" s="182"/>
      <c r="BB689" s="182"/>
      <c r="BC689"/>
      <c r="BD689"/>
      <c r="BE689"/>
      <c r="BG689"/>
    </row>
    <row r="690" spans="2:59">
      <c r="B690" s="150"/>
      <c r="AZ690" s="181"/>
      <c r="BA690" s="182"/>
      <c r="BB690" s="182"/>
      <c r="BC690"/>
      <c r="BD690"/>
      <c r="BE690"/>
      <c r="BG690"/>
    </row>
    <row r="691" spans="2:59">
      <c r="B691" s="150"/>
      <c r="AZ691" s="181"/>
      <c r="BA691" s="182"/>
      <c r="BB691" s="182"/>
      <c r="BC691"/>
      <c r="BD691"/>
      <c r="BE691"/>
      <c r="BG691"/>
    </row>
    <row r="692" spans="2:59">
      <c r="B692" s="150"/>
      <c r="AZ692" s="181"/>
      <c r="BA692" s="182"/>
      <c r="BB692" s="182"/>
      <c r="BC692"/>
      <c r="BD692"/>
      <c r="BE692"/>
      <c r="BG692"/>
    </row>
    <row r="693" spans="2:59">
      <c r="B693" s="150"/>
      <c r="AZ693" s="181"/>
      <c r="BA693" s="182"/>
      <c r="BB693" s="182"/>
      <c r="BC693"/>
      <c r="BD693"/>
      <c r="BE693"/>
      <c r="BG693"/>
    </row>
    <row r="694" spans="2:59">
      <c r="B694" s="150"/>
      <c r="AZ694" s="181"/>
      <c r="BA694" s="182"/>
      <c r="BB694" s="182"/>
      <c r="BC694"/>
      <c r="BD694"/>
      <c r="BE694"/>
      <c r="BG694"/>
    </row>
    <row r="695" spans="2:59">
      <c r="B695" s="150"/>
      <c r="AZ695" s="181"/>
      <c r="BA695" s="182"/>
      <c r="BB695" s="182"/>
      <c r="BC695"/>
      <c r="BD695"/>
      <c r="BE695"/>
      <c r="BG695"/>
    </row>
    <row r="696" spans="2:59">
      <c r="B696" s="150"/>
      <c r="AZ696" s="181"/>
      <c r="BA696" s="182"/>
      <c r="BB696" s="182"/>
      <c r="BC696"/>
      <c r="BD696"/>
      <c r="BE696"/>
      <c r="BG696"/>
    </row>
    <row r="697" spans="2:59">
      <c r="B697" s="150"/>
      <c r="AZ697" s="181"/>
      <c r="BA697" s="182"/>
      <c r="BB697" s="182"/>
      <c r="BC697"/>
      <c r="BD697"/>
      <c r="BE697"/>
      <c r="BG697"/>
    </row>
    <row r="698" spans="2:59">
      <c r="B698" s="150"/>
      <c r="AZ698" s="181"/>
      <c r="BA698" s="182"/>
      <c r="BB698" s="182"/>
      <c r="BC698"/>
      <c r="BD698"/>
      <c r="BE698"/>
      <c r="BG698"/>
    </row>
    <row r="699" spans="2:59">
      <c r="B699" s="150"/>
      <c r="AZ699" s="181"/>
      <c r="BA699" s="182"/>
      <c r="BB699" s="182"/>
      <c r="BC699"/>
      <c r="BD699"/>
      <c r="BE699"/>
      <c r="BG699"/>
    </row>
    <row r="700" spans="2:59">
      <c r="B700" s="150"/>
      <c r="AZ700" s="181"/>
      <c r="BA700" s="182"/>
      <c r="BB700" s="182"/>
      <c r="BC700"/>
      <c r="BD700"/>
      <c r="BE700"/>
      <c r="BG700"/>
    </row>
    <row r="701" spans="2:59">
      <c r="B701" s="150"/>
      <c r="AZ701" s="181"/>
      <c r="BA701" s="182"/>
      <c r="BB701" s="182"/>
      <c r="BC701"/>
      <c r="BD701"/>
      <c r="BE701"/>
      <c r="BG701"/>
    </row>
    <row r="702" spans="2:59">
      <c r="B702" s="150"/>
      <c r="AZ702" s="181"/>
      <c r="BA702" s="182"/>
      <c r="BB702" s="182"/>
      <c r="BC702"/>
      <c r="BD702"/>
      <c r="BE702"/>
      <c r="BG702"/>
    </row>
    <row r="703" spans="2:59">
      <c r="B703" s="150"/>
      <c r="AZ703" s="181"/>
      <c r="BA703" s="182"/>
      <c r="BB703" s="182"/>
      <c r="BC703"/>
      <c r="BD703"/>
      <c r="BE703"/>
      <c r="BG703"/>
    </row>
    <row r="704" spans="2:59">
      <c r="B704" s="150"/>
      <c r="AZ704" s="181"/>
      <c r="BA704" s="182"/>
      <c r="BB704" s="182"/>
      <c r="BC704"/>
      <c r="BD704"/>
      <c r="BE704"/>
      <c r="BG704"/>
    </row>
    <row r="705" spans="2:59">
      <c r="B705" s="150"/>
      <c r="AZ705" s="181"/>
      <c r="BA705" s="182"/>
      <c r="BB705" s="182"/>
      <c r="BC705"/>
      <c r="BD705"/>
      <c r="BE705"/>
      <c r="BG705"/>
    </row>
    <row r="706" spans="2:59">
      <c r="B706" s="150"/>
      <c r="AZ706" s="181"/>
      <c r="BA706" s="182"/>
      <c r="BB706" s="182"/>
      <c r="BC706"/>
      <c r="BD706"/>
      <c r="BE706"/>
      <c r="BG706"/>
    </row>
    <row r="707" spans="2:59">
      <c r="B707" s="150"/>
      <c r="AZ707" s="181"/>
      <c r="BA707" s="182"/>
      <c r="BB707" s="182"/>
      <c r="BC707"/>
      <c r="BD707"/>
      <c r="BE707"/>
      <c r="BG707"/>
    </row>
    <row r="708" spans="2:59">
      <c r="B708" s="150"/>
      <c r="AZ708" s="181"/>
      <c r="BA708" s="182"/>
      <c r="BB708" s="182"/>
      <c r="BC708"/>
      <c r="BD708"/>
      <c r="BE708"/>
      <c r="BG708"/>
    </row>
    <row r="709" spans="2:59">
      <c r="B709" s="150"/>
      <c r="AZ709" s="181"/>
      <c r="BA709" s="182"/>
      <c r="BB709" s="182"/>
      <c r="BC709"/>
      <c r="BD709"/>
      <c r="BE709"/>
      <c r="BG709"/>
    </row>
    <row r="710" spans="2:59">
      <c r="B710" s="150"/>
      <c r="AZ710" s="181"/>
      <c r="BA710" s="182"/>
      <c r="BB710" s="182"/>
      <c r="BC710"/>
      <c r="BD710"/>
      <c r="BE710"/>
      <c r="BG710"/>
    </row>
    <row r="711" spans="2:59">
      <c r="B711" s="150"/>
      <c r="AZ711" s="181"/>
      <c r="BA711" s="182"/>
      <c r="BB711" s="182"/>
      <c r="BC711"/>
      <c r="BD711"/>
      <c r="BE711"/>
      <c r="BG711"/>
    </row>
    <row r="712" spans="2:59">
      <c r="B712" s="150"/>
      <c r="AZ712" s="181"/>
      <c r="BA712" s="182"/>
      <c r="BB712" s="182"/>
      <c r="BC712"/>
      <c r="BD712"/>
      <c r="BE712"/>
      <c r="BG712"/>
    </row>
    <row r="713" spans="2:59">
      <c r="B713" s="150"/>
      <c r="AZ713" s="181"/>
      <c r="BA713" s="182"/>
      <c r="BB713" s="182"/>
      <c r="BC713"/>
      <c r="BD713"/>
      <c r="BE713"/>
      <c r="BG713"/>
    </row>
    <row r="714" spans="2:59">
      <c r="B714" s="150"/>
      <c r="AZ714" s="181"/>
      <c r="BA714" s="182"/>
      <c r="BB714" s="182"/>
      <c r="BC714"/>
      <c r="BD714"/>
      <c r="BE714"/>
      <c r="BG714"/>
    </row>
    <row r="715" spans="2:59">
      <c r="B715" s="150"/>
      <c r="AZ715" s="181"/>
      <c r="BA715" s="182"/>
      <c r="BB715" s="182"/>
      <c r="BC715"/>
      <c r="BD715"/>
      <c r="BE715"/>
      <c r="BG715"/>
    </row>
    <row r="716" spans="2:59">
      <c r="B716" s="150"/>
      <c r="AZ716" s="181"/>
      <c r="BA716" s="182"/>
      <c r="BB716" s="182"/>
      <c r="BC716"/>
      <c r="BD716"/>
      <c r="BE716"/>
      <c r="BG716"/>
    </row>
    <row r="717" spans="2:59">
      <c r="B717" s="150"/>
      <c r="AZ717" s="181"/>
      <c r="BA717" s="182"/>
      <c r="BB717" s="182"/>
      <c r="BC717"/>
      <c r="BD717"/>
      <c r="BE717"/>
      <c r="BG717"/>
    </row>
    <row r="718" spans="2:59">
      <c r="B718" s="150"/>
      <c r="AZ718" s="181"/>
      <c r="BA718" s="182"/>
      <c r="BB718" s="182"/>
      <c r="BC718"/>
      <c r="BD718"/>
      <c r="BE718"/>
      <c r="BG718"/>
    </row>
    <row r="719" spans="2:59">
      <c r="B719" s="150"/>
      <c r="AZ719" s="181"/>
      <c r="BA719" s="182"/>
      <c r="BB719" s="182"/>
      <c r="BC719"/>
      <c r="BD719"/>
      <c r="BE719"/>
      <c r="BG719"/>
    </row>
    <row r="720" spans="2:59">
      <c r="B720" s="150"/>
      <c r="AZ720" s="181"/>
      <c r="BA720" s="182"/>
      <c r="BB720" s="182"/>
      <c r="BC720"/>
      <c r="BD720"/>
      <c r="BE720"/>
      <c r="BG720"/>
    </row>
    <row r="721" spans="2:59">
      <c r="B721" s="150"/>
      <c r="AZ721" s="181"/>
      <c r="BA721" s="182"/>
      <c r="BB721" s="182"/>
      <c r="BC721"/>
      <c r="BD721"/>
      <c r="BE721"/>
      <c r="BG721"/>
    </row>
    <row r="722" spans="2:59">
      <c r="B722" s="150"/>
      <c r="AZ722" s="181"/>
      <c r="BA722" s="182"/>
      <c r="BB722" s="182"/>
      <c r="BC722"/>
      <c r="BD722"/>
      <c r="BE722"/>
      <c r="BG722"/>
    </row>
    <row r="723" spans="2:59">
      <c r="B723" s="150"/>
      <c r="AZ723" s="181"/>
      <c r="BA723" s="182"/>
      <c r="BB723" s="182"/>
      <c r="BC723"/>
      <c r="BD723"/>
      <c r="BE723"/>
      <c r="BG723"/>
    </row>
    <row r="724" spans="2:59">
      <c r="B724" s="150"/>
      <c r="AZ724" s="181"/>
      <c r="BA724" s="182"/>
      <c r="BB724" s="182"/>
      <c r="BC724"/>
      <c r="BD724"/>
      <c r="BE724"/>
      <c r="BG724"/>
    </row>
    <row r="725" spans="2:59">
      <c r="B725" s="150"/>
      <c r="AZ725" s="181"/>
      <c r="BA725" s="182"/>
      <c r="BB725" s="182"/>
      <c r="BC725"/>
      <c r="BD725"/>
      <c r="BE725"/>
      <c r="BG725"/>
    </row>
    <row r="726" spans="2:59">
      <c r="B726" s="150"/>
      <c r="AZ726" s="181"/>
      <c r="BA726" s="182"/>
      <c r="BB726" s="182"/>
      <c r="BC726"/>
      <c r="BD726"/>
      <c r="BE726"/>
      <c r="BG726"/>
    </row>
    <row r="727" spans="2:59">
      <c r="B727" s="150"/>
      <c r="AZ727" s="181"/>
      <c r="BA727" s="182"/>
      <c r="BB727" s="182"/>
      <c r="BC727"/>
      <c r="BD727"/>
      <c r="BE727"/>
      <c r="BG727"/>
    </row>
    <row r="728" spans="2:59">
      <c r="B728" s="150"/>
      <c r="AZ728" s="181"/>
      <c r="BA728" s="182"/>
      <c r="BB728" s="182"/>
      <c r="BC728"/>
      <c r="BD728"/>
      <c r="BE728"/>
      <c r="BG728"/>
    </row>
    <row r="729" spans="2:59">
      <c r="B729" s="150"/>
      <c r="AZ729" s="181"/>
      <c r="BA729" s="182"/>
      <c r="BB729" s="182"/>
      <c r="BC729"/>
      <c r="BD729"/>
      <c r="BE729"/>
      <c r="BG729"/>
    </row>
    <row r="730" spans="2:59">
      <c r="B730" s="150"/>
      <c r="AZ730" s="181"/>
      <c r="BA730" s="182"/>
      <c r="BB730" s="182"/>
      <c r="BC730"/>
      <c r="BD730"/>
      <c r="BE730"/>
      <c r="BG730"/>
    </row>
    <row r="731" spans="2:59">
      <c r="B731" s="150"/>
      <c r="AZ731" s="181"/>
      <c r="BA731" s="182"/>
      <c r="BB731" s="182"/>
      <c r="BC731"/>
      <c r="BD731"/>
      <c r="BE731"/>
      <c r="BG731"/>
    </row>
    <row r="732" spans="2:59">
      <c r="B732" s="150"/>
      <c r="AZ732" s="181"/>
      <c r="BA732" s="182"/>
      <c r="BB732" s="182"/>
      <c r="BC732"/>
      <c r="BD732"/>
      <c r="BE732"/>
      <c r="BG732"/>
    </row>
    <row r="733" spans="2:59">
      <c r="B733" s="150"/>
      <c r="AZ733" s="181"/>
      <c r="BA733" s="182"/>
      <c r="BB733" s="182"/>
      <c r="BC733"/>
      <c r="BD733"/>
      <c r="BE733"/>
      <c r="BG733"/>
    </row>
    <row r="734" spans="2:59">
      <c r="B734" s="150"/>
      <c r="AZ734" s="181"/>
      <c r="BA734" s="182"/>
      <c r="BB734" s="182"/>
      <c r="BC734"/>
      <c r="BD734"/>
      <c r="BE734"/>
      <c r="BG734"/>
    </row>
    <row r="735" spans="2:59">
      <c r="B735" s="150"/>
      <c r="AZ735" s="181"/>
      <c r="BA735" s="182"/>
      <c r="BB735" s="182"/>
      <c r="BC735"/>
      <c r="BD735"/>
      <c r="BE735"/>
      <c r="BG735"/>
    </row>
    <row r="736" spans="2:59">
      <c r="B736" s="150"/>
      <c r="AZ736" s="181"/>
      <c r="BA736" s="182"/>
      <c r="BB736" s="182"/>
      <c r="BC736"/>
      <c r="BD736"/>
      <c r="BE736"/>
      <c r="BG736"/>
    </row>
    <row r="737" spans="2:59">
      <c r="B737" s="150"/>
      <c r="AZ737" s="181"/>
      <c r="BA737" s="182"/>
      <c r="BB737" s="182"/>
      <c r="BC737"/>
      <c r="BD737"/>
      <c r="BE737"/>
      <c r="BG737"/>
    </row>
    <row r="738" spans="2:59">
      <c r="B738" s="150"/>
      <c r="AZ738" s="181"/>
      <c r="BA738" s="182"/>
      <c r="BB738" s="182"/>
      <c r="BC738"/>
      <c r="BD738"/>
      <c r="BE738"/>
      <c r="BG738"/>
    </row>
    <row r="739" spans="2:59">
      <c r="B739" s="150"/>
      <c r="AZ739" s="181"/>
      <c r="BA739" s="182"/>
      <c r="BB739" s="182"/>
      <c r="BC739"/>
      <c r="BD739"/>
      <c r="BE739"/>
      <c r="BG739"/>
    </row>
    <row r="740" spans="2:59">
      <c r="B740" s="150"/>
      <c r="AZ740" s="181"/>
      <c r="BA740" s="182"/>
      <c r="BB740" s="182"/>
      <c r="BC740"/>
      <c r="BD740"/>
      <c r="BE740"/>
      <c r="BG740"/>
    </row>
    <row r="741" spans="2:59">
      <c r="B741" s="150"/>
      <c r="AZ741" s="181"/>
      <c r="BA741" s="182"/>
      <c r="BB741" s="182"/>
      <c r="BC741"/>
      <c r="BD741"/>
      <c r="BE741"/>
      <c r="BG741"/>
    </row>
    <row r="742" spans="2:59">
      <c r="B742" s="150"/>
      <c r="AZ742" s="181"/>
      <c r="BA742" s="182"/>
      <c r="BB742" s="182"/>
      <c r="BC742"/>
      <c r="BD742"/>
      <c r="BE742"/>
      <c r="BG742"/>
    </row>
    <row r="743" spans="2:59">
      <c r="B743" s="150"/>
      <c r="AZ743" s="181"/>
      <c r="BA743" s="182"/>
      <c r="BB743" s="182"/>
      <c r="BC743"/>
      <c r="BD743"/>
      <c r="BE743"/>
      <c r="BG743"/>
    </row>
    <row r="744" spans="2:59">
      <c r="B744" s="150"/>
      <c r="AZ744" s="181"/>
      <c r="BA744" s="182"/>
      <c r="BB744" s="182"/>
      <c r="BC744"/>
      <c r="BD744"/>
      <c r="BE744"/>
      <c r="BG744"/>
    </row>
    <row r="745" spans="2:59">
      <c r="B745" s="150"/>
      <c r="AZ745" s="181"/>
      <c r="BA745" s="182"/>
      <c r="BB745" s="182"/>
      <c r="BC745"/>
      <c r="BD745"/>
      <c r="BE745"/>
      <c r="BG745"/>
    </row>
    <row r="746" spans="2:59">
      <c r="B746" s="150"/>
      <c r="AZ746" s="181"/>
      <c r="BA746" s="182"/>
      <c r="BB746" s="182"/>
      <c r="BC746"/>
      <c r="BD746"/>
      <c r="BE746"/>
      <c r="BG746"/>
    </row>
    <row r="747" spans="2:59">
      <c r="B747" s="150"/>
      <c r="AZ747" s="181"/>
      <c r="BA747" s="182"/>
      <c r="BB747" s="182"/>
      <c r="BC747"/>
      <c r="BD747"/>
      <c r="BE747"/>
      <c r="BG747"/>
    </row>
    <row r="748" spans="2:59">
      <c r="B748" s="150"/>
      <c r="AZ748" s="181"/>
      <c r="BA748" s="182"/>
      <c r="BB748" s="182"/>
      <c r="BC748"/>
      <c r="BD748"/>
      <c r="BE748"/>
      <c r="BG748"/>
    </row>
    <row r="749" spans="2:59">
      <c r="B749" s="150"/>
      <c r="AZ749" s="181"/>
      <c r="BA749" s="182"/>
      <c r="BB749" s="182"/>
      <c r="BC749"/>
      <c r="BD749"/>
      <c r="BE749"/>
      <c r="BG749"/>
    </row>
    <row r="750" spans="2:59">
      <c r="B750" s="150"/>
      <c r="AZ750" s="181"/>
      <c r="BA750" s="182"/>
      <c r="BB750" s="182"/>
      <c r="BC750"/>
      <c r="BD750"/>
      <c r="BE750"/>
      <c r="BG750"/>
    </row>
    <row r="751" spans="2:59">
      <c r="B751" s="150"/>
      <c r="AZ751" s="181"/>
      <c r="BA751" s="182"/>
      <c r="BB751" s="182"/>
      <c r="BC751"/>
      <c r="BD751"/>
      <c r="BE751"/>
      <c r="BG751"/>
    </row>
    <row r="752" spans="2:59">
      <c r="B752" s="150"/>
      <c r="AZ752" s="181"/>
      <c r="BA752" s="182"/>
      <c r="BB752" s="182"/>
      <c r="BC752"/>
      <c r="BD752"/>
      <c r="BE752"/>
      <c r="BG752"/>
    </row>
    <row r="753" spans="2:59">
      <c r="B753" s="150"/>
      <c r="AZ753" s="181"/>
      <c r="BA753" s="182"/>
      <c r="BB753" s="182"/>
      <c r="BC753"/>
      <c r="BD753"/>
      <c r="BE753"/>
      <c r="BG753"/>
    </row>
    <row r="754" spans="2:59">
      <c r="B754" s="150"/>
      <c r="AZ754" s="181"/>
      <c r="BA754" s="182"/>
      <c r="BB754" s="182"/>
      <c r="BC754"/>
      <c r="BD754"/>
      <c r="BE754"/>
      <c r="BG754"/>
    </row>
    <row r="755" spans="2:59">
      <c r="B755" s="150"/>
      <c r="AZ755" s="181"/>
      <c r="BA755" s="182"/>
      <c r="BB755" s="182"/>
      <c r="BC755"/>
      <c r="BD755"/>
      <c r="BE755"/>
      <c r="BG755"/>
    </row>
    <row r="756" spans="2:59">
      <c r="B756" s="150"/>
      <c r="AZ756" s="181"/>
      <c r="BA756" s="182"/>
      <c r="BB756" s="182"/>
      <c r="BC756"/>
      <c r="BD756"/>
      <c r="BE756"/>
      <c r="BG756"/>
    </row>
    <row r="757" spans="2:59">
      <c r="B757" s="150"/>
      <c r="AZ757" s="181"/>
      <c r="BA757" s="182"/>
      <c r="BB757" s="182"/>
      <c r="BC757"/>
      <c r="BD757"/>
      <c r="BE757"/>
      <c r="BG757"/>
    </row>
    <row r="758" spans="2:59">
      <c r="B758" s="150"/>
      <c r="AZ758" s="181"/>
      <c r="BA758" s="182"/>
      <c r="BB758" s="182"/>
      <c r="BC758"/>
      <c r="BD758"/>
      <c r="BE758"/>
      <c r="BG758"/>
    </row>
    <row r="759" spans="2:59">
      <c r="B759" s="150"/>
      <c r="AZ759" s="181"/>
      <c r="BA759" s="182"/>
      <c r="BB759" s="182"/>
      <c r="BC759"/>
      <c r="BD759"/>
      <c r="BE759"/>
      <c r="BG759"/>
    </row>
    <row r="760" spans="2:59">
      <c r="B760" s="150"/>
      <c r="AZ760" s="181"/>
      <c r="BA760" s="182"/>
      <c r="BB760" s="182"/>
      <c r="BC760"/>
      <c r="BD760"/>
      <c r="BE760"/>
      <c r="BG760"/>
    </row>
    <row r="761" spans="2:59">
      <c r="B761" s="150"/>
      <c r="AZ761" s="181"/>
      <c r="BA761" s="182"/>
      <c r="BB761" s="182"/>
      <c r="BC761"/>
      <c r="BD761"/>
      <c r="BE761"/>
      <c r="BG761"/>
    </row>
    <row r="762" spans="2:59">
      <c r="B762" s="150"/>
      <c r="AZ762" s="181"/>
      <c r="BA762" s="182"/>
      <c r="BB762" s="182"/>
      <c r="BC762"/>
      <c r="BD762"/>
      <c r="BE762"/>
      <c r="BG762"/>
    </row>
    <row r="763" spans="2:59">
      <c r="B763" s="150"/>
      <c r="AZ763" s="181"/>
      <c r="BA763" s="182"/>
      <c r="BB763" s="182"/>
      <c r="BC763"/>
      <c r="BD763"/>
      <c r="BE763"/>
      <c r="BG763"/>
    </row>
    <row r="764" spans="2:59">
      <c r="B764" s="150"/>
      <c r="AZ764" s="181"/>
      <c r="BA764" s="182"/>
      <c r="BB764" s="182"/>
      <c r="BC764"/>
      <c r="BD764"/>
      <c r="BE764"/>
      <c r="BG764"/>
    </row>
    <row r="765" spans="2:59">
      <c r="B765" s="150"/>
      <c r="AZ765" s="181"/>
      <c r="BA765" s="182"/>
      <c r="BB765" s="182"/>
      <c r="BC765"/>
      <c r="BD765"/>
      <c r="BE765"/>
      <c r="BG765"/>
    </row>
    <row r="766" spans="2:59">
      <c r="B766" s="150"/>
      <c r="AZ766" s="181"/>
      <c r="BA766" s="182"/>
      <c r="BB766" s="182"/>
      <c r="BC766"/>
      <c r="BD766"/>
      <c r="BE766"/>
      <c r="BG766"/>
    </row>
    <row r="767" spans="2:59">
      <c r="B767" s="150"/>
      <c r="AZ767" s="181"/>
      <c r="BA767" s="182"/>
      <c r="BB767" s="182"/>
      <c r="BC767"/>
      <c r="BD767"/>
      <c r="BE767"/>
      <c r="BG767"/>
    </row>
    <row r="768" spans="2:59">
      <c r="B768" s="150"/>
      <c r="AZ768" s="181"/>
      <c r="BA768" s="182"/>
      <c r="BB768" s="182"/>
      <c r="BC768"/>
      <c r="BD768"/>
      <c r="BE768"/>
      <c r="BG768"/>
    </row>
    <row r="769" spans="2:59">
      <c r="B769" s="150"/>
      <c r="AZ769" s="181"/>
      <c r="BA769" s="182"/>
      <c r="BB769" s="182"/>
      <c r="BC769"/>
      <c r="BD769"/>
      <c r="BE769"/>
      <c r="BG769"/>
    </row>
    <row r="770" spans="2:59">
      <c r="B770" s="150"/>
      <c r="AZ770" s="181"/>
      <c r="BA770" s="182"/>
      <c r="BB770" s="182"/>
      <c r="BC770"/>
      <c r="BD770"/>
      <c r="BE770"/>
      <c r="BG770"/>
    </row>
    <row r="771" spans="2:59">
      <c r="B771" s="150"/>
      <c r="AZ771" s="181"/>
      <c r="BA771" s="182"/>
      <c r="BB771" s="182"/>
      <c r="BC771"/>
      <c r="BD771"/>
      <c r="BE771"/>
      <c r="BG771"/>
    </row>
    <row r="772" spans="2:59">
      <c r="B772" s="150"/>
      <c r="AZ772" s="181"/>
      <c r="BA772" s="182"/>
      <c r="BB772" s="182"/>
      <c r="BC772"/>
      <c r="BD772"/>
      <c r="BE772"/>
      <c r="BG772"/>
    </row>
    <row r="773" spans="2:59">
      <c r="B773" s="150"/>
      <c r="AZ773" s="181"/>
      <c r="BA773" s="182"/>
      <c r="BB773" s="182"/>
      <c r="BC773"/>
      <c r="BD773"/>
      <c r="BE773"/>
      <c r="BG773"/>
    </row>
    <row r="774" spans="2:59">
      <c r="B774" s="150"/>
      <c r="AZ774" s="181"/>
      <c r="BA774" s="182"/>
      <c r="BB774" s="182"/>
      <c r="BC774"/>
      <c r="BD774"/>
      <c r="BE774"/>
      <c r="BG774"/>
    </row>
    <row r="775" spans="2:59">
      <c r="B775" s="150"/>
      <c r="AZ775" s="181"/>
      <c r="BA775" s="182"/>
      <c r="BB775" s="182"/>
      <c r="BC775"/>
      <c r="BD775"/>
      <c r="BE775"/>
      <c r="BG775"/>
    </row>
    <row r="776" spans="2:59">
      <c r="B776" s="150"/>
      <c r="AZ776" s="181"/>
      <c r="BA776" s="182"/>
      <c r="BB776" s="182"/>
      <c r="BC776"/>
      <c r="BD776"/>
      <c r="BE776"/>
      <c r="BG776"/>
    </row>
    <row r="777" spans="2:59">
      <c r="B777" s="150"/>
      <c r="AZ777" s="181"/>
      <c r="BA777" s="182"/>
      <c r="BB777" s="182"/>
      <c r="BC777"/>
      <c r="BD777"/>
      <c r="BE777"/>
      <c r="BG777"/>
    </row>
    <row r="778" spans="2:59">
      <c r="B778" s="150"/>
      <c r="AZ778" s="181"/>
      <c r="BA778" s="182"/>
      <c r="BB778" s="182"/>
      <c r="BC778"/>
      <c r="BD778"/>
      <c r="BE778"/>
      <c r="BG778"/>
    </row>
    <row r="779" spans="2:59">
      <c r="B779" s="150"/>
      <c r="AZ779" s="181"/>
      <c r="BA779" s="182"/>
      <c r="BB779" s="182"/>
      <c r="BC779"/>
      <c r="BD779"/>
      <c r="BE779"/>
      <c r="BG779"/>
    </row>
    <row r="780" spans="2:59">
      <c r="B780" s="150"/>
      <c r="AZ780" s="181"/>
      <c r="BA780" s="182"/>
      <c r="BB780" s="182"/>
      <c r="BC780"/>
      <c r="BD780"/>
      <c r="BE780"/>
      <c r="BG780"/>
    </row>
    <row r="781" spans="2:59">
      <c r="B781" s="150"/>
      <c r="AZ781" s="181"/>
      <c r="BA781" s="182"/>
      <c r="BB781" s="182"/>
      <c r="BC781"/>
      <c r="BD781"/>
      <c r="BE781"/>
      <c r="BG781"/>
    </row>
    <row r="782" spans="2:59">
      <c r="B782" s="150"/>
      <c r="AZ782" s="181"/>
      <c r="BA782" s="182"/>
      <c r="BB782" s="182"/>
      <c r="BC782"/>
      <c r="BD782"/>
      <c r="BE782"/>
      <c r="BG782"/>
    </row>
    <row r="783" spans="2:59">
      <c r="B783" s="150"/>
      <c r="AZ783" s="181"/>
      <c r="BA783" s="182"/>
      <c r="BB783" s="182"/>
      <c r="BC783"/>
      <c r="BD783"/>
      <c r="BE783"/>
      <c r="BG783"/>
    </row>
    <row r="784" spans="2:59">
      <c r="B784" s="150"/>
      <c r="AZ784" s="181"/>
      <c r="BA784" s="182"/>
      <c r="BB784" s="182"/>
      <c r="BC784"/>
      <c r="BD784"/>
      <c r="BE784"/>
      <c r="BG784"/>
    </row>
    <row r="785" spans="2:59">
      <c r="B785" s="150"/>
      <c r="AZ785" s="181"/>
      <c r="BA785" s="182"/>
      <c r="BB785" s="182"/>
      <c r="BC785"/>
      <c r="BD785"/>
      <c r="BE785"/>
      <c r="BG785"/>
    </row>
    <row r="786" spans="2:59">
      <c r="B786" s="150"/>
      <c r="AZ786" s="181"/>
      <c r="BA786" s="182"/>
      <c r="BB786" s="182"/>
      <c r="BC786"/>
      <c r="BD786"/>
      <c r="BE786"/>
      <c r="BG786"/>
    </row>
    <row r="787" spans="2:59">
      <c r="B787" s="150"/>
      <c r="AZ787" s="181"/>
      <c r="BA787" s="182"/>
      <c r="BB787" s="182"/>
      <c r="BC787"/>
      <c r="BD787"/>
      <c r="BE787"/>
      <c r="BG787"/>
    </row>
    <row r="788" spans="2:59">
      <c r="B788" s="150"/>
      <c r="AZ788" s="181"/>
      <c r="BA788" s="182"/>
      <c r="BB788" s="182"/>
      <c r="BC788"/>
      <c r="BD788"/>
      <c r="BE788"/>
      <c r="BG788"/>
    </row>
    <row r="789" spans="2:59">
      <c r="B789" s="150"/>
      <c r="AZ789" s="181"/>
      <c r="BA789" s="182"/>
      <c r="BB789" s="182"/>
      <c r="BC789"/>
      <c r="BD789"/>
      <c r="BE789"/>
      <c r="BG789"/>
    </row>
    <row r="790" spans="2:59">
      <c r="B790" s="150"/>
      <c r="AZ790" s="181"/>
      <c r="BA790" s="182"/>
      <c r="BB790" s="182"/>
      <c r="BC790"/>
      <c r="BD790"/>
      <c r="BE790"/>
      <c r="BG790"/>
    </row>
    <row r="791" spans="2:59">
      <c r="B791" s="150"/>
      <c r="AZ791" s="181"/>
      <c r="BA791" s="182"/>
      <c r="BB791" s="182"/>
      <c r="BC791"/>
      <c r="BD791"/>
      <c r="BE791"/>
      <c r="BG791"/>
    </row>
    <row r="792" spans="2:59">
      <c r="B792" s="150"/>
      <c r="AZ792" s="181"/>
      <c r="BA792" s="182"/>
      <c r="BB792" s="182"/>
      <c r="BC792"/>
      <c r="BD792"/>
      <c r="BE792"/>
      <c r="BG792"/>
    </row>
    <row r="793" spans="2:59">
      <c r="B793" s="150"/>
      <c r="AZ793" s="181"/>
      <c r="BA793" s="182"/>
      <c r="BB793" s="182"/>
      <c r="BC793"/>
      <c r="BD793"/>
      <c r="BE793"/>
      <c r="BG793"/>
    </row>
    <row r="794" spans="2:59">
      <c r="B794" s="150"/>
      <c r="AZ794" s="181"/>
      <c r="BA794" s="182"/>
      <c r="BB794" s="182"/>
      <c r="BC794"/>
      <c r="BD794"/>
      <c r="BE794"/>
      <c r="BG794"/>
    </row>
    <row r="795" spans="2:59">
      <c r="B795" s="150"/>
      <c r="AZ795" s="181"/>
      <c r="BA795" s="182"/>
      <c r="BB795" s="182"/>
      <c r="BC795"/>
      <c r="BD795"/>
      <c r="BE795"/>
      <c r="BG795"/>
    </row>
    <row r="796" spans="2:59">
      <c r="B796" s="150"/>
      <c r="AZ796" s="181"/>
      <c r="BA796" s="182"/>
      <c r="BB796" s="182"/>
      <c r="BC796"/>
      <c r="BD796"/>
      <c r="BE796"/>
      <c r="BG796"/>
    </row>
    <row r="797" spans="2:59">
      <c r="B797" s="150"/>
      <c r="AZ797" s="181"/>
      <c r="BA797" s="182"/>
      <c r="BB797" s="182"/>
      <c r="BC797"/>
      <c r="BD797"/>
      <c r="BE797"/>
      <c r="BG797"/>
    </row>
    <row r="798" spans="2:59">
      <c r="B798" s="150"/>
      <c r="AZ798" s="181"/>
      <c r="BA798" s="182"/>
      <c r="BB798" s="182"/>
      <c r="BC798"/>
      <c r="BD798"/>
      <c r="BE798"/>
      <c r="BG798"/>
    </row>
    <row r="799" spans="2:59">
      <c r="B799" s="150"/>
      <c r="AZ799" s="181"/>
      <c r="BA799" s="182"/>
      <c r="BB799" s="182"/>
      <c r="BC799"/>
      <c r="BD799"/>
      <c r="BE799"/>
      <c r="BG799"/>
    </row>
    <row r="800" spans="2:59">
      <c r="B800" s="150"/>
      <c r="AZ800" s="181"/>
      <c r="BA800" s="182"/>
      <c r="BB800" s="182"/>
      <c r="BC800"/>
      <c r="BD800"/>
      <c r="BE800"/>
      <c r="BG800"/>
    </row>
    <row r="801" spans="2:59">
      <c r="B801" s="150"/>
      <c r="AZ801" s="181"/>
      <c r="BA801" s="182"/>
      <c r="BB801" s="182"/>
      <c r="BC801"/>
      <c r="BD801"/>
      <c r="BE801"/>
      <c r="BG801"/>
    </row>
    <row r="802" spans="2:59">
      <c r="B802" s="150"/>
      <c r="AZ802" s="181"/>
      <c r="BA802" s="182"/>
      <c r="BB802" s="182"/>
      <c r="BC802"/>
      <c r="BD802"/>
      <c r="BE802"/>
      <c r="BG802"/>
    </row>
    <row r="803" spans="2:59">
      <c r="B803" s="150"/>
      <c r="AZ803" s="181"/>
      <c r="BA803" s="182"/>
      <c r="BB803" s="182"/>
      <c r="BC803"/>
      <c r="BD803"/>
      <c r="BE803"/>
      <c r="BG803"/>
    </row>
    <row r="804" spans="2:59">
      <c r="B804" s="150"/>
      <c r="AZ804" s="181"/>
      <c r="BA804" s="182"/>
      <c r="BB804" s="182"/>
      <c r="BC804"/>
      <c r="BD804"/>
      <c r="BE804"/>
      <c r="BG804"/>
    </row>
    <row r="805" spans="2:59">
      <c r="B805" s="150"/>
      <c r="AZ805" s="181"/>
      <c r="BA805" s="182"/>
      <c r="BB805" s="182"/>
      <c r="BC805"/>
      <c r="BD805"/>
      <c r="BE805"/>
      <c r="BG805"/>
    </row>
    <row r="806" spans="2:59">
      <c r="B806" s="150"/>
      <c r="AZ806" s="181"/>
      <c r="BA806" s="182"/>
      <c r="BB806" s="182"/>
      <c r="BC806"/>
      <c r="BD806"/>
      <c r="BE806"/>
      <c r="BG806"/>
    </row>
    <row r="807" spans="2:59">
      <c r="B807" s="150"/>
      <c r="AZ807" s="181"/>
      <c r="BA807" s="182"/>
      <c r="BB807" s="182"/>
      <c r="BC807"/>
      <c r="BD807"/>
      <c r="BE807"/>
      <c r="BG807"/>
    </row>
    <row r="808" spans="2:59">
      <c r="B808" s="150"/>
      <c r="AZ808" s="181"/>
      <c r="BA808" s="182"/>
      <c r="BB808" s="182"/>
      <c r="BC808"/>
      <c r="BD808"/>
      <c r="BE808"/>
      <c r="BG808"/>
    </row>
    <row r="809" spans="2:59">
      <c r="B809" s="150"/>
      <c r="AZ809" s="181"/>
      <c r="BA809" s="182"/>
      <c r="BB809" s="182"/>
      <c r="BC809"/>
      <c r="BD809"/>
      <c r="BE809"/>
      <c r="BG809"/>
    </row>
    <row r="810" spans="2:59">
      <c r="B810" s="150"/>
      <c r="AZ810" s="181"/>
      <c r="BA810" s="182"/>
      <c r="BB810" s="182"/>
      <c r="BC810"/>
      <c r="BD810"/>
      <c r="BE810"/>
      <c r="BG810"/>
    </row>
    <row r="811" spans="2:59">
      <c r="B811" s="150"/>
      <c r="AZ811" s="181"/>
      <c r="BA811" s="182"/>
      <c r="BB811" s="182"/>
      <c r="BC811"/>
      <c r="BD811"/>
      <c r="BE811"/>
      <c r="BG811"/>
    </row>
    <row r="812" spans="2:59">
      <c r="B812" s="150"/>
      <c r="AZ812" s="181"/>
      <c r="BA812" s="182"/>
      <c r="BB812" s="182"/>
      <c r="BC812"/>
      <c r="BD812"/>
      <c r="BE812"/>
      <c r="BG812"/>
    </row>
    <row r="813" spans="2:59">
      <c r="B813" s="150"/>
      <c r="AZ813" s="181"/>
      <c r="BA813" s="182"/>
      <c r="BB813" s="182"/>
      <c r="BC813"/>
      <c r="BD813"/>
      <c r="BE813"/>
      <c r="BG813"/>
    </row>
    <row r="814" spans="2:59">
      <c r="B814" s="150"/>
      <c r="AZ814" s="181"/>
      <c r="BA814" s="182"/>
      <c r="BB814" s="182"/>
      <c r="BC814"/>
      <c r="BD814"/>
      <c r="BE814"/>
      <c r="BG814"/>
    </row>
    <row r="815" spans="2:59">
      <c r="B815" s="150"/>
      <c r="AZ815" s="181"/>
      <c r="BA815" s="182"/>
      <c r="BB815" s="182"/>
      <c r="BC815"/>
      <c r="BD815"/>
      <c r="BE815"/>
      <c r="BG815"/>
    </row>
    <row r="816" spans="2:59">
      <c r="B816" s="150"/>
      <c r="AZ816" s="181"/>
      <c r="BA816" s="182"/>
      <c r="BB816" s="182"/>
      <c r="BC816"/>
      <c r="BD816"/>
      <c r="BE816"/>
      <c r="BG816"/>
    </row>
    <row r="817" spans="2:59">
      <c r="B817" s="150"/>
      <c r="AZ817" s="181"/>
      <c r="BA817" s="182"/>
      <c r="BB817" s="182"/>
      <c r="BC817"/>
      <c r="BD817"/>
      <c r="BE817"/>
      <c r="BG817"/>
    </row>
    <row r="818" spans="2:59">
      <c r="B818" s="150"/>
      <c r="AZ818" s="181"/>
      <c r="BA818" s="182"/>
      <c r="BB818" s="182"/>
      <c r="BC818"/>
      <c r="BD818"/>
      <c r="BE818"/>
      <c r="BG818"/>
    </row>
    <row r="819" spans="2:59">
      <c r="B819" s="150"/>
      <c r="AZ819" s="181"/>
      <c r="BA819" s="182"/>
      <c r="BB819" s="182"/>
      <c r="BC819"/>
      <c r="BD819"/>
      <c r="BE819"/>
      <c r="BG819"/>
    </row>
    <row r="820" spans="2:59">
      <c r="B820" s="150"/>
      <c r="AZ820" s="181"/>
      <c r="BA820" s="182"/>
      <c r="BB820" s="182"/>
      <c r="BC820"/>
      <c r="BD820"/>
      <c r="BE820"/>
      <c r="BG820"/>
    </row>
    <row r="821" spans="2:59">
      <c r="B821" s="150"/>
      <c r="AZ821" s="181"/>
      <c r="BA821" s="182"/>
      <c r="BB821" s="182"/>
      <c r="BC821"/>
      <c r="BD821"/>
      <c r="BE821"/>
      <c r="BG821"/>
    </row>
    <row r="822" spans="2:59">
      <c r="B822" s="150"/>
      <c r="AZ822" s="181"/>
      <c r="BA822" s="182"/>
      <c r="BB822" s="182"/>
      <c r="BC822"/>
      <c r="BD822"/>
      <c r="BE822"/>
      <c r="BG822"/>
    </row>
    <row r="823" spans="2:59">
      <c r="B823" s="150"/>
      <c r="AZ823" s="181"/>
      <c r="BA823" s="182"/>
      <c r="BB823" s="182"/>
      <c r="BC823"/>
      <c r="BD823"/>
      <c r="BE823"/>
      <c r="BG823"/>
    </row>
    <row r="824" spans="2:59">
      <c r="B824" s="150"/>
      <c r="AZ824" s="181"/>
      <c r="BA824" s="182"/>
      <c r="BB824" s="182"/>
      <c r="BC824"/>
      <c r="BD824"/>
      <c r="BE824"/>
      <c r="BG824"/>
    </row>
    <row r="825" spans="2:59">
      <c r="B825" s="150"/>
      <c r="AZ825" s="181"/>
      <c r="BA825" s="182"/>
      <c r="BB825" s="182"/>
      <c r="BC825"/>
      <c r="BD825"/>
      <c r="BE825"/>
      <c r="BG825"/>
    </row>
    <row r="826" spans="2:59">
      <c r="B826" s="150"/>
      <c r="AZ826" s="181"/>
      <c r="BA826" s="182"/>
      <c r="BB826" s="182"/>
      <c r="BC826"/>
      <c r="BD826"/>
      <c r="BE826"/>
      <c r="BG826"/>
    </row>
    <row r="827" spans="2:59">
      <c r="B827" s="150"/>
      <c r="AZ827" s="181"/>
      <c r="BA827" s="182"/>
      <c r="BB827" s="182"/>
      <c r="BC827"/>
      <c r="BD827"/>
      <c r="BE827"/>
      <c r="BG827"/>
    </row>
    <row r="828" spans="2:59">
      <c r="B828" s="150"/>
      <c r="AZ828" s="181"/>
      <c r="BA828" s="182"/>
      <c r="BB828" s="182"/>
      <c r="BC828"/>
      <c r="BD828"/>
      <c r="BE828"/>
      <c r="BG828"/>
    </row>
    <row r="829" spans="2:59">
      <c r="B829" s="150"/>
      <c r="AZ829" s="181"/>
      <c r="BA829" s="182"/>
      <c r="BB829" s="182"/>
      <c r="BC829"/>
      <c r="BD829"/>
      <c r="BE829"/>
      <c r="BG829"/>
    </row>
    <row r="830" spans="2:59">
      <c r="B830" s="150"/>
      <c r="AZ830" s="181"/>
      <c r="BA830" s="182"/>
      <c r="BB830" s="182"/>
      <c r="BC830"/>
      <c r="BD830"/>
      <c r="BE830"/>
      <c r="BG830"/>
    </row>
    <row r="831" spans="2:59">
      <c r="B831" s="150"/>
      <c r="AZ831" s="181"/>
      <c r="BA831" s="182"/>
      <c r="BB831" s="182"/>
      <c r="BC831"/>
      <c r="BD831"/>
      <c r="BE831"/>
      <c r="BG831"/>
    </row>
    <row r="832" spans="2:59">
      <c r="B832" s="150"/>
      <c r="AZ832" s="181"/>
      <c r="BA832" s="182"/>
      <c r="BB832" s="182"/>
      <c r="BC832"/>
      <c r="BD832"/>
      <c r="BE832"/>
      <c r="BG832"/>
    </row>
    <row r="833" spans="2:59">
      <c r="B833" s="150"/>
      <c r="AZ833" s="181"/>
      <c r="BA833" s="182"/>
      <c r="BB833" s="182"/>
      <c r="BC833"/>
      <c r="BD833"/>
      <c r="BE833"/>
      <c r="BG833"/>
    </row>
    <row r="834" spans="2:59">
      <c r="B834" s="150"/>
      <c r="AZ834" s="181"/>
      <c r="BA834" s="182"/>
      <c r="BB834" s="182"/>
      <c r="BC834"/>
      <c r="BD834"/>
      <c r="BE834"/>
      <c r="BG834"/>
    </row>
    <row r="835" spans="2:59">
      <c r="B835" s="150"/>
      <c r="AZ835" s="181"/>
      <c r="BA835" s="182"/>
      <c r="BB835" s="182"/>
      <c r="BC835"/>
      <c r="BD835"/>
      <c r="BE835"/>
      <c r="BG835"/>
    </row>
    <row r="836" spans="2:59">
      <c r="B836" s="150"/>
      <c r="AZ836" s="181"/>
      <c r="BA836" s="182"/>
      <c r="BB836" s="182"/>
      <c r="BC836"/>
      <c r="BD836"/>
      <c r="BE836"/>
      <c r="BG836"/>
    </row>
    <row r="837" spans="2:59">
      <c r="B837" s="150"/>
      <c r="AZ837" s="181"/>
      <c r="BA837" s="182"/>
      <c r="BB837" s="182"/>
      <c r="BC837"/>
      <c r="BD837"/>
      <c r="BE837"/>
      <c r="BG837"/>
    </row>
    <row r="838" spans="2:59">
      <c r="B838" s="150"/>
      <c r="AZ838" s="181"/>
      <c r="BA838" s="182"/>
      <c r="BB838" s="182"/>
      <c r="BC838"/>
      <c r="BD838"/>
      <c r="BE838"/>
      <c r="BG838"/>
    </row>
    <row r="839" spans="2:59">
      <c r="B839" s="150"/>
      <c r="AZ839" s="181"/>
      <c r="BA839" s="182"/>
      <c r="BB839" s="182"/>
      <c r="BC839"/>
      <c r="BD839"/>
      <c r="BE839"/>
      <c r="BG839"/>
    </row>
    <row r="840" spans="2:59">
      <c r="B840" s="150"/>
      <c r="AZ840" s="181"/>
      <c r="BA840" s="182"/>
      <c r="BB840" s="182"/>
      <c r="BC840"/>
      <c r="BD840"/>
      <c r="BE840"/>
      <c r="BG840"/>
    </row>
    <row r="841" spans="2:59">
      <c r="B841" s="150"/>
      <c r="AZ841" s="181"/>
      <c r="BA841" s="182"/>
      <c r="BB841" s="182"/>
      <c r="BC841"/>
      <c r="BD841"/>
      <c r="BE841"/>
      <c r="BG841"/>
    </row>
    <row r="842" spans="2:59">
      <c r="B842" s="150"/>
      <c r="AZ842" s="181"/>
      <c r="BA842" s="182"/>
      <c r="BB842" s="182"/>
      <c r="BC842"/>
      <c r="BD842"/>
      <c r="BE842"/>
      <c r="BG842"/>
    </row>
    <row r="843" spans="2:59">
      <c r="B843" s="150"/>
      <c r="AZ843" s="181"/>
      <c r="BA843" s="182"/>
      <c r="BB843" s="182"/>
      <c r="BC843"/>
      <c r="BD843"/>
      <c r="BE843"/>
      <c r="BG843"/>
    </row>
    <row r="844" spans="2:59">
      <c r="B844" s="150"/>
      <c r="AZ844" s="181"/>
      <c r="BA844" s="182"/>
      <c r="BB844" s="182"/>
      <c r="BC844"/>
      <c r="BD844"/>
      <c r="BE844"/>
      <c r="BG844"/>
    </row>
    <row r="845" spans="2:59">
      <c r="B845" s="150"/>
      <c r="AZ845" s="181"/>
      <c r="BA845" s="182"/>
      <c r="BB845" s="182"/>
      <c r="BC845"/>
      <c r="BD845"/>
      <c r="BE845"/>
      <c r="BG845"/>
    </row>
    <row r="846" spans="2:59">
      <c r="B846" s="150"/>
      <c r="AZ846" s="181"/>
      <c r="BA846" s="182"/>
      <c r="BB846" s="182"/>
      <c r="BC846"/>
      <c r="BD846"/>
      <c r="BE846"/>
      <c r="BG846"/>
    </row>
    <row r="847" spans="2:59">
      <c r="B847" s="150"/>
      <c r="AZ847" s="181"/>
      <c r="BA847" s="182"/>
      <c r="BB847" s="182"/>
      <c r="BC847"/>
      <c r="BD847"/>
      <c r="BE847"/>
      <c r="BG847"/>
    </row>
    <row r="848" spans="2:59">
      <c r="B848" s="150"/>
      <c r="AZ848" s="181"/>
      <c r="BA848" s="182"/>
      <c r="BB848" s="182"/>
      <c r="BC848"/>
      <c r="BD848"/>
      <c r="BE848"/>
      <c r="BG848"/>
    </row>
    <row r="849" spans="2:59">
      <c r="B849" s="150"/>
      <c r="AZ849" s="181"/>
      <c r="BA849" s="182"/>
      <c r="BB849" s="182"/>
      <c r="BC849"/>
      <c r="BD849"/>
      <c r="BE849"/>
      <c r="BG849"/>
    </row>
    <row r="850" spans="2:59">
      <c r="B850" s="150"/>
      <c r="AZ850" s="181"/>
      <c r="BA850" s="182"/>
      <c r="BB850" s="182"/>
      <c r="BC850"/>
      <c r="BD850"/>
      <c r="BE850"/>
      <c r="BG850"/>
    </row>
    <row r="851" spans="2:59">
      <c r="B851" s="150"/>
      <c r="AZ851" s="181"/>
      <c r="BA851" s="182"/>
      <c r="BB851" s="182"/>
      <c r="BC851"/>
      <c r="BD851"/>
      <c r="BE851"/>
      <c r="BG851"/>
    </row>
    <row r="852" spans="2:59">
      <c r="B852" s="150"/>
      <c r="AZ852" s="181"/>
      <c r="BA852" s="182"/>
      <c r="BB852" s="182"/>
      <c r="BC852"/>
      <c r="BD852"/>
      <c r="BE852"/>
      <c r="BG852"/>
    </row>
    <row r="853" spans="2:59">
      <c r="B853" s="150"/>
      <c r="AZ853" s="181"/>
      <c r="BA853" s="182"/>
      <c r="BB853" s="182"/>
      <c r="BC853"/>
      <c r="BD853"/>
      <c r="BE853"/>
      <c r="BG853"/>
    </row>
    <row r="854" spans="2:59">
      <c r="B854" s="150"/>
      <c r="AZ854" s="181"/>
      <c r="BA854" s="182"/>
      <c r="BB854" s="182"/>
      <c r="BC854"/>
      <c r="BD854"/>
      <c r="BE854"/>
      <c r="BG854"/>
    </row>
    <row r="855" spans="2:59">
      <c r="B855" s="150"/>
      <c r="AZ855" s="181"/>
      <c r="BA855" s="182"/>
      <c r="BB855" s="182"/>
      <c r="BC855"/>
      <c r="BD855"/>
      <c r="BE855"/>
      <c r="BG855"/>
    </row>
    <row r="856" spans="2:59">
      <c r="B856" s="150"/>
      <c r="AZ856" s="181"/>
      <c r="BA856" s="182"/>
      <c r="BB856" s="182"/>
      <c r="BC856"/>
      <c r="BD856"/>
      <c r="BE856"/>
      <c r="BG856"/>
    </row>
    <row r="857" spans="2:59">
      <c r="B857" s="150"/>
      <c r="AZ857" s="181"/>
      <c r="BA857" s="182"/>
      <c r="BB857" s="182"/>
      <c r="BC857"/>
      <c r="BD857"/>
      <c r="BE857"/>
      <c r="BG857"/>
    </row>
    <row r="858" spans="2:59">
      <c r="B858" s="150"/>
      <c r="AZ858" s="181"/>
      <c r="BA858" s="182"/>
      <c r="BB858" s="182"/>
      <c r="BC858"/>
      <c r="BD858"/>
      <c r="BE858"/>
      <c r="BG858"/>
    </row>
    <row r="859" spans="2:59">
      <c r="B859" s="150"/>
      <c r="AZ859" s="181"/>
      <c r="BA859" s="182"/>
      <c r="BB859" s="182"/>
      <c r="BC859"/>
      <c r="BD859"/>
      <c r="BE859"/>
      <c r="BG859"/>
    </row>
    <row r="860" spans="2:59">
      <c r="B860" s="150"/>
      <c r="AZ860" s="181"/>
      <c r="BA860" s="182"/>
      <c r="BB860" s="182"/>
      <c r="BC860"/>
      <c r="BD860"/>
      <c r="BE860"/>
      <c r="BG860"/>
    </row>
    <row r="861" spans="2:59">
      <c r="B861" s="150"/>
      <c r="AZ861" s="181"/>
      <c r="BA861" s="182"/>
      <c r="BB861" s="182"/>
      <c r="BC861"/>
      <c r="BD861"/>
      <c r="BE861"/>
      <c r="BG861"/>
    </row>
    <row r="862" spans="2:59">
      <c r="B862" s="150"/>
      <c r="AZ862" s="181"/>
      <c r="BA862" s="182"/>
      <c r="BB862" s="182"/>
      <c r="BC862"/>
      <c r="BD862"/>
      <c r="BE862"/>
      <c r="BG862"/>
    </row>
    <row r="863" spans="2:59">
      <c r="B863" s="150"/>
      <c r="AZ863" s="181"/>
      <c r="BA863" s="182"/>
      <c r="BB863" s="182"/>
      <c r="BC863"/>
      <c r="BD863"/>
      <c r="BE863"/>
      <c r="BG863"/>
    </row>
    <row r="864" spans="2:59">
      <c r="B864" s="150"/>
      <c r="AZ864" s="181"/>
      <c r="BA864" s="182"/>
      <c r="BB864" s="182"/>
      <c r="BC864"/>
      <c r="BD864"/>
      <c r="BE864"/>
      <c r="BG864"/>
    </row>
    <row r="865" spans="2:59">
      <c r="B865" s="150"/>
      <c r="AZ865" s="181"/>
      <c r="BA865" s="182"/>
      <c r="BB865" s="182"/>
      <c r="BC865"/>
      <c r="BD865"/>
      <c r="BE865"/>
      <c r="BG865"/>
    </row>
    <row r="866" spans="2:59">
      <c r="B866" s="150"/>
      <c r="AZ866" s="181"/>
      <c r="BA866" s="182"/>
      <c r="BB866" s="182"/>
      <c r="BC866"/>
      <c r="BD866"/>
      <c r="BE866"/>
      <c r="BG866"/>
    </row>
    <row r="867" spans="2:59">
      <c r="B867" s="150"/>
      <c r="AZ867" s="181"/>
      <c r="BA867" s="182"/>
      <c r="BB867" s="182"/>
      <c r="BC867"/>
      <c r="BD867"/>
      <c r="BE867"/>
      <c r="BG867"/>
    </row>
    <row r="868" spans="2:59">
      <c r="B868" s="150"/>
      <c r="AZ868" s="181"/>
      <c r="BA868" s="182"/>
      <c r="BB868" s="182"/>
      <c r="BC868"/>
      <c r="BD868"/>
      <c r="BE868"/>
      <c r="BG868"/>
    </row>
    <row r="869" spans="2:59">
      <c r="B869" s="150"/>
      <c r="AZ869" s="181"/>
      <c r="BA869" s="182"/>
      <c r="BB869" s="182"/>
      <c r="BC869"/>
      <c r="BD869"/>
      <c r="BE869"/>
      <c r="BG869"/>
    </row>
    <row r="870" spans="2:59">
      <c r="B870" s="150"/>
      <c r="AZ870" s="181"/>
      <c r="BA870" s="182"/>
      <c r="BB870" s="182"/>
      <c r="BC870"/>
      <c r="BD870"/>
      <c r="BE870"/>
      <c r="BG870"/>
    </row>
    <row r="871" spans="2:59">
      <c r="B871" s="150"/>
      <c r="AZ871" s="181"/>
      <c r="BA871" s="182"/>
      <c r="BB871" s="182"/>
      <c r="BC871"/>
      <c r="BD871"/>
      <c r="BE871"/>
      <c r="BG871"/>
    </row>
    <row r="872" spans="2:59">
      <c r="B872" s="150"/>
      <c r="AZ872" s="181"/>
      <c r="BA872" s="182"/>
      <c r="BB872" s="182"/>
      <c r="BC872"/>
      <c r="BD872"/>
      <c r="BE872"/>
      <c r="BG872"/>
    </row>
    <row r="873" spans="2:59">
      <c r="B873" s="150"/>
      <c r="AZ873" s="181"/>
      <c r="BA873" s="182"/>
      <c r="BB873" s="182"/>
      <c r="BC873"/>
      <c r="BD873"/>
      <c r="BE873"/>
      <c r="BG873"/>
    </row>
    <row r="874" spans="2:59">
      <c r="B874" s="150"/>
      <c r="AZ874" s="181"/>
      <c r="BA874" s="182"/>
      <c r="BB874" s="182"/>
      <c r="BC874"/>
      <c r="BD874"/>
      <c r="BE874"/>
      <c r="BG874"/>
    </row>
    <row r="875" spans="2:59">
      <c r="B875" s="150"/>
      <c r="AZ875" s="181"/>
      <c r="BA875" s="182"/>
      <c r="BB875" s="182"/>
      <c r="BC875"/>
      <c r="BD875"/>
      <c r="BE875"/>
      <c r="BG875"/>
    </row>
    <row r="876" spans="2:59">
      <c r="B876" s="150"/>
      <c r="AZ876" s="181"/>
      <c r="BA876" s="182"/>
      <c r="BB876" s="182"/>
      <c r="BC876"/>
      <c r="BD876"/>
      <c r="BE876"/>
      <c r="BG876"/>
    </row>
    <row r="877" spans="2:59">
      <c r="B877" s="150"/>
      <c r="AZ877" s="181"/>
      <c r="BA877" s="182"/>
      <c r="BB877" s="182"/>
      <c r="BC877"/>
      <c r="BD877"/>
      <c r="BE877"/>
      <c r="BG877"/>
    </row>
    <row r="878" spans="2:59">
      <c r="B878" s="150"/>
      <c r="AZ878" s="181"/>
      <c r="BA878" s="182"/>
      <c r="BB878" s="182"/>
      <c r="BC878"/>
      <c r="BD878"/>
      <c r="BE878"/>
      <c r="BG878"/>
    </row>
    <row r="879" spans="2:59">
      <c r="B879" s="150"/>
      <c r="AZ879" s="181"/>
      <c r="BA879" s="182"/>
      <c r="BB879" s="182"/>
      <c r="BC879"/>
      <c r="BD879"/>
      <c r="BE879"/>
      <c r="BG879"/>
    </row>
    <row r="880" spans="2:59">
      <c r="B880" s="150"/>
      <c r="AZ880" s="181"/>
      <c r="BA880" s="182"/>
      <c r="BB880" s="182"/>
      <c r="BC880"/>
      <c r="BD880"/>
      <c r="BE880"/>
      <c r="BG880"/>
    </row>
    <row r="881" spans="2:59">
      <c r="B881" s="150"/>
      <c r="AZ881" s="181"/>
      <c r="BA881" s="182"/>
      <c r="BB881" s="182"/>
      <c r="BC881"/>
      <c r="BD881"/>
      <c r="BE881"/>
      <c r="BG881"/>
    </row>
    <row r="882" spans="2:59">
      <c r="B882" s="150"/>
      <c r="AZ882" s="181"/>
      <c r="BA882" s="182"/>
      <c r="BB882" s="182"/>
      <c r="BC882"/>
      <c r="BD882"/>
      <c r="BE882"/>
      <c r="BG882"/>
    </row>
    <row r="883" spans="2:59">
      <c r="B883" s="150"/>
      <c r="AZ883" s="181"/>
      <c r="BA883" s="182"/>
      <c r="BB883" s="182"/>
      <c r="BC883"/>
      <c r="BD883"/>
      <c r="BE883"/>
      <c r="BG883"/>
    </row>
    <row r="884" spans="2:59">
      <c r="B884" s="150"/>
      <c r="AZ884" s="181"/>
      <c r="BA884" s="182"/>
      <c r="BB884" s="182"/>
      <c r="BC884"/>
      <c r="BD884"/>
      <c r="BE884"/>
      <c r="BG884"/>
    </row>
    <row r="885" spans="2:59">
      <c r="B885" s="150"/>
      <c r="AZ885" s="181"/>
      <c r="BA885" s="182"/>
      <c r="BB885" s="182"/>
      <c r="BC885"/>
      <c r="BD885"/>
      <c r="BE885"/>
      <c r="BG885"/>
    </row>
    <row r="886" spans="2:59">
      <c r="B886" s="150"/>
      <c r="AZ886" s="181"/>
      <c r="BA886" s="182"/>
      <c r="BB886" s="182"/>
      <c r="BC886"/>
      <c r="BD886"/>
      <c r="BE886"/>
      <c r="BG886"/>
    </row>
    <row r="887" spans="2:59">
      <c r="B887" s="150"/>
      <c r="AZ887" s="181"/>
      <c r="BA887" s="182"/>
      <c r="BB887" s="182"/>
      <c r="BC887"/>
      <c r="BD887"/>
      <c r="BE887"/>
      <c r="BG887"/>
    </row>
    <row r="888" spans="2:59">
      <c r="B888" s="150"/>
      <c r="AZ888" s="181"/>
      <c r="BA888" s="182"/>
      <c r="BB888" s="182"/>
      <c r="BC888"/>
      <c r="BD888"/>
      <c r="BE888"/>
      <c r="BG888"/>
    </row>
    <row r="889" spans="2:59">
      <c r="B889" s="150"/>
      <c r="AZ889" s="181"/>
      <c r="BA889" s="182"/>
      <c r="BB889" s="182"/>
      <c r="BC889"/>
      <c r="BD889"/>
      <c r="BE889"/>
      <c r="BG889"/>
    </row>
    <row r="890" spans="2:59">
      <c r="B890" s="150"/>
      <c r="AZ890" s="181"/>
      <c r="BA890" s="182"/>
      <c r="BB890" s="182"/>
      <c r="BC890"/>
      <c r="BD890"/>
      <c r="BE890"/>
      <c r="BG890"/>
    </row>
    <row r="891" spans="2:59">
      <c r="B891" s="150"/>
      <c r="AZ891" s="181"/>
      <c r="BA891" s="182"/>
      <c r="BB891" s="182"/>
      <c r="BC891"/>
      <c r="BD891"/>
      <c r="BE891"/>
      <c r="BG891"/>
    </row>
    <row r="892" spans="2:59">
      <c r="B892" s="150"/>
      <c r="AZ892" s="181"/>
      <c r="BA892" s="182"/>
      <c r="BB892" s="182"/>
      <c r="BC892"/>
      <c r="BD892"/>
      <c r="BE892"/>
      <c r="BG892"/>
    </row>
    <row r="893" spans="2:59">
      <c r="B893" s="150"/>
      <c r="AZ893" s="181"/>
      <c r="BA893" s="182"/>
      <c r="BB893" s="182"/>
      <c r="BC893"/>
      <c r="BD893"/>
      <c r="BE893"/>
      <c r="BG893"/>
    </row>
    <row r="894" spans="2:59">
      <c r="B894" s="150"/>
      <c r="AZ894" s="181"/>
      <c r="BA894" s="182"/>
      <c r="BB894" s="182"/>
      <c r="BC894"/>
      <c r="BD894"/>
      <c r="BE894"/>
      <c r="BG894"/>
    </row>
    <row r="895" spans="2:59">
      <c r="B895" s="150"/>
      <c r="AZ895" s="181"/>
      <c r="BA895" s="182"/>
      <c r="BB895" s="182"/>
      <c r="BC895"/>
      <c r="BD895"/>
      <c r="BE895"/>
      <c r="BG895"/>
    </row>
    <row r="896" spans="2:59">
      <c r="B896" s="150"/>
      <c r="AZ896" s="181"/>
      <c r="BA896" s="182"/>
      <c r="BB896" s="182"/>
      <c r="BC896"/>
      <c r="BD896"/>
      <c r="BE896"/>
      <c r="BG896"/>
    </row>
    <row r="897" spans="2:59">
      <c r="B897" s="150"/>
      <c r="AZ897" s="181"/>
      <c r="BA897" s="182"/>
      <c r="BB897" s="182"/>
      <c r="BC897"/>
      <c r="BD897"/>
      <c r="BE897"/>
      <c r="BG897"/>
    </row>
    <row r="898" spans="2:59">
      <c r="B898" s="150"/>
      <c r="AZ898" s="181"/>
      <c r="BA898" s="182"/>
      <c r="BB898" s="182"/>
      <c r="BC898"/>
      <c r="BD898"/>
      <c r="BE898"/>
      <c r="BG898"/>
    </row>
    <row r="899" spans="2:59">
      <c r="B899" s="150"/>
      <c r="AZ899" s="181"/>
      <c r="BA899" s="182"/>
      <c r="BB899" s="182"/>
      <c r="BC899"/>
      <c r="BD899"/>
      <c r="BE899"/>
      <c r="BG899"/>
    </row>
    <row r="900" spans="2:59">
      <c r="B900" s="150"/>
      <c r="AZ900" s="181"/>
      <c r="BA900" s="182"/>
      <c r="BB900" s="182"/>
      <c r="BC900"/>
      <c r="BD900"/>
      <c r="BE900"/>
      <c r="BG900"/>
    </row>
    <row r="901" spans="2:59">
      <c r="B901" s="150"/>
      <c r="AZ901" s="181"/>
      <c r="BA901" s="182"/>
      <c r="BB901" s="182"/>
      <c r="BC901"/>
      <c r="BD901"/>
      <c r="BE901"/>
      <c r="BG901"/>
    </row>
    <row r="902" spans="2:59">
      <c r="B902" s="150"/>
      <c r="AZ902" s="181"/>
      <c r="BA902" s="182"/>
      <c r="BB902" s="182"/>
      <c r="BC902"/>
      <c r="BD902"/>
      <c r="BE902"/>
      <c r="BG902"/>
    </row>
    <row r="903" spans="2:59">
      <c r="B903" s="150"/>
      <c r="AZ903" s="181"/>
      <c r="BA903" s="182"/>
      <c r="BB903" s="182"/>
      <c r="BC903"/>
      <c r="BD903"/>
      <c r="BE903"/>
      <c r="BG903"/>
    </row>
    <row r="904" spans="2:59">
      <c r="B904" s="150"/>
      <c r="AZ904" s="181"/>
      <c r="BA904" s="182"/>
      <c r="BB904" s="182"/>
      <c r="BC904"/>
      <c r="BD904"/>
      <c r="BE904"/>
      <c r="BG904"/>
    </row>
    <row r="905" spans="2:59">
      <c r="B905" s="150"/>
      <c r="AZ905" s="181"/>
      <c r="BA905" s="182"/>
      <c r="BB905" s="182"/>
      <c r="BC905"/>
      <c r="BD905"/>
      <c r="BE905"/>
      <c r="BG905"/>
    </row>
    <row r="906" spans="2:59">
      <c r="B906" s="150"/>
      <c r="AZ906" s="181"/>
      <c r="BA906" s="182"/>
      <c r="BB906" s="182"/>
      <c r="BC906"/>
      <c r="BD906"/>
      <c r="BE906"/>
      <c r="BG906"/>
    </row>
    <row r="907" spans="2:59">
      <c r="B907" s="150"/>
      <c r="AZ907" s="181"/>
      <c r="BA907" s="182"/>
      <c r="BB907" s="182"/>
      <c r="BC907"/>
      <c r="BD907"/>
      <c r="BE907"/>
      <c r="BG907"/>
    </row>
    <row r="908" spans="2:59">
      <c r="B908" s="150"/>
      <c r="AZ908" s="181"/>
      <c r="BA908" s="182"/>
      <c r="BB908" s="182"/>
      <c r="BC908"/>
      <c r="BD908"/>
      <c r="BE908"/>
      <c r="BG908"/>
    </row>
    <row r="909" spans="2:59">
      <c r="B909" s="150"/>
      <c r="AZ909" s="181"/>
      <c r="BA909" s="182"/>
      <c r="BB909" s="182"/>
      <c r="BC909"/>
      <c r="BD909"/>
      <c r="BE909"/>
      <c r="BG909"/>
    </row>
    <row r="910" spans="2:59">
      <c r="B910" s="150"/>
      <c r="AZ910" s="181"/>
      <c r="BA910" s="182"/>
      <c r="BB910" s="182"/>
      <c r="BC910"/>
      <c r="BD910"/>
      <c r="BE910"/>
      <c r="BG910"/>
    </row>
    <row r="911" spans="2:59">
      <c r="B911" s="150"/>
      <c r="AZ911" s="181"/>
      <c r="BA911" s="182"/>
      <c r="BB911" s="182"/>
      <c r="BC911"/>
      <c r="BD911"/>
      <c r="BE911"/>
      <c r="BG911"/>
    </row>
    <row r="912" spans="2:59">
      <c r="B912" s="150"/>
      <c r="AZ912" s="181"/>
      <c r="BA912" s="182"/>
      <c r="BB912" s="182"/>
      <c r="BC912"/>
      <c r="BD912"/>
      <c r="BE912"/>
      <c r="BG912"/>
    </row>
    <row r="913" spans="2:59">
      <c r="B913" s="150"/>
      <c r="AZ913" s="181"/>
      <c r="BA913" s="182"/>
      <c r="BB913" s="182"/>
      <c r="BC913"/>
      <c r="BD913"/>
      <c r="BE913"/>
      <c r="BG913"/>
    </row>
    <row r="914" spans="2:59">
      <c r="B914" s="150"/>
      <c r="AZ914" s="181"/>
      <c r="BA914" s="182"/>
      <c r="BB914" s="182"/>
      <c r="BC914"/>
      <c r="BD914"/>
      <c r="BE914"/>
      <c r="BG914"/>
    </row>
    <row r="915" spans="2:59">
      <c r="B915" s="150"/>
      <c r="AZ915" s="181"/>
      <c r="BA915" s="182"/>
      <c r="BB915" s="182"/>
      <c r="BC915"/>
      <c r="BD915"/>
      <c r="BE915"/>
      <c r="BG915"/>
    </row>
    <row r="916" spans="2:59">
      <c r="B916" s="150"/>
      <c r="AZ916" s="181"/>
      <c r="BA916" s="182"/>
      <c r="BB916" s="182"/>
      <c r="BC916"/>
      <c r="BD916"/>
      <c r="BE916"/>
      <c r="BG916"/>
    </row>
    <row r="917" spans="2:59">
      <c r="B917" s="150"/>
      <c r="AZ917" s="181"/>
      <c r="BA917" s="182"/>
      <c r="BB917" s="182"/>
      <c r="BC917"/>
      <c r="BD917"/>
      <c r="BE917"/>
      <c r="BG917"/>
    </row>
    <row r="918" spans="2:59">
      <c r="B918" s="150"/>
      <c r="AZ918" s="181"/>
      <c r="BA918" s="182"/>
      <c r="BB918" s="182"/>
      <c r="BC918"/>
      <c r="BD918"/>
      <c r="BE918"/>
      <c r="BG918"/>
    </row>
    <row r="919" spans="2:59">
      <c r="B919" s="150"/>
      <c r="AZ919" s="181"/>
      <c r="BA919" s="182"/>
      <c r="BB919" s="182"/>
      <c r="BC919"/>
      <c r="BD919"/>
      <c r="BE919"/>
      <c r="BG919"/>
    </row>
    <row r="920" spans="2:59">
      <c r="B920" s="150"/>
      <c r="AZ920" s="181"/>
      <c r="BA920" s="182"/>
      <c r="BB920" s="182"/>
      <c r="BC920"/>
      <c r="BD920"/>
      <c r="BE920"/>
      <c r="BG920"/>
    </row>
    <row r="921" spans="2:59">
      <c r="B921" s="150"/>
      <c r="AZ921" s="181"/>
      <c r="BA921" s="182"/>
      <c r="BB921" s="182"/>
      <c r="BC921"/>
      <c r="BD921"/>
      <c r="BE921"/>
      <c r="BG921"/>
    </row>
    <row r="922" spans="2:59">
      <c r="B922" s="150"/>
      <c r="AZ922" s="181"/>
      <c r="BA922" s="182"/>
      <c r="BB922" s="182"/>
      <c r="BC922"/>
      <c r="BD922"/>
      <c r="BE922"/>
      <c r="BG922"/>
    </row>
    <row r="923" spans="2:59">
      <c r="B923" s="150"/>
      <c r="AZ923" s="181"/>
      <c r="BA923" s="182"/>
      <c r="BB923" s="182"/>
      <c r="BC923"/>
      <c r="BD923"/>
      <c r="BE923"/>
      <c r="BG923"/>
    </row>
    <row r="924" spans="2:59">
      <c r="B924" s="150"/>
      <c r="AZ924" s="181"/>
      <c r="BA924" s="182"/>
      <c r="BB924" s="182"/>
      <c r="BC924"/>
      <c r="BD924"/>
      <c r="BE924"/>
      <c r="BG924"/>
    </row>
    <row r="925" spans="2:59">
      <c r="B925" s="150"/>
      <c r="AZ925" s="181"/>
      <c r="BA925" s="182"/>
      <c r="BB925" s="182"/>
      <c r="BC925"/>
      <c r="BD925"/>
      <c r="BE925"/>
      <c r="BG925"/>
    </row>
    <row r="926" spans="2:59">
      <c r="B926" s="150"/>
      <c r="AZ926" s="181"/>
      <c r="BA926" s="182"/>
      <c r="BB926" s="182"/>
      <c r="BC926"/>
      <c r="BD926"/>
      <c r="BE926"/>
      <c r="BG926"/>
    </row>
    <row r="927" spans="2:59">
      <c r="B927" s="150"/>
      <c r="AZ927" s="181"/>
      <c r="BA927" s="182"/>
      <c r="BB927" s="182"/>
      <c r="BC927"/>
      <c r="BD927"/>
      <c r="BE927"/>
      <c r="BG927"/>
    </row>
    <row r="928" spans="2:59">
      <c r="B928" s="150"/>
      <c r="AZ928" s="181"/>
      <c r="BA928" s="182"/>
      <c r="BB928" s="182"/>
      <c r="BC928"/>
      <c r="BD928"/>
      <c r="BE928"/>
      <c r="BG928"/>
    </row>
    <row r="929" spans="2:59">
      <c r="B929" s="150"/>
      <c r="AZ929" s="181"/>
      <c r="BA929" s="182"/>
      <c r="BB929" s="182"/>
      <c r="BC929"/>
      <c r="BD929"/>
      <c r="BE929"/>
      <c r="BG929"/>
    </row>
    <row r="930" spans="2:59">
      <c r="B930" s="150"/>
      <c r="AZ930" s="181"/>
      <c r="BA930" s="182"/>
      <c r="BB930" s="182"/>
      <c r="BC930"/>
      <c r="BD930"/>
      <c r="BE930"/>
      <c r="BG930"/>
    </row>
    <row r="931" spans="2:59">
      <c r="B931" s="150"/>
      <c r="AZ931" s="181"/>
      <c r="BA931" s="182"/>
      <c r="BB931" s="182"/>
      <c r="BC931"/>
      <c r="BD931"/>
      <c r="BE931"/>
      <c r="BG931"/>
    </row>
    <row r="932" spans="2:59">
      <c r="B932" s="150"/>
      <c r="AZ932" s="181"/>
      <c r="BA932" s="182"/>
      <c r="BB932" s="182"/>
      <c r="BC932"/>
      <c r="BD932"/>
      <c r="BE932"/>
      <c r="BG932"/>
    </row>
    <row r="933" spans="2:59">
      <c r="B933" s="150"/>
      <c r="AZ933" s="181"/>
      <c r="BA933" s="182"/>
      <c r="BB933" s="182"/>
      <c r="BC933"/>
      <c r="BD933"/>
      <c r="BE933"/>
      <c r="BG933"/>
    </row>
    <row r="934" spans="2:59">
      <c r="B934" s="150"/>
      <c r="AZ934" s="181"/>
      <c r="BA934" s="182"/>
      <c r="BB934" s="182"/>
      <c r="BC934"/>
      <c r="BD934"/>
      <c r="BE934"/>
      <c r="BG934"/>
    </row>
    <row r="935" spans="2:59">
      <c r="B935" s="150"/>
      <c r="AZ935" s="181"/>
      <c r="BA935" s="182"/>
      <c r="BB935" s="182"/>
      <c r="BC935"/>
      <c r="BD935"/>
      <c r="BE935"/>
      <c r="BG935"/>
    </row>
    <row r="936" spans="2:59">
      <c r="B936" s="150"/>
      <c r="AZ936" s="181"/>
      <c r="BA936" s="182"/>
      <c r="BB936" s="182"/>
      <c r="BC936"/>
      <c r="BD936"/>
      <c r="BE936"/>
      <c r="BG936"/>
    </row>
    <row r="937" spans="2:59">
      <c r="B937" s="150"/>
      <c r="AZ937" s="181"/>
      <c r="BA937" s="182"/>
      <c r="BB937" s="182"/>
      <c r="BC937"/>
      <c r="BD937"/>
      <c r="BE937"/>
      <c r="BG937"/>
    </row>
    <row r="938" spans="2:59">
      <c r="B938" s="150"/>
      <c r="AZ938" s="181"/>
      <c r="BA938" s="182"/>
      <c r="BB938" s="182"/>
      <c r="BC938"/>
      <c r="BD938"/>
      <c r="BE938"/>
      <c r="BG938"/>
    </row>
    <row r="939" spans="2:59">
      <c r="B939" s="150"/>
      <c r="AZ939" s="181"/>
      <c r="BA939" s="182"/>
      <c r="BB939" s="182"/>
      <c r="BC939"/>
      <c r="BD939"/>
      <c r="BE939"/>
      <c r="BG939"/>
    </row>
    <row r="940" spans="2:59">
      <c r="B940" s="150"/>
      <c r="AZ940" s="181"/>
      <c r="BA940" s="182"/>
      <c r="BB940" s="182"/>
      <c r="BC940"/>
      <c r="BD940"/>
      <c r="BE940"/>
      <c r="BG940"/>
    </row>
    <row r="941" spans="2:59">
      <c r="B941" s="150"/>
      <c r="AZ941" s="181"/>
      <c r="BA941" s="182"/>
      <c r="BB941" s="182"/>
      <c r="BC941"/>
      <c r="BD941"/>
      <c r="BE941"/>
      <c r="BG941"/>
    </row>
    <row r="942" spans="2:59">
      <c r="B942" s="150"/>
      <c r="AZ942" s="181"/>
      <c r="BA942" s="182"/>
      <c r="BB942" s="182"/>
      <c r="BC942"/>
      <c r="BD942"/>
      <c r="BE942"/>
      <c r="BG942"/>
    </row>
    <row r="943" spans="2:59">
      <c r="B943" s="150"/>
      <c r="AZ943" s="181"/>
      <c r="BA943" s="182"/>
      <c r="BB943" s="182"/>
      <c r="BC943"/>
      <c r="BD943"/>
      <c r="BE943"/>
      <c r="BG943"/>
    </row>
    <row r="944" spans="2:59">
      <c r="B944" s="150"/>
      <c r="AZ944" s="181"/>
      <c r="BA944" s="182"/>
      <c r="BB944" s="182"/>
      <c r="BC944"/>
      <c r="BD944"/>
      <c r="BE944"/>
      <c r="BG944"/>
    </row>
    <row r="945" spans="2:59">
      <c r="B945" s="150"/>
      <c r="AZ945" s="181"/>
      <c r="BA945" s="182"/>
      <c r="BB945" s="182"/>
      <c r="BC945"/>
      <c r="BD945"/>
      <c r="BE945"/>
      <c r="BG945"/>
    </row>
    <row r="946" spans="2:59">
      <c r="B946" s="150"/>
      <c r="AZ946" s="181"/>
      <c r="BA946" s="182"/>
      <c r="BB946" s="182"/>
      <c r="BC946"/>
      <c r="BD946"/>
      <c r="BE946"/>
      <c r="BG946"/>
    </row>
    <row r="947" spans="2:59">
      <c r="B947" s="150"/>
      <c r="AZ947" s="181"/>
      <c r="BA947" s="182"/>
      <c r="BB947" s="182"/>
      <c r="BC947"/>
      <c r="BD947"/>
      <c r="BE947"/>
      <c r="BG947"/>
    </row>
    <row r="948" spans="2:59">
      <c r="B948" s="150"/>
      <c r="AZ948" s="181"/>
      <c r="BA948" s="182"/>
      <c r="BB948" s="182"/>
      <c r="BC948"/>
      <c r="BD948"/>
      <c r="BE948"/>
      <c r="BG948"/>
    </row>
    <row r="949" spans="2:59">
      <c r="B949" s="150"/>
      <c r="AZ949" s="181"/>
      <c r="BA949" s="182"/>
      <c r="BB949" s="182"/>
      <c r="BC949"/>
      <c r="BD949"/>
      <c r="BE949"/>
      <c r="BG949"/>
    </row>
    <row r="950" spans="2:59">
      <c r="B950" s="150"/>
      <c r="AZ950" s="181"/>
      <c r="BA950" s="182"/>
      <c r="BB950" s="182"/>
      <c r="BC950"/>
      <c r="BD950"/>
      <c r="BE950"/>
      <c r="BG950"/>
    </row>
    <row r="951" spans="2:59">
      <c r="B951" s="150"/>
      <c r="AZ951" s="181"/>
      <c r="BA951" s="182"/>
      <c r="BB951" s="182"/>
      <c r="BC951"/>
      <c r="BD951"/>
      <c r="BE951"/>
      <c r="BG951"/>
    </row>
    <row r="952" spans="2:59">
      <c r="B952" s="150"/>
      <c r="AZ952" s="181"/>
      <c r="BA952" s="182"/>
      <c r="BB952" s="182"/>
      <c r="BC952"/>
      <c r="BD952"/>
      <c r="BE952"/>
      <c r="BG952"/>
    </row>
    <row r="953" spans="2:59">
      <c r="B953" s="150"/>
      <c r="AZ953" s="181"/>
      <c r="BA953" s="182"/>
      <c r="BB953" s="182"/>
      <c r="BC953"/>
      <c r="BD953"/>
      <c r="BE953"/>
      <c r="BG953"/>
    </row>
    <row r="954" spans="2:59">
      <c r="B954" s="150"/>
      <c r="AZ954" s="181"/>
      <c r="BA954" s="182"/>
      <c r="BB954" s="182"/>
      <c r="BC954"/>
      <c r="BD954"/>
      <c r="BE954"/>
      <c r="BG954"/>
    </row>
    <row r="955" spans="2:59">
      <c r="B955" s="150"/>
      <c r="AZ955" s="181"/>
      <c r="BA955" s="182"/>
      <c r="BB955" s="182"/>
      <c r="BC955"/>
      <c r="BD955"/>
      <c r="BE955"/>
      <c r="BG955"/>
    </row>
    <row r="956" spans="2:59">
      <c r="B956" s="150"/>
      <c r="AZ956" s="181"/>
      <c r="BA956" s="182"/>
      <c r="BB956" s="182"/>
      <c r="BC956"/>
      <c r="BD956"/>
      <c r="BE956"/>
      <c r="BG956"/>
    </row>
    <row r="957" spans="2:59">
      <c r="B957" s="150"/>
      <c r="AZ957" s="181"/>
      <c r="BA957" s="182"/>
      <c r="BB957" s="182"/>
      <c r="BC957"/>
      <c r="BD957"/>
      <c r="BE957"/>
      <c r="BG957"/>
    </row>
    <row r="958" spans="2:59">
      <c r="B958" s="150"/>
      <c r="AZ958" s="181"/>
      <c r="BA958" s="182"/>
      <c r="BB958" s="182"/>
      <c r="BC958"/>
      <c r="BD958"/>
      <c r="BE958"/>
      <c r="BG958"/>
    </row>
    <row r="959" spans="2:59">
      <c r="B959" s="150"/>
      <c r="AZ959" s="181"/>
      <c r="BA959" s="182"/>
      <c r="BB959" s="182"/>
      <c r="BC959"/>
      <c r="BD959"/>
      <c r="BE959"/>
      <c r="BG959"/>
    </row>
    <row r="960" spans="2:59">
      <c r="B960" s="150"/>
      <c r="AZ960" s="181"/>
      <c r="BA960" s="182"/>
      <c r="BB960" s="182"/>
      <c r="BC960"/>
      <c r="BD960"/>
      <c r="BE960"/>
      <c r="BG960"/>
    </row>
    <row r="961" spans="2:59">
      <c r="B961" s="150"/>
      <c r="AZ961" s="181"/>
      <c r="BA961" s="182"/>
      <c r="BB961" s="182"/>
      <c r="BC961"/>
      <c r="BD961"/>
      <c r="BE961"/>
      <c r="BG961"/>
    </row>
    <row r="962" spans="2:59">
      <c r="B962" s="150"/>
      <c r="AZ962" s="181"/>
      <c r="BA962" s="182"/>
      <c r="BB962" s="182"/>
      <c r="BC962"/>
      <c r="BD962"/>
      <c r="BE962"/>
      <c r="BG962"/>
    </row>
    <row r="963" spans="2:59">
      <c r="B963" s="150"/>
      <c r="AZ963" s="181"/>
      <c r="BA963" s="182"/>
      <c r="BB963" s="182"/>
      <c r="BC963"/>
      <c r="BD963"/>
      <c r="BE963"/>
      <c r="BG963"/>
    </row>
    <row r="964" spans="2:59">
      <c r="B964" s="150"/>
      <c r="AZ964" s="181"/>
      <c r="BA964" s="182"/>
      <c r="BB964" s="182"/>
      <c r="BC964"/>
      <c r="BD964"/>
      <c r="BE964"/>
      <c r="BG964"/>
    </row>
    <row r="965" spans="2:59">
      <c r="B965" s="150"/>
      <c r="AZ965" s="181"/>
      <c r="BA965" s="182"/>
      <c r="BB965" s="182"/>
      <c r="BC965"/>
      <c r="BD965"/>
      <c r="BE965"/>
      <c r="BG965"/>
    </row>
    <row r="966" spans="2:59">
      <c r="B966" s="150"/>
      <c r="AZ966" s="181"/>
      <c r="BA966" s="182"/>
      <c r="BB966" s="182"/>
      <c r="BC966"/>
      <c r="BD966"/>
      <c r="BE966"/>
      <c r="BG966"/>
    </row>
    <row r="967" spans="2:59">
      <c r="B967" s="150"/>
      <c r="AZ967" s="181"/>
      <c r="BA967" s="182"/>
      <c r="BB967" s="182"/>
      <c r="BC967"/>
      <c r="BD967"/>
      <c r="BE967"/>
      <c r="BG967"/>
    </row>
    <row r="968" spans="2:59">
      <c r="B968" s="150"/>
      <c r="AZ968" s="181"/>
      <c r="BA968" s="182"/>
      <c r="BB968" s="182"/>
      <c r="BC968"/>
      <c r="BD968"/>
      <c r="BE968"/>
      <c r="BG968"/>
    </row>
    <row r="969" spans="2:59">
      <c r="B969" s="150"/>
      <c r="AZ969" s="181"/>
      <c r="BA969" s="182"/>
      <c r="BB969" s="182"/>
      <c r="BC969"/>
      <c r="BD969"/>
      <c r="BE969"/>
      <c r="BG969"/>
    </row>
    <row r="970" spans="2:59">
      <c r="B970" s="150"/>
      <c r="AZ970" s="181"/>
      <c r="BA970" s="182"/>
      <c r="BB970" s="182"/>
      <c r="BC970"/>
      <c r="BD970"/>
      <c r="BE970"/>
      <c r="BG970"/>
    </row>
    <row r="971" spans="2:59">
      <c r="B971" s="150"/>
      <c r="AZ971" s="181"/>
      <c r="BA971" s="182"/>
      <c r="BB971" s="182"/>
      <c r="BC971"/>
      <c r="BD971"/>
      <c r="BE971"/>
      <c r="BG971"/>
    </row>
    <row r="972" spans="2:59">
      <c r="B972" s="150"/>
      <c r="AZ972" s="181"/>
      <c r="BA972" s="182"/>
      <c r="BB972" s="182"/>
      <c r="BC972"/>
      <c r="BD972"/>
      <c r="BE972"/>
      <c r="BG972"/>
    </row>
    <row r="973" spans="2:59">
      <c r="B973" s="150"/>
      <c r="AZ973" s="181"/>
      <c r="BA973" s="182"/>
      <c r="BB973" s="182"/>
      <c r="BC973"/>
      <c r="BD973"/>
      <c r="BE973"/>
      <c r="BG973"/>
    </row>
    <row r="974" spans="2:59">
      <c r="B974" s="150"/>
      <c r="AZ974" s="181"/>
      <c r="BA974" s="182"/>
      <c r="BB974" s="182"/>
      <c r="BC974"/>
      <c r="BD974"/>
      <c r="BE974"/>
      <c r="BG974"/>
    </row>
    <row r="975" spans="2:59">
      <c r="B975" s="150"/>
      <c r="AZ975" s="181"/>
      <c r="BA975" s="182"/>
      <c r="BB975" s="182"/>
      <c r="BC975"/>
      <c r="BD975"/>
      <c r="BE975"/>
      <c r="BG975"/>
    </row>
    <row r="976" spans="2:59">
      <c r="B976" s="150"/>
      <c r="AZ976" s="181"/>
      <c r="BA976" s="182"/>
      <c r="BB976" s="182"/>
      <c r="BC976"/>
      <c r="BD976"/>
      <c r="BE976"/>
      <c r="BG976"/>
    </row>
    <row r="977" spans="2:59">
      <c r="B977" s="150"/>
      <c r="AZ977" s="181"/>
      <c r="BA977" s="182"/>
      <c r="BB977" s="182"/>
      <c r="BC977"/>
      <c r="BD977"/>
      <c r="BE977"/>
      <c r="BG977"/>
    </row>
    <row r="978" spans="2:59">
      <c r="B978" s="150"/>
      <c r="AZ978" s="181"/>
      <c r="BA978" s="182"/>
      <c r="BB978" s="182"/>
      <c r="BC978"/>
      <c r="BD978"/>
      <c r="BE978"/>
      <c r="BG978"/>
    </row>
    <row r="979" spans="2:59">
      <c r="B979" s="150"/>
      <c r="AZ979" s="181"/>
      <c r="BA979" s="182"/>
      <c r="BB979" s="182"/>
      <c r="BC979"/>
      <c r="BD979"/>
      <c r="BE979"/>
      <c r="BG979"/>
    </row>
    <row r="980" spans="2:59">
      <c r="B980" s="150"/>
      <c r="AZ980" s="181"/>
      <c r="BA980" s="182"/>
      <c r="BB980" s="182"/>
      <c r="BC980"/>
      <c r="BD980"/>
      <c r="BE980"/>
      <c r="BG980"/>
    </row>
    <row r="981" spans="2:59">
      <c r="B981" s="150"/>
      <c r="AZ981" s="181"/>
      <c r="BA981" s="182"/>
      <c r="BB981" s="182"/>
      <c r="BC981"/>
      <c r="BD981"/>
      <c r="BE981"/>
      <c r="BG981"/>
    </row>
    <row r="982" spans="2:59">
      <c r="B982" s="150"/>
      <c r="AZ982" s="181"/>
      <c r="BA982" s="182"/>
      <c r="BB982" s="182"/>
      <c r="BC982"/>
      <c r="BD982"/>
      <c r="BE982"/>
      <c r="BG982"/>
    </row>
    <row r="983" spans="2:59">
      <c r="B983" s="150"/>
      <c r="AZ983" s="181"/>
      <c r="BA983" s="182"/>
      <c r="BB983" s="182"/>
      <c r="BC983"/>
      <c r="BD983"/>
      <c r="BE983"/>
      <c r="BG983"/>
    </row>
    <row r="984" spans="2:59">
      <c r="B984" s="150"/>
      <c r="AZ984" s="181"/>
      <c r="BA984" s="182"/>
      <c r="BB984" s="182"/>
      <c r="BC984"/>
      <c r="BD984"/>
      <c r="BE984"/>
      <c r="BG984"/>
    </row>
    <row r="985" spans="2:59">
      <c r="B985" s="150"/>
      <c r="AZ985" s="181"/>
      <c r="BA985" s="182"/>
      <c r="BB985" s="182"/>
      <c r="BC985"/>
      <c r="BD985"/>
      <c r="BE985"/>
      <c r="BG985"/>
    </row>
    <row r="986" spans="2:59">
      <c r="B986" s="150"/>
      <c r="AZ986" s="181"/>
      <c r="BA986" s="182"/>
      <c r="BB986" s="182"/>
      <c r="BC986"/>
      <c r="BD986"/>
      <c r="BE986"/>
      <c r="BG986"/>
    </row>
    <row r="987" spans="2:59">
      <c r="B987" s="150"/>
      <c r="AZ987" s="181"/>
      <c r="BA987" s="182"/>
      <c r="BB987" s="182"/>
      <c r="BC987"/>
      <c r="BD987"/>
      <c r="BE987"/>
      <c r="BG987"/>
    </row>
    <row r="988" spans="2:59">
      <c r="B988" s="150"/>
      <c r="AZ988" s="181"/>
      <c r="BA988" s="182"/>
      <c r="BB988" s="182"/>
      <c r="BC988"/>
      <c r="BD988"/>
      <c r="BE988"/>
      <c r="BG988"/>
    </row>
    <row r="989" spans="2:59">
      <c r="B989" s="150"/>
      <c r="AZ989" s="181"/>
      <c r="BA989" s="182"/>
      <c r="BB989" s="182"/>
      <c r="BC989"/>
      <c r="BD989"/>
      <c r="BE989"/>
      <c r="BG989"/>
    </row>
    <row r="990" spans="2:59">
      <c r="B990" s="150"/>
      <c r="AZ990" s="181"/>
      <c r="BA990" s="182"/>
      <c r="BB990" s="182"/>
      <c r="BC990"/>
      <c r="BD990"/>
      <c r="BE990"/>
      <c r="BG990"/>
    </row>
    <row r="991" spans="2:59">
      <c r="B991" s="150"/>
      <c r="AZ991" s="181"/>
      <c r="BA991" s="182"/>
      <c r="BB991" s="182"/>
      <c r="BC991"/>
      <c r="BD991"/>
      <c r="BE991"/>
      <c r="BG991"/>
    </row>
    <row r="992" spans="2:59">
      <c r="B992" s="150"/>
      <c r="AZ992" s="181"/>
      <c r="BA992" s="182"/>
      <c r="BB992" s="182"/>
      <c r="BC992"/>
      <c r="BD992"/>
      <c r="BE992"/>
      <c r="BG992"/>
    </row>
    <row r="993" spans="2:59">
      <c r="B993" s="150"/>
      <c r="AZ993" s="181"/>
      <c r="BA993" s="182"/>
      <c r="BB993" s="182"/>
      <c r="BC993"/>
      <c r="BD993"/>
      <c r="BE993"/>
      <c r="BG993"/>
    </row>
    <row r="994" spans="2:59">
      <c r="B994" s="150"/>
      <c r="AZ994" s="181"/>
      <c r="BA994" s="182"/>
      <c r="BB994" s="182"/>
      <c r="BC994"/>
      <c r="BD994"/>
      <c r="BE994"/>
      <c r="BG994"/>
    </row>
    <row r="995" spans="2:59">
      <c r="B995" s="150"/>
      <c r="AZ995" s="181"/>
      <c r="BA995" s="182"/>
      <c r="BB995" s="182"/>
      <c r="BC995"/>
      <c r="BD995"/>
      <c r="BE995"/>
      <c r="BG995"/>
    </row>
    <row r="996" spans="2:59">
      <c r="B996" s="150"/>
      <c r="AZ996" s="181"/>
      <c r="BA996" s="182"/>
      <c r="BB996" s="182"/>
      <c r="BC996"/>
      <c r="BD996"/>
      <c r="BE996"/>
      <c r="BG996"/>
    </row>
    <row r="997" spans="2:59">
      <c r="B997" s="150"/>
      <c r="AZ997" s="181"/>
      <c r="BA997" s="182"/>
      <c r="BB997" s="182"/>
      <c r="BC997"/>
      <c r="BD997"/>
      <c r="BE997"/>
      <c r="BG997"/>
    </row>
    <row r="998" spans="2:59">
      <c r="B998" s="150"/>
      <c r="AZ998" s="181"/>
      <c r="BA998" s="182"/>
      <c r="BB998" s="182"/>
      <c r="BC998"/>
      <c r="BD998"/>
      <c r="BE998"/>
      <c r="BG998"/>
    </row>
    <row r="999" spans="2:59">
      <c r="B999" s="150"/>
      <c r="AZ999" s="181"/>
      <c r="BA999" s="182"/>
      <c r="BB999" s="182"/>
      <c r="BC999"/>
      <c r="BD999"/>
      <c r="BE999"/>
      <c r="BG999"/>
    </row>
    <row r="1000" spans="2:59">
      <c r="B1000" s="150"/>
      <c r="AZ1000" s="181"/>
      <c r="BA1000" s="182"/>
      <c r="BB1000" s="182"/>
      <c r="BC1000"/>
      <c r="BD1000"/>
      <c r="BE1000"/>
      <c r="BG1000"/>
    </row>
    <row r="1001" spans="2:59">
      <c r="B1001" s="150"/>
      <c r="AZ1001" s="181"/>
      <c r="BA1001" s="182"/>
      <c r="BB1001" s="182"/>
      <c r="BC1001"/>
      <c r="BD1001"/>
      <c r="BE1001"/>
      <c r="BG1001"/>
    </row>
    <row r="1002" spans="2:59">
      <c r="B1002" s="150"/>
      <c r="AZ1002" s="181"/>
      <c r="BA1002" s="182"/>
      <c r="BB1002" s="182"/>
      <c r="BC1002"/>
      <c r="BD1002"/>
      <c r="BE1002"/>
      <c r="BG1002"/>
    </row>
    <row r="1003" spans="2:59">
      <c r="B1003" s="150"/>
      <c r="AZ1003" s="181"/>
      <c r="BA1003" s="182"/>
      <c r="BB1003" s="182"/>
      <c r="BC1003"/>
      <c r="BD1003"/>
      <c r="BE1003"/>
      <c r="BG1003"/>
    </row>
    <row r="1004" spans="2:59">
      <c r="B1004" s="150"/>
      <c r="AZ1004" s="181"/>
      <c r="BA1004" s="182"/>
      <c r="BB1004" s="182"/>
      <c r="BC1004"/>
      <c r="BD1004"/>
      <c r="BE1004"/>
      <c r="BG1004"/>
    </row>
    <row r="1005" spans="2:59">
      <c r="B1005" s="150"/>
      <c r="AZ1005" s="181"/>
      <c r="BA1005" s="182"/>
      <c r="BB1005" s="182"/>
      <c r="BC1005"/>
      <c r="BD1005"/>
      <c r="BE1005"/>
      <c r="BG1005"/>
    </row>
    <row r="1006" spans="2:59">
      <c r="B1006" s="150"/>
      <c r="AZ1006" s="181"/>
      <c r="BA1006" s="182"/>
      <c r="BB1006" s="182"/>
      <c r="BC1006"/>
      <c r="BD1006"/>
      <c r="BE1006"/>
      <c r="BG1006"/>
    </row>
    <row r="1007" spans="2:59">
      <c r="B1007" s="150"/>
      <c r="AZ1007" s="181"/>
      <c r="BA1007" s="182"/>
      <c r="BB1007" s="182"/>
      <c r="BC1007"/>
      <c r="BD1007"/>
      <c r="BE1007"/>
      <c r="BG1007"/>
    </row>
    <row r="1008" spans="2:59">
      <c r="B1008" s="150"/>
      <c r="AZ1008" s="181"/>
      <c r="BA1008" s="182"/>
      <c r="BB1008" s="182"/>
      <c r="BC1008"/>
      <c r="BD1008"/>
      <c r="BE1008"/>
      <c r="BG1008"/>
    </row>
    <row r="1009" spans="2:59">
      <c r="B1009" s="150"/>
      <c r="AZ1009" s="181"/>
      <c r="BA1009" s="182"/>
      <c r="BB1009" s="182"/>
      <c r="BC1009"/>
      <c r="BD1009"/>
      <c r="BE1009"/>
      <c r="BG1009"/>
    </row>
    <row r="1010" spans="2:59">
      <c r="B1010" s="150"/>
      <c r="AZ1010" s="181"/>
      <c r="BA1010" s="182"/>
      <c r="BB1010" s="182"/>
      <c r="BC1010"/>
      <c r="BD1010"/>
      <c r="BE1010"/>
      <c r="BG1010"/>
    </row>
    <row r="1011" spans="2:59">
      <c r="B1011" s="150"/>
      <c r="AZ1011" s="181"/>
      <c r="BA1011" s="182"/>
      <c r="BB1011" s="182"/>
      <c r="BC1011"/>
      <c r="BD1011"/>
      <c r="BE1011"/>
      <c r="BG1011"/>
    </row>
    <row r="1012" spans="2:59">
      <c r="B1012" s="150"/>
      <c r="AZ1012" s="181"/>
      <c r="BA1012" s="182"/>
      <c r="BB1012" s="182"/>
      <c r="BC1012"/>
      <c r="BD1012"/>
      <c r="BE1012"/>
      <c r="BG1012"/>
    </row>
    <row r="1013" spans="2:59">
      <c r="B1013" s="150"/>
      <c r="AZ1013" s="181"/>
      <c r="BA1013" s="182"/>
      <c r="BB1013" s="182"/>
      <c r="BC1013"/>
      <c r="BD1013"/>
      <c r="BE1013"/>
      <c r="BG1013"/>
    </row>
    <row r="1014" spans="2:59">
      <c r="B1014" s="150"/>
      <c r="AZ1014" s="181"/>
      <c r="BA1014" s="182"/>
      <c r="BB1014" s="182"/>
      <c r="BC1014"/>
      <c r="BD1014"/>
      <c r="BE1014"/>
      <c r="BG1014"/>
    </row>
    <row r="1015" spans="2:59">
      <c r="B1015" s="150"/>
      <c r="AZ1015" s="181"/>
      <c r="BA1015" s="182"/>
      <c r="BB1015" s="182"/>
      <c r="BC1015"/>
      <c r="BD1015"/>
      <c r="BE1015"/>
      <c r="BG1015"/>
    </row>
    <row r="1016" spans="2:59">
      <c r="B1016" s="150"/>
      <c r="AZ1016" s="181"/>
      <c r="BA1016" s="182"/>
      <c r="BB1016" s="182"/>
      <c r="BC1016"/>
      <c r="BD1016"/>
      <c r="BE1016"/>
      <c r="BG1016"/>
    </row>
    <row r="1017" spans="2:59">
      <c r="B1017" s="150"/>
      <c r="AZ1017" s="181"/>
      <c r="BA1017" s="182"/>
      <c r="BB1017" s="182"/>
      <c r="BC1017"/>
      <c r="BD1017"/>
      <c r="BE1017"/>
      <c r="BG1017"/>
    </row>
    <row r="1018" spans="2:59">
      <c r="B1018" s="150"/>
      <c r="AZ1018" s="181"/>
      <c r="BA1018" s="182"/>
      <c r="BB1018" s="182"/>
      <c r="BC1018"/>
      <c r="BD1018"/>
      <c r="BE1018"/>
      <c r="BG1018"/>
    </row>
    <row r="1019" spans="2:59">
      <c r="B1019" s="150"/>
      <c r="AZ1019" s="181"/>
      <c r="BA1019" s="182"/>
      <c r="BB1019" s="182"/>
      <c r="BC1019"/>
      <c r="BD1019"/>
      <c r="BE1019"/>
      <c r="BG1019"/>
    </row>
    <row r="1020" spans="2:59">
      <c r="B1020" s="150"/>
      <c r="AZ1020" s="181"/>
      <c r="BA1020" s="182"/>
      <c r="BB1020" s="182"/>
      <c r="BC1020"/>
      <c r="BD1020"/>
      <c r="BE1020"/>
      <c r="BG1020"/>
    </row>
    <row r="1021" spans="2:59">
      <c r="B1021" s="150"/>
      <c r="AZ1021" s="181"/>
      <c r="BA1021" s="182"/>
      <c r="BB1021" s="182"/>
      <c r="BC1021"/>
      <c r="BD1021"/>
      <c r="BE1021"/>
      <c r="BG1021"/>
    </row>
    <row r="1022" spans="2:59">
      <c r="B1022" s="150"/>
      <c r="AZ1022"/>
      <c r="BA1022"/>
      <c r="BB1022"/>
      <c r="BC1022"/>
      <c r="BD1022"/>
      <c r="BE1022"/>
      <c r="BG1022"/>
    </row>
    <row r="1023" spans="52:59">
      <c r="AZ1023"/>
      <c r="BA1023"/>
      <c r="BB1023"/>
      <c r="BC1023"/>
      <c r="BD1023"/>
      <c r="BE1023"/>
      <c r="BG1023"/>
    </row>
    <row r="1024" spans="52:59">
      <c r="AZ1024"/>
      <c r="BA1024"/>
      <c r="BB1024"/>
      <c r="BC1024"/>
      <c r="BD1024"/>
      <c r="BE1024"/>
      <c r="BG1024"/>
    </row>
    <row r="1025" spans="52:59">
      <c r="AZ1025"/>
      <c r="BA1025"/>
      <c r="BB1025"/>
      <c r="BC1025"/>
      <c r="BD1025"/>
      <c r="BE1025"/>
      <c r="BG1025"/>
    </row>
    <row r="1026" spans="52:59">
      <c r="AZ1026"/>
      <c r="BA1026"/>
      <c r="BB1026"/>
      <c r="BC1026"/>
      <c r="BD1026"/>
      <c r="BE1026"/>
      <c r="BG1026"/>
    </row>
    <row r="1027" spans="52:59">
      <c r="AZ1027"/>
      <c r="BA1027"/>
      <c r="BB1027"/>
      <c r="BC1027"/>
      <c r="BD1027"/>
      <c r="BE1027"/>
      <c r="BG1027"/>
    </row>
    <row r="1028" spans="52:59">
      <c r="AZ1028"/>
      <c r="BA1028"/>
      <c r="BB1028"/>
      <c r="BC1028"/>
      <c r="BD1028"/>
      <c r="BE1028"/>
      <c r="BG1028"/>
    </row>
    <row r="1029" spans="52:59">
      <c r="AZ1029"/>
      <c r="BA1029"/>
      <c r="BB1029"/>
      <c r="BC1029"/>
      <c r="BD1029"/>
      <c r="BE1029"/>
      <c r="BG1029"/>
    </row>
    <row r="1030" spans="52:59">
      <c r="AZ1030"/>
      <c r="BA1030"/>
      <c r="BB1030"/>
      <c r="BC1030"/>
      <c r="BD1030"/>
      <c r="BE1030"/>
      <c r="BG1030"/>
    </row>
    <row r="1031" spans="52:59">
      <c r="AZ1031"/>
      <c r="BA1031"/>
      <c r="BB1031"/>
      <c r="BC1031"/>
      <c r="BD1031"/>
      <c r="BE1031"/>
      <c r="BG1031"/>
    </row>
    <row r="1032" spans="52:59">
      <c r="AZ1032"/>
      <c r="BA1032"/>
      <c r="BB1032"/>
      <c r="BC1032"/>
      <c r="BD1032"/>
      <c r="BE1032"/>
      <c r="BG1032"/>
    </row>
    <row r="1033" spans="52:59">
      <c r="AZ1033"/>
      <c r="BA1033"/>
      <c r="BB1033"/>
      <c r="BC1033"/>
      <c r="BD1033"/>
      <c r="BE1033"/>
      <c r="BG1033"/>
    </row>
    <row r="1034" spans="52:59">
      <c r="AZ1034"/>
      <c r="BA1034"/>
      <c r="BB1034"/>
      <c r="BC1034"/>
      <c r="BD1034"/>
      <c r="BE1034"/>
      <c r="BG1034"/>
    </row>
    <row r="1035" spans="52:59">
      <c r="AZ1035"/>
      <c r="BA1035"/>
      <c r="BB1035"/>
      <c r="BC1035"/>
      <c r="BD1035"/>
      <c r="BE1035"/>
      <c r="BG1035"/>
    </row>
    <row r="1036" spans="52:59">
      <c r="AZ1036"/>
      <c r="BA1036"/>
      <c r="BB1036"/>
      <c r="BC1036"/>
      <c r="BD1036"/>
      <c r="BE1036"/>
      <c r="BG1036"/>
    </row>
    <row r="1037" spans="52:59">
      <c r="AZ1037"/>
      <c r="BA1037"/>
      <c r="BB1037"/>
      <c r="BC1037"/>
      <c r="BD1037"/>
      <c r="BE1037"/>
      <c r="BG1037"/>
    </row>
    <row r="1038" spans="52:59">
      <c r="AZ1038"/>
      <c r="BA1038"/>
      <c r="BB1038"/>
      <c r="BC1038"/>
      <c r="BD1038"/>
      <c r="BE1038"/>
      <c r="BG1038"/>
    </row>
    <row r="1039" spans="52:59">
      <c r="AZ1039"/>
      <c r="BA1039"/>
      <c r="BB1039"/>
      <c r="BC1039"/>
      <c r="BD1039"/>
      <c r="BE1039"/>
      <c r="BG1039"/>
    </row>
    <row r="1040" spans="52:59">
      <c r="AZ1040"/>
      <c r="BA1040"/>
      <c r="BB1040"/>
      <c r="BC1040"/>
      <c r="BD1040"/>
      <c r="BE1040"/>
      <c r="BG1040"/>
    </row>
    <row r="1041" spans="52:59">
      <c r="AZ1041"/>
      <c r="BA1041"/>
      <c r="BB1041"/>
      <c r="BC1041"/>
      <c r="BD1041"/>
      <c r="BE1041"/>
      <c r="BG1041"/>
    </row>
    <row r="1042" spans="52:59">
      <c r="AZ1042"/>
      <c r="BA1042"/>
      <c r="BB1042"/>
      <c r="BC1042"/>
      <c r="BD1042"/>
      <c r="BE1042"/>
      <c r="BG1042"/>
    </row>
    <row r="1043" spans="52:59">
      <c r="AZ1043"/>
      <c r="BA1043"/>
      <c r="BB1043"/>
      <c r="BC1043"/>
      <c r="BD1043"/>
      <c r="BE1043"/>
      <c r="BG1043"/>
    </row>
    <row r="1044" spans="52:59">
      <c r="AZ1044"/>
      <c r="BA1044"/>
      <c r="BB1044"/>
      <c r="BC1044"/>
      <c r="BD1044"/>
      <c r="BE1044"/>
      <c r="BG1044"/>
    </row>
    <row r="1045" spans="52:59">
      <c r="AZ1045"/>
      <c r="BA1045"/>
      <c r="BB1045"/>
      <c r="BC1045"/>
      <c r="BD1045"/>
      <c r="BE1045"/>
      <c r="BG1045"/>
    </row>
    <row r="1046" spans="52:59">
      <c r="AZ1046"/>
      <c r="BA1046"/>
      <c r="BB1046"/>
      <c r="BC1046"/>
      <c r="BD1046"/>
      <c r="BE1046"/>
      <c r="BG1046"/>
    </row>
    <row r="1047" spans="52:59">
      <c r="AZ1047"/>
      <c r="BA1047"/>
      <c r="BB1047"/>
      <c r="BC1047"/>
      <c r="BD1047"/>
      <c r="BE1047"/>
      <c r="BG1047"/>
    </row>
    <row r="1048" spans="52:59">
      <c r="AZ1048"/>
      <c r="BA1048"/>
      <c r="BB1048"/>
      <c r="BC1048"/>
      <c r="BD1048"/>
      <c r="BE1048"/>
      <c r="BG1048"/>
    </row>
    <row r="1049" spans="52:59">
      <c r="AZ1049"/>
      <c r="BA1049"/>
      <c r="BB1049"/>
      <c r="BC1049"/>
      <c r="BD1049"/>
      <c r="BE1049"/>
      <c r="BG1049"/>
    </row>
    <row r="1050" spans="52:59">
      <c r="AZ1050"/>
      <c r="BA1050"/>
      <c r="BB1050"/>
      <c r="BC1050"/>
      <c r="BD1050"/>
      <c r="BE1050"/>
      <c r="BG1050"/>
    </row>
    <row r="1051" spans="52:59">
      <c r="AZ1051"/>
      <c r="BA1051"/>
      <c r="BB1051"/>
      <c r="BC1051"/>
      <c r="BD1051"/>
      <c r="BE1051"/>
      <c r="BG1051"/>
    </row>
    <row r="1052" spans="52:59">
      <c r="AZ1052"/>
      <c r="BA1052"/>
      <c r="BB1052"/>
      <c r="BC1052"/>
      <c r="BD1052"/>
      <c r="BE1052"/>
      <c r="BG1052"/>
    </row>
    <row r="1053" spans="52:59">
      <c r="AZ1053"/>
      <c r="BA1053"/>
      <c r="BB1053"/>
      <c r="BC1053"/>
      <c r="BD1053"/>
      <c r="BE1053"/>
      <c r="BG1053"/>
    </row>
    <row r="1054" spans="52:59">
      <c r="AZ1054"/>
      <c r="BA1054"/>
      <c r="BB1054"/>
      <c r="BC1054"/>
      <c r="BD1054"/>
      <c r="BE1054"/>
      <c r="BG1054"/>
    </row>
    <row r="1055" spans="52:59">
      <c r="AZ1055"/>
      <c r="BA1055"/>
      <c r="BB1055"/>
      <c r="BC1055"/>
      <c r="BD1055"/>
      <c r="BE1055"/>
      <c r="BG1055"/>
    </row>
    <row r="1056" spans="52:59">
      <c r="AZ1056"/>
      <c r="BA1056"/>
      <c r="BB1056"/>
      <c r="BC1056"/>
      <c r="BD1056"/>
      <c r="BE1056"/>
      <c r="BG1056"/>
    </row>
    <row r="1057" spans="52:59">
      <c r="AZ1057"/>
      <c r="BA1057"/>
      <c r="BB1057"/>
      <c r="BC1057"/>
      <c r="BD1057"/>
      <c r="BE1057"/>
      <c r="BG1057"/>
    </row>
    <row r="1058" spans="52:59">
      <c r="AZ1058"/>
      <c r="BA1058"/>
      <c r="BB1058"/>
      <c r="BC1058"/>
      <c r="BD1058"/>
      <c r="BE1058"/>
      <c r="BG1058"/>
    </row>
    <row r="1059" spans="52:59">
      <c r="AZ1059"/>
      <c r="BA1059"/>
      <c r="BB1059"/>
      <c r="BC1059"/>
      <c r="BD1059"/>
      <c r="BE1059"/>
      <c r="BG1059"/>
    </row>
    <row r="1060" spans="52:59">
      <c r="AZ1060"/>
      <c r="BA1060"/>
      <c r="BB1060"/>
      <c r="BC1060"/>
      <c r="BD1060"/>
      <c r="BE1060"/>
      <c r="BG1060"/>
    </row>
    <row r="1061" spans="52:59">
      <c r="AZ1061"/>
      <c r="BA1061"/>
      <c r="BB1061"/>
      <c r="BC1061"/>
      <c r="BD1061"/>
      <c r="BE1061"/>
      <c r="BG1061"/>
    </row>
    <row r="1062" spans="52:59">
      <c r="AZ1062"/>
      <c r="BA1062"/>
      <c r="BB1062"/>
      <c r="BC1062"/>
      <c r="BD1062"/>
      <c r="BE1062"/>
      <c r="BG1062"/>
    </row>
    <row r="1063" spans="52:59">
      <c r="AZ1063"/>
      <c r="BA1063"/>
      <c r="BB1063"/>
      <c r="BC1063"/>
      <c r="BD1063"/>
      <c r="BE1063"/>
      <c r="BG1063"/>
    </row>
    <row r="1064" spans="52:59">
      <c r="AZ1064"/>
      <c r="BA1064"/>
      <c r="BB1064"/>
      <c r="BC1064"/>
      <c r="BD1064"/>
      <c r="BE1064"/>
      <c r="BG1064"/>
    </row>
    <row r="1065" spans="52:59">
      <c r="AZ1065"/>
      <c r="BA1065"/>
      <c r="BB1065"/>
      <c r="BC1065"/>
      <c r="BD1065"/>
      <c r="BE1065"/>
      <c r="BG1065"/>
    </row>
    <row r="1066" spans="52:59">
      <c r="AZ1066"/>
      <c r="BA1066"/>
      <c r="BB1066"/>
      <c r="BC1066"/>
      <c r="BD1066"/>
      <c r="BE1066"/>
      <c r="BG1066"/>
    </row>
    <row r="1067" spans="52:59">
      <c r="AZ1067"/>
      <c r="BA1067"/>
      <c r="BB1067"/>
      <c r="BC1067"/>
      <c r="BD1067"/>
      <c r="BE1067"/>
      <c r="BG1067"/>
    </row>
    <row r="1068" spans="52:59">
      <c r="AZ1068"/>
      <c r="BA1068"/>
      <c r="BB1068"/>
      <c r="BC1068"/>
      <c r="BD1068"/>
      <c r="BE1068"/>
      <c r="BG1068"/>
    </row>
    <row r="1069" spans="52:59">
      <c r="AZ1069"/>
      <c r="BA1069"/>
      <c r="BB1069"/>
      <c r="BC1069"/>
      <c r="BD1069"/>
      <c r="BE1069"/>
      <c r="BG1069"/>
    </row>
    <row r="1070" spans="52:59">
      <c r="AZ1070"/>
      <c r="BA1070"/>
      <c r="BB1070"/>
      <c r="BC1070"/>
      <c r="BD1070"/>
      <c r="BE1070"/>
      <c r="BG1070"/>
    </row>
    <row r="1071" spans="52:59">
      <c r="AZ1071"/>
      <c r="BA1071"/>
      <c r="BB1071"/>
      <c r="BC1071"/>
      <c r="BD1071"/>
      <c r="BE1071"/>
      <c r="BG1071"/>
    </row>
    <row r="1072" spans="52:59">
      <c r="AZ1072"/>
      <c r="BA1072"/>
      <c r="BB1072"/>
      <c r="BC1072"/>
      <c r="BD1072"/>
      <c r="BE1072"/>
      <c r="BG1072"/>
    </row>
    <row r="1073" spans="52:59">
      <c r="AZ1073"/>
      <c r="BA1073"/>
      <c r="BB1073"/>
      <c r="BC1073"/>
      <c r="BD1073"/>
      <c r="BE1073"/>
      <c r="BG1073"/>
    </row>
    <row r="1074" spans="52:59">
      <c r="AZ1074"/>
      <c r="BA1074"/>
      <c r="BB1074"/>
      <c r="BC1074"/>
      <c r="BD1074"/>
      <c r="BE1074"/>
      <c r="BG1074"/>
    </row>
    <row r="1075" spans="52:59">
      <c r="AZ1075"/>
      <c r="BA1075"/>
      <c r="BB1075"/>
      <c r="BC1075"/>
      <c r="BD1075"/>
      <c r="BE1075"/>
      <c r="BG1075"/>
    </row>
    <row r="1076" spans="52:59">
      <c r="AZ1076"/>
      <c r="BA1076"/>
      <c r="BB1076"/>
      <c r="BC1076"/>
      <c r="BD1076"/>
      <c r="BE1076"/>
      <c r="BG1076"/>
    </row>
    <row r="1077" spans="52:59">
      <c r="AZ1077"/>
      <c r="BA1077"/>
      <c r="BB1077"/>
      <c r="BC1077"/>
      <c r="BD1077"/>
      <c r="BE1077"/>
      <c r="BG1077"/>
    </row>
    <row r="1078" spans="52:59">
      <c r="AZ1078"/>
      <c r="BA1078"/>
      <c r="BB1078"/>
      <c r="BC1078"/>
      <c r="BD1078"/>
      <c r="BE1078"/>
      <c r="BG1078"/>
    </row>
    <row r="1079" spans="52:59">
      <c r="AZ1079"/>
      <c r="BA1079"/>
      <c r="BB1079"/>
      <c r="BC1079"/>
      <c r="BD1079"/>
      <c r="BE1079"/>
      <c r="BG1079"/>
    </row>
    <row r="1080" spans="52:59">
      <c r="AZ1080"/>
      <c r="BA1080"/>
      <c r="BB1080"/>
      <c r="BC1080"/>
      <c r="BD1080"/>
      <c r="BE1080"/>
      <c r="BG1080"/>
    </row>
    <row r="1081" spans="52:59">
      <c r="AZ1081"/>
      <c r="BA1081"/>
      <c r="BB1081"/>
      <c r="BC1081"/>
      <c r="BD1081"/>
      <c r="BE1081"/>
      <c r="BG1081"/>
    </row>
    <row r="1082" spans="52:59">
      <c r="AZ1082"/>
      <c r="BA1082"/>
      <c r="BB1082"/>
      <c r="BC1082"/>
      <c r="BD1082"/>
      <c r="BE1082"/>
      <c r="BG1082"/>
    </row>
    <row r="1083" spans="52:59">
      <c r="AZ1083"/>
      <c r="BA1083"/>
      <c r="BB1083"/>
      <c r="BC1083"/>
      <c r="BD1083"/>
      <c r="BE1083"/>
      <c r="BG1083"/>
    </row>
    <row r="1084" spans="52:59">
      <c r="AZ1084"/>
      <c r="BA1084"/>
      <c r="BB1084"/>
      <c r="BC1084"/>
      <c r="BD1084"/>
      <c r="BE1084"/>
      <c r="BG1084"/>
    </row>
    <row r="1085" spans="52:59">
      <c r="AZ1085"/>
      <c r="BA1085"/>
      <c r="BB1085"/>
      <c r="BC1085"/>
      <c r="BD1085"/>
      <c r="BE1085"/>
      <c r="BG1085"/>
    </row>
    <row r="1086" spans="52:59">
      <c r="AZ1086"/>
      <c r="BA1086"/>
      <c r="BB1086"/>
      <c r="BC1086"/>
      <c r="BD1086"/>
      <c r="BE1086"/>
      <c r="BG1086"/>
    </row>
    <row r="1087" spans="52:59">
      <c r="AZ1087"/>
      <c r="BA1087"/>
      <c r="BB1087"/>
      <c r="BC1087"/>
      <c r="BD1087"/>
      <c r="BE1087"/>
      <c r="BG1087"/>
    </row>
    <row r="1088" spans="52:59">
      <c r="AZ1088"/>
      <c r="BA1088"/>
      <c r="BB1088"/>
      <c r="BC1088"/>
      <c r="BD1088"/>
      <c r="BE1088"/>
      <c r="BG1088"/>
    </row>
    <row r="1089" spans="52:59">
      <c r="AZ1089"/>
      <c r="BA1089"/>
      <c r="BB1089"/>
      <c r="BC1089"/>
      <c r="BD1089"/>
      <c r="BE1089"/>
      <c r="BG1089"/>
    </row>
    <row r="1090" spans="52:59">
      <c r="AZ1090"/>
      <c r="BA1090"/>
      <c r="BB1090"/>
      <c r="BC1090"/>
      <c r="BD1090"/>
      <c r="BE1090"/>
      <c r="BG1090"/>
    </row>
    <row r="1091" spans="52:59">
      <c r="AZ1091"/>
      <c r="BA1091"/>
      <c r="BB1091"/>
      <c r="BC1091"/>
      <c r="BD1091"/>
      <c r="BE1091"/>
      <c r="BG1091"/>
    </row>
    <row r="1092" spans="52:59">
      <c r="AZ1092"/>
      <c r="BA1092"/>
      <c r="BB1092"/>
      <c r="BC1092"/>
      <c r="BD1092"/>
      <c r="BE1092"/>
      <c r="BG1092"/>
    </row>
    <row r="1093" spans="52:59">
      <c r="AZ1093"/>
      <c r="BA1093"/>
      <c r="BB1093"/>
      <c r="BC1093"/>
      <c r="BD1093"/>
      <c r="BE1093"/>
      <c r="BG1093"/>
    </row>
    <row r="1094" spans="52:59">
      <c r="AZ1094"/>
      <c r="BA1094"/>
      <c r="BB1094"/>
      <c r="BC1094"/>
      <c r="BD1094"/>
      <c r="BE1094"/>
      <c r="BG1094"/>
    </row>
    <row r="1095" spans="52:59">
      <c r="AZ1095"/>
      <c r="BA1095"/>
      <c r="BB1095"/>
      <c r="BC1095"/>
      <c r="BD1095"/>
      <c r="BE1095"/>
      <c r="BG1095"/>
    </row>
    <row r="1096" spans="52:59">
      <c r="AZ1096"/>
      <c r="BA1096"/>
      <c r="BB1096"/>
      <c r="BC1096"/>
      <c r="BD1096"/>
      <c r="BE1096"/>
      <c r="BG1096"/>
    </row>
    <row r="1097" spans="52:59">
      <c r="AZ1097"/>
      <c r="BA1097"/>
      <c r="BB1097"/>
      <c r="BC1097"/>
      <c r="BD1097"/>
      <c r="BE1097"/>
      <c r="BG1097"/>
    </row>
    <row r="1098" spans="52:59">
      <c r="AZ1098"/>
      <c r="BA1098"/>
      <c r="BB1098"/>
      <c r="BC1098"/>
      <c r="BD1098"/>
      <c r="BE1098"/>
      <c r="BG1098"/>
    </row>
    <row r="1099" spans="52:59">
      <c r="AZ1099"/>
      <c r="BA1099"/>
      <c r="BB1099"/>
      <c r="BC1099"/>
      <c r="BD1099"/>
      <c r="BE1099"/>
      <c r="BG1099"/>
    </row>
    <row r="1100" spans="52:59">
      <c r="AZ1100"/>
      <c r="BA1100"/>
      <c r="BB1100"/>
      <c r="BC1100"/>
      <c r="BD1100"/>
      <c r="BE1100"/>
      <c r="BG1100"/>
    </row>
    <row r="1101" spans="52:59">
      <c r="AZ1101"/>
      <c r="BA1101"/>
      <c r="BB1101"/>
      <c r="BC1101"/>
      <c r="BD1101"/>
      <c r="BE1101"/>
      <c r="BG1101"/>
    </row>
    <row r="1102" spans="52:59">
      <c r="AZ1102"/>
      <c r="BA1102"/>
      <c r="BB1102"/>
      <c r="BC1102"/>
      <c r="BD1102"/>
      <c r="BE1102"/>
      <c r="BG1102"/>
    </row>
    <row r="1103" spans="52:59">
      <c r="AZ1103"/>
      <c r="BA1103"/>
      <c r="BB1103"/>
      <c r="BC1103"/>
      <c r="BD1103"/>
      <c r="BE1103"/>
      <c r="BG1103"/>
    </row>
    <row r="1104" spans="52:59">
      <c r="AZ1104"/>
      <c r="BA1104"/>
      <c r="BB1104"/>
      <c r="BC1104"/>
      <c r="BD1104"/>
      <c r="BE1104"/>
      <c r="BG1104"/>
    </row>
    <row r="1105" spans="52:59">
      <c r="AZ1105"/>
      <c r="BA1105"/>
      <c r="BB1105"/>
      <c r="BC1105"/>
      <c r="BD1105"/>
      <c r="BE1105"/>
      <c r="BG1105"/>
    </row>
    <row r="1106" spans="52:59">
      <c r="AZ1106"/>
      <c r="BA1106"/>
      <c r="BB1106"/>
      <c r="BC1106"/>
      <c r="BD1106"/>
      <c r="BE1106"/>
      <c r="BG1106"/>
    </row>
    <row r="1107" spans="52:59">
      <c r="AZ1107"/>
      <c r="BA1107"/>
      <c r="BB1107"/>
      <c r="BC1107"/>
      <c r="BD1107"/>
      <c r="BE1107"/>
      <c r="BG1107"/>
    </row>
    <row r="1108" spans="52:59">
      <c r="AZ1108"/>
      <c r="BA1108"/>
      <c r="BB1108"/>
      <c r="BC1108"/>
      <c r="BD1108"/>
      <c r="BE1108"/>
      <c r="BG1108"/>
    </row>
    <row r="1109" spans="52:59">
      <c r="AZ1109"/>
      <c r="BA1109"/>
      <c r="BB1109"/>
      <c r="BC1109"/>
      <c r="BD1109"/>
      <c r="BE1109"/>
      <c r="BG1109"/>
    </row>
    <row r="1110" spans="52:59">
      <c r="AZ1110"/>
      <c r="BA1110"/>
      <c r="BB1110"/>
      <c r="BC1110"/>
      <c r="BD1110"/>
      <c r="BE1110"/>
      <c r="BG1110"/>
    </row>
    <row r="1111" spans="52:59">
      <c r="AZ1111"/>
      <c r="BA1111"/>
      <c r="BB1111"/>
      <c r="BC1111"/>
      <c r="BD1111"/>
      <c r="BE1111"/>
      <c r="BG1111"/>
    </row>
    <row r="1112" spans="52:59">
      <c r="AZ1112"/>
      <c r="BA1112"/>
      <c r="BB1112"/>
      <c r="BC1112"/>
      <c r="BD1112"/>
      <c r="BE1112"/>
      <c r="BG1112"/>
    </row>
    <row r="1113" spans="52:59">
      <c r="AZ1113"/>
      <c r="BA1113"/>
      <c r="BB1113"/>
      <c r="BC1113"/>
      <c r="BD1113"/>
      <c r="BE1113"/>
      <c r="BG1113"/>
    </row>
    <row r="1114" spans="52:59">
      <c r="AZ1114"/>
      <c r="BA1114"/>
      <c r="BB1114"/>
      <c r="BC1114"/>
      <c r="BD1114"/>
      <c r="BE1114"/>
      <c r="BG1114"/>
    </row>
    <row r="1115" spans="52:59">
      <c r="AZ1115"/>
      <c r="BA1115"/>
      <c r="BB1115"/>
      <c r="BC1115"/>
      <c r="BD1115"/>
      <c r="BE1115"/>
      <c r="BG1115"/>
    </row>
    <row r="1116" spans="52:59">
      <c r="AZ1116"/>
      <c r="BA1116"/>
      <c r="BB1116"/>
      <c r="BC1116"/>
      <c r="BD1116"/>
      <c r="BE1116"/>
      <c r="BG1116"/>
    </row>
    <row r="1117" spans="52:59">
      <c r="AZ1117"/>
      <c r="BA1117"/>
      <c r="BB1117"/>
      <c r="BC1117"/>
      <c r="BD1117"/>
      <c r="BE1117"/>
      <c r="BG1117"/>
    </row>
    <row r="1118" spans="52:59">
      <c r="AZ1118"/>
      <c r="BA1118"/>
      <c r="BB1118"/>
      <c r="BC1118"/>
      <c r="BD1118"/>
      <c r="BE1118"/>
      <c r="BG1118"/>
    </row>
    <row r="1119" spans="52:59">
      <c r="AZ1119"/>
      <c r="BA1119"/>
      <c r="BB1119"/>
      <c r="BC1119"/>
      <c r="BD1119"/>
      <c r="BE1119"/>
      <c r="BG1119"/>
    </row>
    <row r="1120" spans="52:59">
      <c r="AZ1120"/>
      <c r="BA1120"/>
      <c r="BB1120"/>
      <c r="BC1120"/>
      <c r="BD1120"/>
      <c r="BE1120"/>
      <c r="BG1120"/>
    </row>
    <row r="1121" spans="52:59">
      <c r="AZ1121"/>
      <c r="BA1121"/>
      <c r="BB1121"/>
      <c r="BC1121"/>
      <c r="BD1121"/>
      <c r="BE1121"/>
      <c r="BG1121"/>
    </row>
    <row r="1122" spans="52:59">
      <c r="AZ1122"/>
      <c r="BA1122"/>
      <c r="BB1122"/>
      <c r="BC1122"/>
      <c r="BD1122"/>
      <c r="BE1122"/>
      <c r="BG1122"/>
    </row>
    <row r="1123" spans="52:59">
      <c r="AZ1123"/>
      <c r="BA1123"/>
      <c r="BB1123"/>
      <c r="BC1123"/>
      <c r="BD1123"/>
      <c r="BE1123"/>
      <c r="BG1123"/>
    </row>
    <row r="1124" spans="52:59">
      <c r="AZ1124"/>
      <c r="BA1124"/>
      <c r="BB1124"/>
      <c r="BC1124"/>
      <c r="BD1124"/>
      <c r="BE1124"/>
      <c r="BG1124"/>
    </row>
    <row r="1125" spans="52:59">
      <c r="AZ1125"/>
      <c r="BA1125"/>
      <c r="BB1125"/>
      <c r="BC1125"/>
      <c r="BD1125"/>
      <c r="BE1125"/>
      <c r="BG1125"/>
    </row>
    <row r="1126" spans="52:59">
      <c r="AZ1126"/>
      <c r="BA1126"/>
      <c r="BB1126"/>
      <c r="BC1126"/>
      <c r="BD1126"/>
      <c r="BE1126"/>
      <c r="BG1126"/>
    </row>
    <row r="1127" spans="52:59">
      <c r="AZ1127"/>
      <c r="BA1127"/>
      <c r="BB1127"/>
      <c r="BC1127"/>
      <c r="BD1127"/>
      <c r="BE1127"/>
      <c r="BG1127"/>
    </row>
    <row r="1128" spans="52:59">
      <c r="AZ1128"/>
      <c r="BA1128"/>
      <c r="BB1128"/>
      <c r="BC1128"/>
      <c r="BD1128"/>
      <c r="BE1128"/>
      <c r="BG1128"/>
    </row>
    <row r="1129" spans="52:59">
      <c r="AZ1129"/>
      <c r="BA1129"/>
      <c r="BB1129"/>
      <c r="BC1129"/>
      <c r="BD1129"/>
      <c r="BE1129"/>
      <c r="BG1129"/>
    </row>
    <row r="1130" spans="52:59">
      <c r="AZ1130"/>
      <c r="BA1130"/>
      <c r="BB1130"/>
      <c r="BC1130"/>
      <c r="BD1130"/>
      <c r="BE1130"/>
      <c r="BG1130"/>
    </row>
    <row r="1131" spans="52:59">
      <c r="AZ1131"/>
      <c r="BA1131"/>
      <c r="BB1131"/>
      <c r="BC1131"/>
      <c r="BD1131"/>
      <c r="BE1131"/>
      <c r="BG1131"/>
    </row>
    <row r="1132" spans="52:59">
      <c r="AZ1132"/>
      <c r="BA1132"/>
      <c r="BB1132"/>
      <c r="BC1132"/>
      <c r="BD1132"/>
      <c r="BE1132"/>
      <c r="BG1132"/>
    </row>
    <row r="1133" spans="52:59">
      <c r="AZ1133"/>
      <c r="BA1133"/>
      <c r="BB1133"/>
      <c r="BC1133"/>
      <c r="BD1133"/>
      <c r="BE1133"/>
      <c r="BG1133"/>
    </row>
    <row r="1134" spans="52:59">
      <c r="AZ1134"/>
      <c r="BA1134"/>
      <c r="BB1134"/>
      <c r="BC1134"/>
      <c r="BD1134"/>
      <c r="BE1134"/>
      <c r="BG1134"/>
    </row>
    <row r="1135" spans="52:59">
      <c r="AZ1135"/>
      <c r="BA1135"/>
      <c r="BB1135"/>
      <c r="BC1135"/>
      <c r="BD1135"/>
      <c r="BE1135"/>
      <c r="BG1135"/>
    </row>
    <row r="1136" spans="52:59">
      <c r="AZ1136"/>
      <c r="BA1136"/>
      <c r="BB1136"/>
      <c r="BC1136"/>
      <c r="BD1136"/>
      <c r="BE1136"/>
      <c r="BG1136"/>
    </row>
    <row r="1137" spans="52:59">
      <c r="AZ1137"/>
      <c r="BA1137"/>
      <c r="BB1137"/>
      <c r="BC1137"/>
      <c r="BD1137"/>
      <c r="BE1137"/>
      <c r="BG1137"/>
    </row>
    <row r="1138" spans="52:59">
      <c r="AZ1138"/>
      <c r="BA1138"/>
      <c r="BB1138"/>
      <c r="BC1138"/>
      <c r="BD1138"/>
      <c r="BE1138"/>
      <c r="BG1138"/>
    </row>
    <row r="1139" spans="52:59">
      <c r="AZ1139"/>
      <c r="BA1139"/>
      <c r="BB1139"/>
      <c r="BC1139"/>
      <c r="BD1139"/>
      <c r="BE1139"/>
      <c r="BG1139"/>
    </row>
    <row r="1140" spans="52:59">
      <c r="AZ1140"/>
      <c r="BA1140"/>
      <c r="BB1140"/>
      <c r="BC1140"/>
      <c r="BD1140"/>
      <c r="BE1140"/>
      <c r="BG1140"/>
    </row>
    <row r="1141" spans="52:59">
      <c r="AZ1141"/>
      <c r="BA1141"/>
      <c r="BB1141"/>
      <c r="BC1141"/>
      <c r="BD1141"/>
      <c r="BE1141"/>
      <c r="BG1141"/>
    </row>
    <row r="1142" spans="52:59">
      <c r="AZ1142"/>
      <c r="BA1142"/>
      <c r="BB1142"/>
      <c r="BC1142"/>
      <c r="BD1142"/>
      <c r="BE1142"/>
      <c r="BG1142"/>
    </row>
    <row r="1143" spans="52:59">
      <c r="AZ1143"/>
      <c r="BA1143"/>
      <c r="BB1143"/>
      <c r="BC1143"/>
      <c r="BD1143"/>
      <c r="BE1143"/>
      <c r="BG1143"/>
    </row>
    <row r="1144" spans="52:59">
      <c r="AZ1144"/>
      <c r="BA1144"/>
      <c r="BB1144"/>
      <c r="BC1144"/>
      <c r="BD1144"/>
      <c r="BE1144"/>
      <c r="BG1144"/>
    </row>
    <row r="1145" spans="52:59">
      <c r="AZ1145"/>
      <c r="BA1145"/>
      <c r="BB1145"/>
      <c r="BC1145"/>
      <c r="BD1145"/>
      <c r="BE1145"/>
      <c r="BG1145"/>
    </row>
    <row r="1146" spans="52:59">
      <c r="AZ1146"/>
      <c r="BA1146"/>
      <c r="BB1146"/>
      <c r="BC1146"/>
      <c r="BD1146"/>
      <c r="BE1146"/>
      <c r="BG1146"/>
    </row>
    <row r="1147" spans="52:59">
      <c r="AZ1147"/>
      <c r="BA1147"/>
      <c r="BB1147"/>
      <c r="BC1147"/>
      <c r="BD1147"/>
      <c r="BE1147"/>
      <c r="BG1147"/>
    </row>
    <row r="1148" spans="52:59">
      <c r="AZ1148"/>
      <c r="BA1148"/>
      <c r="BB1148"/>
      <c r="BC1148"/>
      <c r="BD1148"/>
      <c r="BE1148"/>
      <c r="BG1148"/>
    </row>
    <row r="1149" spans="52:59">
      <c r="AZ1149"/>
      <c r="BA1149"/>
      <c r="BB1149"/>
      <c r="BC1149"/>
      <c r="BD1149"/>
      <c r="BE1149"/>
      <c r="BG1149"/>
    </row>
    <row r="1150" spans="52:59">
      <c r="AZ1150"/>
      <c r="BA1150"/>
      <c r="BB1150"/>
      <c r="BC1150"/>
      <c r="BD1150"/>
      <c r="BE1150"/>
      <c r="BG1150"/>
    </row>
    <row r="1151" spans="52:59">
      <c r="AZ1151"/>
      <c r="BA1151"/>
      <c r="BB1151"/>
      <c r="BC1151"/>
      <c r="BD1151"/>
      <c r="BE1151"/>
      <c r="BG1151"/>
    </row>
    <row r="1152" spans="52:59">
      <c r="AZ1152"/>
      <c r="BA1152"/>
      <c r="BB1152"/>
      <c r="BC1152"/>
      <c r="BD1152"/>
      <c r="BE1152"/>
      <c r="BG1152"/>
    </row>
    <row r="1153" spans="52:59">
      <c r="AZ1153"/>
      <c r="BA1153"/>
      <c r="BB1153"/>
      <c r="BC1153"/>
      <c r="BD1153"/>
      <c r="BE1153"/>
      <c r="BG1153"/>
    </row>
    <row r="1154" spans="52:59">
      <c r="AZ1154"/>
      <c r="BA1154"/>
      <c r="BB1154"/>
      <c r="BC1154"/>
      <c r="BD1154"/>
      <c r="BE1154"/>
      <c r="BG1154"/>
    </row>
    <row r="1155" spans="52:59">
      <c r="AZ1155"/>
      <c r="BA1155"/>
      <c r="BB1155"/>
      <c r="BC1155"/>
      <c r="BD1155"/>
      <c r="BE1155"/>
      <c r="BG1155"/>
    </row>
    <row r="1156" spans="52:59">
      <c r="AZ1156"/>
      <c r="BA1156"/>
      <c r="BB1156"/>
      <c r="BC1156"/>
      <c r="BD1156"/>
      <c r="BE1156"/>
      <c r="BG1156"/>
    </row>
    <row r="1157" spans="52:59">
      <c r="AZ1157"/>
      <c r="BA1157"/>
      <c r="BB1157"/>
      <c r="BC1157"/>
      <c r="BD1157"/>
      <c r="BE1157"/>
      <c r="BG1157"/>
    </row>
    <row r="1158" spans="52:59">
      <c r="AZ1158"/>
      <c r="BA1158"/>
      <c r="BB1158"/>
      <c r="BC1158"/>
      <c r="BD1158"/>
      <c r="BE1158"/>
      <c r="BG1158"/>
    </row>
    <row r="1159" spans="52:59">
      <c r="AZ1159"/>
      <c r="BA1159"/>
      <c r="BB1159"/>
      <c r="BC1159"/>
      <c r="BD1159"/>
      <c r="BE1159"/>
      <c r="BG1159"/>
    </row>
    <row r="1160" spans="52:59">
      <c r="AZ1160"/>
      <c r="BA1160"/>
      <c r="BB1160"/>
      <c r="BC1160"/>
      <c r="BD1160"/>
      <c r="BE1160"/>
      <c r="BG1160"/>
    </row>
    <row r="1161" spans="52:59">
      <c r="AZ1161"/>
      <c r="BA1161"/>
      <c r="BB1161"/>
      <c r="BC1161"/>
      <c r="BD1161"/>
      <c r="BE1161"/>
      <c r="BG1161"/>
    </row>
    <row r="1162" spans="52:59">
      <c r="AZ1162"/>
      <c r="BA1162"/>
      <c r="BB1162"/>
      <c r="BC1162"/>
      <c r="BD1162"/>
      <c r="BE1162"/>
      <c r="BG1162"/>
    </row>
    <row r="1163" spans="52:59">
      <c r="AZ1163"/>
      <c r="BA1163"/>
      <c r="BB1163"/>
      <c r="BC1163"/>
      <c r="BD1163"/>
      <c r="BE1163"/>
      <c r="BG1163"/>
    </row>
    <row r="1164" spans="52:59">
      <c r="AZ1164"/>
      <c r="BA1164"/>
      <c r="BB1164"/>
      <c r="BC1164"/>
      <c r="BD1164"/>
      <c r="BE1164"/>
      <c r="BG1164"/>
    </row>
    <row r="1165" spans="52:59">
      <c r="AZ1165"/>
      <c r="BA1165"/>
      <c r="BB1165"/>
      <c r="BC1165"/>
      <c r="BD1165"/>
      <c r="BE1165"/>
      <c r="BG1165"/>
    </row>
    <row r="1166" spans="52:59">
      <c r="AZ1166"/>
      <c r="BA1166"/>
      <c r="BB1166"/>
      <c r="BC1166"/>
      <c r="BD1166"/>
      <c r="BE1166"/>
      <c r="BG1166"/>
    </row>
    <row r="1167" spans="52:59">
      <c r="AZ1167"/>
      <c r="BA1167"/>
      <c r="BB1167"/>
      <c r="BC1167"/>
      <c r="BD1167"/>
      <c r="BE1167"/>
      <c r="BG1167"/>
    </row>
    <row r="1168" spans="52:59">
      <c r="AZ1168"/>
      <c r="BA1168"/>
      <c r="BB1168"/>
      <c r="BC1168"/>
      <c r="BD1168"/>
      <c r="BE1168"/>
      <c r="BG1168"/>
    </row>
    <row r="1169" spans="52:59">
      <c r="AZ1169"/>
      <c r="BA1169"/>
      <c r="BB1169"/>
      <c r="BC1169"/>
      <c r="BD1169"/>
      <c r="BE1169"/>
      <c r="BG1169"/>
    </row>
    <row r="1170" spans="52:59">
      <c r="AZ1170"/>
      <c r="BA1170"/>
      <c r="BB1170"/>
      <c r="BC1170"/>
      <c r="BD1170"/>
      <c r="BE1170"/>
      <c r="BG1170"/>
    </row>
    <row r="1171" spans="52:59">
      <c r="AZ1171"/>
      <c r="BA1171"/>
      <c r="BB1171"/>
      <c r="BC1171"/>
      <c r="BD1171"/>
      <c r="BE1171"/>
      <c r="BG1171"/>
    </row>
    <row r="1172" spans="52:59">
      <c r="AZ1172"/>
      <c r="BA1172"/>
      <c r="BB1172"/>
      <c r="BC1172"/>
      <c r="BD1172"/>
      <c r="BE1172"/>
      <c r="BG1172"/>
    </row>
    <row r="1173" spans="52:59">
      <c r="AZ1173"/>
      <c r="BA1173"/>
      <c r="BB1173"/>
      <c r="BC1173"/>
      <c r="BD1173"/>
      <c r="BE1173"/>
      <c r="BG1173"/>
    </row>
    <row r="1174" spans="52:59">
      <c r="AZ1174"/>
      <c r="BA1174"/>
      <c r="BB1174"/>
      <c r="BC1174"/>
      <c r="BD1174"/>
      <c r="BE1174"/>
      <c r="BG1174"/>
    </row>
    <row r="1175" spans="52:59">
      <c r="AZ1175"/>
      <c r="BA1175"/>
      <c r="BB1175"/>
      <c r="BC1175"/>
      <c r="BD1175"/>
      <c r="BE1175"/>
      <c r="BG1175"/>
    </row>
    <row r="1176" spans="52:59">
      <c r="AZ1176"/>
      <c r="BA1176"/>
      <c r="BB1176"/>
      <c r="BC1176"/>
      <c r="BD1176"/>
      <c r="BE1176"/>
      <c r="BG1176"/>
    </row>
    <row r="1177" spans="52:59">
      <c r="AZ1177"/>
      <c r="BA1177"/>
      <c r="BB1177"/>
      <c r="BC1177"/>
      <c r="BD1177"/>
      <c r="BE1177"/>
      <c r="BG1177"/>
    </row>
    <row r="1178" spans="52:59">
      <c r="AZ1178"/>
      <c r="BA1178"/>
      <c r="BB1178"/>
      <c r="BC1178"/>
      <c r="BD1178"/>
      <c r="BE1178"/>
      <c r="BG1178"/>
    </row>
    <row r="1179" spans="52:59">
      <c r="AZ1179"/>
      <c r="BA1179"/>
      <c r="BB1179"/>
      <c r="BC1179"/>
      <c r="BD1179"/>
      <c r="BE1179"/>
      <c r="BG1179"/>
    </row>
    <row r="1180" spans="52:59">
      <c r="AZ1180"/>
      <c r="BA1180"/>
      <c r="BB1180"/>
      <c r="BC1180"/>
      <c r="BD1180"/>
      <c r="BE1180"/>
      <c r="BG1180"/>
    </row>
    <row r="1181" spans="52:59">
      <c r="AZ1181"/>
      <c r="BA1181"/>
      <c r="BB1181"/>
      <c r="BC1181"/>
      <c r="BD1181"/>
      <c r="BE1181"/>
      <c r="BG1181"/>
    </row>
    <row r="1182" spans="52:59">
      <c r="AZ1182"/>
      <c r="BA1182"/>
      <c r="BB1182"/>
      <c r="BC1182"/>
      <c r="BD1182"/>
      <c r="BE1182"/>
      <c r="BG1182"/>
    </row>
    <row r="1183" spans="52:59">
      <c r="AZ1183"/>
      <c r="BA1183"/>
      <c r="BB1183"/>
      <c r="BC1183"/>
      <c r="BD1183"/>
      <c r="BE1183"/>
      <c r="BG1183"/>
    </row>
    <row r="1184" spans="52:59">
      <c r="AZ1184"/>
      <c r="BA1184"/>
      <c r="BB1184"/>
      <c r="BC1184"/>
      <c r="BD1184"/>
      <c r="BE1184"/>
      <c r="BG1184"/>
    </row>
    <row r="1185" spans="52:59">
      <c r="AZ1185"/>
      <c r="BA1185"/>
      <c r="BB1185"/>
      <c r="BC1185"/>
      <c r="BD1185"/>
      <c r="BE1185"/>
      <c r="BG1185"/>
    </row>
    <row r="1186" spans="52:59">
      <c r="AZ1186"/>
      <c r="BA1186"/>
      <c r="BB1186"/>
      <c r="BC1186"/>
      <c r="BD1186"/>
      <c r="BE1186"/>
      <c r="BG1186"/>
    </row>
    <row r="1187" spans="52:59">
      <c r="AZ1187"/>
      <c r="BA1187"/>
      <c r="BB1187"/>
      <c r="BC1187"/>
      <c r="BD1187"/>
      <c r="BE1187"/>
      <c r="BG1187"/>
    </row>
    <row r="1188" spans="52:59">
      <c r="AZ1188"/>
      <c r="BA1188"/>
      <c r="BB1188"/>
      <c r="BC1188"/>
      <c r="BD1188"/>
      <c r="BE1188"/>
      <c r="BG1188"/>
    </row>
    <row r="1189" spans="52:59">
      <c r="AZ1189"/>
      <c r="BA1189"/>
      <c r="BB1189"/>
      <c r="BC1189"/>
      <c r="BD1189"/>
      <c r="BE1189"/>
      <c r="BG1189"/>
    </row>
    <row r="1190" spans="52:59">
      <c r="AZ1190"/>
      <c r="BA1190"/>
      <c r="BB1190"/>
      <c r="BC1190"/>
      <c r="BD1190"/>
      <c r="BE1190"/>
      <c r="BG1190"/>
    </row>
    <row r="1191" spans="52:59">
      <c r="AZ1191"/>
      <c r="BA1191"/>
      <c r="BB1191"/>
      <c r="BC1191"/>
      <c r="BD1191"/>
      <c r="BE1191"/>
      <c r="BG1191"/>
    </row>
    <row r="1192" spans="52:59">
      <c r="AZ1192"/>
      <c r="BA1192"/>
      <c r="BB1192"/>
      <c r="BC1192"/>
      <c r="BD1192"/>
      <c r="BE1192"/>
      <c r="BG1192"/>
    </row>
    <row r="1193" spans="52:59">
      <c r="AZ1193"/>
      <c r="BA1193"/>
      <c r="BB1193"/>
      <c r="BC1193"/>
      <c r="BD1193"/>
      <c r="BE1193"/>
      <c r="BG1193"/>
    </row>
    <row r="1194" spans="52:59">
      <c r="AZ1194"/>
      <c r="BA1194"/>
      <c r="BB1194"/>
      <c r="BC1194"/>
      <c r="BD1194"/>
      <c r="BE1194"/>
      <c r="BG1194"/>
    </row>
    <row r="1195" spans="52:59">
      <c r="AZ1195"/>
      <c r="BA1195"/>
      <c r="BB1195"/>
      <c r="BC1195"/>
      <c r="BD1195"/>
      <c r="BE1195"/>
      <c r="BG1195"/>
    </row>
    <row r="1196" spans="52:59">
      <c r="AZ1196"/>
      <c r="BA1196"/>
      <c r="BB1196"/>
      <c r="BC1196"/>
      <c r="BD1196"/>
      <c r="BE1196"/>
      <c r="BG1196"/>
    </row>
    <row r="1197" spans="52:59">
      <c r="AZ1197"/>
      <c r="BA1197"/>
      <c r="BB1197"/>
      <c r="BC1197"/>
      <c r="BD1197"/>
      <c r="BE1197"/>
      <c r="BG1197"/>
    </row>
    <row r="1198" spans="52:59">
      <c r="AZ1198"/>
      <c r="BA1198"/>
      <c r="BB1198"/>
      <c r="BC1198"/>
      <c r="BD1198"/>
      <c r="BE1198"/>
      <c r="BG1198"/>
    </row>
    <row r="1199" spans="52:59">
      <c r="AZ1199"/>
      <c r="BA1199"/>
      <c r="BB1199"/>
      <c r="BC1199"/>
      <c r="BD1199"/>
      <c r="BE1199"/>
      <c r="BG1199"/>
    </row>
    <row r="1200" spans="52:59">
      <c r="AZ1200"/>
      <c r="BA1200"/>
      <c r="BB1200"/>
      <c r="BC1200"/>
      <c r="BD1200"/>
      <c r="BE1200"/>
      <c r="BG1200"/>
    </row>
    <row r="1201" spans="52:59">
      <c r="AZ1201"/>
      <c r="BA1201"/>
      <c r="BB1201"/>
      <c r="BC1201"/>
      <c r="BD1201"/>
      <c r="BE1201"/>
      <c r="BG1201"/>
    </row>
    <row r="1202" spans="52:59">
      <c r="AZ1202"/>
      <c r="BA1202"/>
      <c r="BB1202"/>
      <c r="BC1202"/>
      <c r="BD1202"/>
      <c r="BE1202"/>
      <c r="BG1202"/>
    </row>
    <row r="1203" spans="52:59">
      <c r="AZ1203"/>
      <c r="BA1203"/>
      <c r="BB1203"/>
      <c r="BC1203"/>
      <c r="BD1203"/>
      <c r="BE1203"/>
      <c r="BG1203"/>
    </row>
    <row r="1204" spans="52:59">
      <c r="AZ1204"/>
      <c r="BA1204"/>
      <c r="BB1204"/>
      <c r="BC1204"/>
      <c r="BD1204"/>
      <c r="BE1204"/>
      <c r="BG1204"/>
    </row>
    <row r="1205" spans="52:59">
      <c r="AZ1205"/>
      <c r="BA1205"/>
      <c r="BB1205"/>
      <c r="BC1205"/>
      <c r="BD1205"/>
      <c r="BE1205"/>
      <c r="BG1205"/>
    </row>
    <row r="1206" spans="52:59">
      <c r="AZ1206"/>
      <c r="BA1206"/>
      <c r="BB1206"/>
      <c r="BC1206"/>
      <c r="BD1206"/>
      <c r="BE1206"/>
      <c r="BG1206"/>
    </row>
    <row r="1207" spans="52:59">
      <c r="AZ1207"/>
      <c r="BA1207"/>
      <c r="BB1207"/>
      <c r="BC1207"/>
      <c r="BD1207"/>
      <c r="BE1207"/>
      <c r="BG1207"/>
    </row>
    <row r="1208" spans="52:59">
      <c r="AZ1208"/>
      <c r="BA1208"/>
      <c r="BB1208"/>
      <c r="BC1208"/>
      <c r="BD1208"/>
      <c r="BE1208"/>
      <c r="BG1208"/>
    </row>
    <row r="1209" spans="52:59">
      <c r="AZ1209"/>
      <c r="BA1209"/>
      <c r="BB1209"/>
      <c r="BC1209"/>
      <c r="BD1209"/>
      <c r="BE1209"/>
      <c r="BG1209"/>
    </row>
    <row r="1210" spans="52:59">
      <c r="AZ1210"/>
      <c r="BA1210"/>
      <c r="BB1210"/>
      <c r="BC1210"/>
      <c r="BD1210"/>
      <c r="BE1210"/>
      <c r="BG1210"/>
    </row>
    <row r="1211" spans="52:59">
      <c r="AZ1211"/>
      <c r="BA1211"/>
      <c r="BB1211"/>
      <c r="BC1211"/>
      <c r="BD1211"/>
      <c r="BE1211"/>
      <c r="BG1211"/>
    </row>
    <row r="1212" spans="52:59">
      <c r="AZ1212"/>
      <c r="BA1212"/>
      <c r="BB1212"/>
      <c r="BC1212"/>
      <c r="BD1212"/>
      <c r="BE1212"/>
      <c r="BG1212"/>
    </row>
    <row r="1213" spans="52:59">
      <c r="AZ1213"/>
      <c r="BA1213"/>
      <c r="BB1213"/>
      <c r="BC1213"/>
      <c r="BD1213"/>
      <c r="BE1213"/>
      <c r="BG1213"/>
    </row>
    <row r="1214" spans="52:59">
      <c r="AZ1214"/>
      <c r="BA1214"/>
      <c r="BB1214"/>
      <c r="BC1214"/>
      <c r="BD1214"/>
      <c r="BE1214"/>
      <c r="BG1214"/>
    </row>
    <row r="1215" spans="52:59">
      <c r="AZ1215"/>
      <c r="BA1215"/>
      <c r="BB1215"/>
      <c r="BC1215"/>
      <c r="BD1215"/>
      <c r="BE1215"/>
      <c r="BG1215"/>
    </row>
    <row r="1216" spans="52:59">
      <c r="AZ1216"/>
      <c r="BA1216"/>
      <c r="BB1216"/>
      <c r="BC1216"/>
      <c r="BD1216"/>
      <c r="BE1216"/>
      <c r="BG1216"/>
    </row>
    <row r="1217" spans="52:59">
      <c r="AZ1217"/>
      <c r="BA1217"/>
      <c r="BB1217"/>
      <c r="BC1217"/>
      <c r="BD1217"/>
      <c r="BE1217"/>
      <c r="BG1217"/>
    </row>
    <row r="1218" spans="52:59">
      <c r="AZ1218"/>
      <c r="BA1218"/>
      <c r="BB1218"/>
      <c r="BC1218"/>
      <c r="BD1218"/>
      <c r="BE1218"/>
      <c r="BG1218"/>
    </row>
    <row r="1219" spans="52:59">
      <c r="AZ1219"/>
      <c r="BA1219"/>
      <c r="BB1219"/>
      <c r="BC1219"/>
      <c r="BD1219"/>
      <c r="BE1219"/>
      <c r="BG1219"/>
    </row>
    <row r="1220" spans="52:59">
      <c r="AZ1220"/>
      <c r="BA1220"/>
      <c r="BB1220"/>
      <c r="BC1220"/>
      <c r="BD1220"/>
      <c r="BE1220"/>
      <c r="BG1220"/>
    </row>
    <row r="1221" spans="52:59">
      <c r="AZ1221"/>
      <c r="BA1221"/>
      <c r="BB1221"/>
      <c r="BC1221"/>
      <c r="BD1221"/>
      <c r="BE1221"/>
      <c r="BG1221"/>
    </row>
    <row r="1222" spans="52:59">
      <c r="AZ1222"/>
      <c r="BA1222"/>
      <c r="BB1222"/>
      <c r="BC1222"/>
      <c r="BD1222"/>
      <c r="BE1222"/>
      <c r="BG1222"/>
    </row>
    <row r="1223" spans="52:59">
      <c r="AZ1223"/>
      <c r="BA1223"/>
      <c r="BB1223"/>
      <c r="BC1223"/>
      <c r="BD1223"/>
      <c r="BE1223"/>
      <c r="BG1223"/>
    </row>
    <row r="1224" spans="52:59">
      <c r="AZ1224"/>
      <c r="BA1224"/>
      <c r="BB1224"/>
      <c r="BC1224"/>
      <c r="BD1224"/>
      <c r="BE1224"/>
      <c r="BG1224"/>
    </row>
    <row r="1225" spans="52:59">
      <c r="AZ1225"/>
      <c r="BA1225"/>
      <c r="BB1225"/>
      <c r="BC1225"/>
      <c r="BD1225"/>
      <c r="BE1225"/>
      <c r="BG1225"/>
    </row>
    <row r="1226" spans="52:59">
      <c r="AZ1226"/>
      <c r="BA1226"/>
      <c r="BB1226"/>
      <c r="BC1226"/>
      <c r="BD1226"/>
      <c r="BE1226"/>
      <c r="BG1226"/>
    </row>
    <row r="1227" spans="52:59">
      <c r="AZ1227"/>
      <c r="BA1227"/>
      <c r="BB1227"/>
      <c r="BC1227"/>
      <c r="BD1227"/>
      <c r="BE1227"/>
      <c r="BG1227"/>
    </row>
    <row r="1228" spans="52:59">
      <c r="AZ1228"/>
      <c r="BA1228"/>
      <c r="BB1228"/>
      <c r="BC1228"/>
      <c r="BD1228"/>
      <c r="BE1228"/>
      <c r="BG1228"/>
    </row>
    <row r="1229" spans="52:59">
      <c r="AZ1229"/>
      <c r="BA1229"/>
      <c r="BB1229"/>
      <c r="BC1229"/>
      <c r="BD1229"/>
      <c r="BE1229"/>
      <c r="BG1229"/>
    </row>
    <row r="1230" spans="52:59">
      <c r="AZ1230"/>
      <c r="BA1230"/>
      <c r="BB1230"/>
      <c r="BC1230"/>
      <c r="BD1230"/>
      <c r="BE1230"/>
      <c r="BG1230"/>
    </row>
    <row r="1231" spans="52:59">
      <c r="AZ1231"/>
      <c r="BA1231"/>
      <c r="BB1231"/>
      <c r="BC1231"/>
      <c r="BD1231"/>
      <c r="BE1231"/>
      <c r="BG1231"/>
    </row>
    <row r="1232" spans="52:59">
      <c r="AZ1232"/>
      <c r="BA1232"/>
      <c r="BB1232"/>
      <c r="BC1232"/>
      <c r="BD1232"/>
      <c r="BE1232"/>
      <c r="BG1232"/>
    </row>
    <row r="1233" spans="52:59">
      <c r="AZ1233"/>
      <c r="BA1233"/>
      <c r="BB1233"/>
      <c r="BC1233"/>
      <c r="BD1233"/>
      <c r="BE1233"/>
      <c r="BG1233"/>
    </row>
    <row r="1234" spans="52:59">
      <c r="AZ1234"/>
      <c r="BA1234"/>
      <c r="BB1234"/>
      <c r="BC1234"/>
      <c r="BD1234"/>
      <c r="BE1234"/>
      <c r="BG1234"/>
    </row>
    <row r="1235" spans="52:59">
      <c r="AZ1235"/>
      <c r="BA1235"/>
      <c r="BB1235"/>
      <c r="BC1235"/>
      <c r="BD1235"/>
      <c r="BE1235"/>
      <c r="BG1235"/>
    </row>
    <row r="1236" spans="52:59">
      <c r="AZ1236"/>
      <c r="BA1236"/>
      <c r="BB1236"/>
      <c r="BC1236"/>
      <c r="BD1236"/>
      <c r="BE1236"/>
      <c r="BG1236"/>
    </row>
    <row r="1237" spans="52:59">
      <c r="AZ1237"/>
      <c r="BA1237"/>
      <c r="BB1237"/>
      <c r="BC1237"/>
      <c r="BD1237"/>
      <c r="BE1237"/>
      <c r="BG1237"/>
    </row>
    <row r="1238" spans="52:59">
      <c r="AZ1238"/>
      <c r="BA1238"/>
      <c r="BB1238"/>
      <c r="BC1238"/>
      <c r="BD1238"/>
      <c r="BE1238"/>
      <c r="BG1238"/>
    </row>
    <row r="1239" spans="52:59">
      <c r="AZ1239"/>
      <c r="BA1239"/>
      <c r="BB1239"/>
      <c r="BC1239"/>
      <c r="BD1239"/>
      <c r="BE1239"/>
      <c r="BG1239"/>
    </row>
    <row r="1240" spans="52:59">
      <c r="AZ1240"/>
      <c r="BA1240"/>
      <c r="BB1240"/>
      <c r="BC1240"/>
      <c r="BD1240"/>
      <c r="BE1240"/>
      <c r="BG1240"/>
    </row>
    <row r="1241" spans="52:59">
      <c r="AZ1241"/>
      <c r="BA1241"/>
      <c r="BB1241"/>
      <c r="BC1241"/>
      <c r="BD1241"/>
      <c r="BE1241"/>
      <c r="BG1241"/>
    </row>
    <row r="1242" spans="52:59">
      <c r="AZ1242"/>
      <c r="BA1242"/>
      <c r="BB1242"/>
      <c r="BC1242"/>
      <c r="BD1242"/>
      <c r="BE1242"/>
      <c r="BG1242"/>
    </row>
    <row r="1243" spans="52:59">
      <c r="AZ1243"/>
      <c r="BA1243"/>
      <c r="BB1243"/>
      <c r="BC1243"/>
      <c r="BD1243"/>
      <c r="BE1243"/>
      <c r="BG1243"/>
    </row>
    <row r="1244" spans="52:59">
      <c r="AZ1244"/>
      <c r="BA1244"/>
      <c r="BB1244"/>
      <c r="BC1244"/>
      <c r="BD1244"/>
      <c r="BE1244"/>
      <c r="BG1244"/>
    </row>
    <row r="1245" spans="52:59">
      <c r="AZ1245"/>
      <c r="BA1245"/>
      <c r="BB1245"/>
      <c r="BC1245"/>
      <c r="BD1245"/>
      <c r="BE1245"/>
      <c r="BG1245"/>
    </row>
    <row r="1246" spans="52:59">
      <c r="AZ1246"/>
      <c r="BA1246"/>
      <c r="BB1246"/>
      <c r="BC1246"/>
      <c r="BD1246"/>
      <c r="BE1246"/>
      <c r="BG1246"/>
    </row>
    <row r="1247" spans="52:59">
      <c r="AZ1247"/>
      <c r="BA1247"/>
      <c r="BB1247"/>
      <c r="BC1247"/>
      <c r="BD1247"/>
      <c r="BE1247"/>
      <c r="BG1247"/>
    </row>
    <row r="1248" spans="52:59">
      <c r="AZ1248"/>
      <c r="BA1248"/>
      <c r="BB1248"/>
      <c r="BC1248"/>
      <c r="BD1248"/>
      <c r="BE1248"/>
      <c r="BG1248"/>
    </row>
    <row r="1249" spans="52:59">
      <c r="AZ1249"/>
      <c r="BA1249"/>
      <c r="BB1249"/>
      <c r="BC1249"/>
      <c r="BD1249"/>
      <c r="BE1249"/>
      <c r="BG1249"/>
    </row>
    <row r="1250" spans="52:59">
      <c r="AZ1250"/>
      <c r="BA1250"/>
      <c r="BB1250"/>
      <c r="BC1250"/>
      <c r="BD1250"/>
      <c r="BE1250"/>
      <c r="BG1250"/>
    </row>
    <row r="1251" spans="52:59">
      <c r="AZ1251"/>
      <c r="BA1251"/>
      <c r="BB1251"/>
      <c r="BC1251"/>
      <c r="BD1251"/>
      <c r="BE1251"/>
      <c r="BG1251"/>
    </row>
    <row r="1252" spans="52:59">
      <c r="AZ1252"/>
      <c r="BA1252"/>
      <c r="BB1252"/>
      <c r="BC1252"/>
      <c r="BD1252"/>
      <c r="BE1252"/>
      <c r="BG1252"/>
    </row>
    <row r="1253" spans="52:59">
      <c r="AZ1253"/>
      <c r="BA1253"/>
      <c r="BB1253"/>
      <c r="BC1253"/>
      <c r="BD1253"/>
      <c r="BE1253"/>
      <c r="BG1253"/>
    </row>
    <row r="1254" spans="52:59">
      <c r="AZ1254"/>
      <c r="BA1254"/>
      <c r="BB1254"/>
      <c r="BC1254"/>
      <c r="BD1254"/>
      <c r="BE1254"/>
      <c r="BG1254"/>
    </row>
    <row r="1255" spans="52:59">
      <c r="AZ1255"/>
      <c r="BA1255"/>
      <c r="BB1255"/>
      <c r="BC1255"/>
      <c r="BD1255"/>
      <c r="BE1255"/>
      <c r="BG1255"/>
    </row>
    <row r="1256" spans="52:59">
      <c r="AZ1256"/>
      <c r="BA1256"/>
      <c r="BB1256"/>
      <c r="BC1256"/>
      <c r="BD1256"/>
      <c r="BE1256"/>
      <c r="BG1256"/>
    </row>
    <row r="1257" spans="52:59">
      <c r="AZ1257"/>
      <c r="BA1257"/>
      <c r="BB1257"/>
      <c r="BC1257"/>
      <c r="BD1257"/>
      <c r="BE1257"/>
      <c r="BG1257"/>
    </row>
    <row r="1258" spans="52:59">
      <c r="AZ1258"/>
      <c r="BA1258"/>
      <c r="BB1258"/>
      <c r="BC1258"/>
      <c r="BD1258"/>
      <c r="BE1258"/>
      <c r="BG1258"/>
    </row>
    <row r="1259" spans="52:59">
      <c r="AZ1259"/>
      <c r="BA1259"/>
      <c r="BB1259"/>
      <c r="BC1259"/>
      <c r="BD1259"/>
      <c r="BE1259"/>
      <c r="BG1259"/>
    </row>
    <row r="1260" spans="52:59">
      <c r="AZ1260"/>
      <c r="BA1260"/>
      <c r="BB1260"/>
      <c r="BC1260"/>
      <c r="BD1260"/>
      <c r="BE1260"/>
      <c r="BG1260"/>
    </row>
    <row r="1261" spans="52:59">
      <c r="AZ1261"/>
      <c r="BA1261"/>
      <c r="BB1261"/>
      <c r="BC1261"/>
      <c r="BD1261"/>
      <c r="BE1261"/>
      <c r="BG1261"/>
    </row>
    <row r="1262" spans="52:59">
      <c r="AZ1262"/>
      <c r="BA1262"/>
      <c r="BB1262"/>
      <c r="BC1262"/>
      <c r="BD1262"/>
      <c r="BE1262"/>
      <c r="BG1262"/>
    </row>
    <row r="1263" spans="52:59">
      <c r="AZ1263"/>
      <c r="BA1263"/>
      <c r="BB1263"/>
      <c r="BC1263"/>
      <c r="BD1263"/>
      <c r="BE1263"/>
      <c r="BG1263"/>
    </row>
    <row r="1264" spans="52:59">
      <c r="AZ1264"/>
      <c r="BA1264"/>
      <c r="BB1264"/>
      <c r="BC1264"/>
      <c r="BD1264"/>
      <c r="BE1264"/>
      <c r="BG1264"/>
    </row>
    <row r="1265" spans="52:59">
      <c r="AZ1265"/>
      <c r="BA1265"/>
      <c r="BB1265"/>
      <c r="BC1265"/>
      <c r="BD1265"/>
      <c r="BE1265"/>
      <c r="BG1265"/>
    </row>
    <row r="1266" spans="52:59">
      <c r="AZ1266"/>
      <c r="BA1266"/>
      <c r="BB1266"/>
      <c r="BC1266"/>
      <c r="BD1266"/>
      <c r="BE1266"/>
      <c r="BG1266"/>
    </row>
    <row r="1267" spans="52:59">
      <c r="AZ1267"/>
      <c r="BA1267"/>
      <c r="BB1267"/>
      <c r="BC1267"/>
      <c r="BD1267"/>
      <c r="BE1267"/>
      <c r="BG1267"/>
    </row>
    <row r="1268" spans="52:59">
      <c r="AZ1268"/>
      <c r="BA1268"/>
      <c r="BB1268"/>
      <c r="BC1268"/>
      <c r="BD1268"/>
      <c r="BE1268"/>
      <c r="BG1268"/>
    </row>
    <row r="1269" spans="52:59">
      <c r="AZ1269"/>
      <c r="BA1269"/>
      <c r="BB1269"/>
      <c r="BC1269"/>
      <c r="BD1269"/>
      <c r="BE1269"/>
      <c r="BG1269"/>
    </row>
    <row r="1270" spans="52:59">
      <c r="AZ1270"/>
      <c r="BA1270"/>
      <c r="BB1270"/>
      <c r="BC1270"/>
      <c r="BD1270"/>
      <c r="BE1270"/>
      <c r="BG1270"/>
    </row>
    <row r="1271" spans="52:59">
      <c r="AZ1271"/>
      <c r="BA1271"/>
      <c r="BB1271"/>
      <c r="BC1271"/>
      <c r="BD1271"/>
      <c r="BE1271"/>
      <c r="BG1271"/>
    </row>
    <row r="1272" spans="52:59">
      <c r="AZ1272"/>
      <c r="BA1272"/>
      <c r="BB1272"/>
      <c r="BC1272"/>
      <c r="BD1272"/>
      <c r="BE1272"/>
      <c r="BG1272"/>
    </row>
    <row r="1273" spans="52:59">
      <c r="AZ1273"/>
      <c r="BA1273"/>
      <c r="BB1273"/>
      <c r="BC1273"/>
      <c r="BD1273"/>
      <c r="BE1273"/>
      <c r="BG1273"/>
    </row>
    <row r="1274" spans="52:59">
      <c r="AZ1274"/>
      <c r="BA1274"/>
      <c r="BB1274"/>
      <c r="BC1274"/>
      <c r="BD1274"/>
      <c r="BE1274"/>
      <c r="BG1274"/>
    </row>
    <row r="1275" spans="52:59">
      <c r="AZ1275"/>
      <c r="BA1275"/>
      <c r="BB1275"/>
      <c r="BC1275"/>
      <c r="BD1275"/>
      <c r="BE1275"/>
      <c r="BG1275"/>
    </row>
    <row r="1276" spans="52:59">
      <c r="AZ1276"/>
      <c r="BA1276"/>
      <c r="BB1276"/>
      <c r="BC1276"/>
      <c r="BD1276"/>
      <c r="BE1276"/>
      <c r="BG1276"/>
    </row>
    <row r="1277" spans="52:59">
      <c r="AZ1277"/>
      <c r="BA1277"/>
      <c r="BB1277"/>
      <c r="BC1277"/>
      <c r="BD1277"/>
      <c r="BE1277"/>
      <c r="BG1277"/>
    </row>
    <row r="1278" spans="52:59">
      <c r="AZ1278"/>
      <c r="BA1278"/>
      <c r="BB1278"/>
      <c r="BC1278"/>
      <c r="BD1278"/>
      <c r="BE1278"/>
      <c r="BG1278"/>
    </row>
    <row r="1279" spans="52:59">
      <c r="AZ1279"/>
      <c r="BA1279"/>
      <c r="BB1279"/>
      <c r="BC1279"/>
      <c r="BD1279"/>
      <c r="BE1279"/>
      <c r="BG1279"/>
    </row>
    <row r="1280" spans="52:59">
      <c r="AZ1280"/>
      <c r="BA1280"/>
      <c r="BB1280"/>
      <c r="BC1280"/>
      <c r="BD1280"/>
      <c r="BE1280"/>
      <c r="BG1280"/>
    </row>
    <row r="1281" spans="52:59">
      <c r="AZ1281"/>
      <c r="BA1281"/>
      <c r="BB1281"/>
      <c r="BC1281"/>
      <c r="BD1281"/>
      <c r="BE1281"/>
      <c r="BG1281"/>
    </row>
    <row r="1282" spans="52:59">
      <c r="AZ1282"/>
      <c r="BA1282"/>
      <c r="BB1282"/>
      <c r="BC1282"/>
      <c r="BD1282"/>
      <c r="BE1282"/>
      <c r="BG1282"/>
    </row>
    <row r="1283" spans="52:59">
      <c r="AZ1283"/>
      <c r="BA1283"/>
      <c r="BB1283"/>
      <c r="BC1283"/>
      <c r="BD1283"/>
      <c r="BE1283"/>
      <c r="BG1283"/>
    </row>
    <row r="1284" spans="52:59">
      <c r="AZ1284"/>
      <c r="BA1284"/>
      <c r="BB1284"/>
      <c r="BC1284"/>
      <c r="BD1284"/>
      <c r="BE1284"/>
      <c r="BG1284"/>
    </row>
    <row r="1285" spans="52:59">
      <c r="AZ1285"/>
      <c r="BA1285"/>
      <c r="BB1285"/>
      <c r="BC1285"/>
      <c r="BD1285"/>
      <c r="BE1285"/>
      <c r="BG1285"/>
    </row>
    <row r="1286" spans="52:59">
      <c r="AZ1286"/>
      <c r="BA1286"/>
      <c r="BB1286"/>
      <c r="BC1286"/>
      <c r="BD1286"/>
      <c r="BE1286"/>
      <c r="BG1286"/>
    </row>
    <row r="1287" spans="52:59">
      <c r="AZ1287"/>
      <c r="BA1287"/>
      <c r="BB1287"/>
      <c r="BC1287"/>
      <c r="BD1287"/>
      <c r="BE1287"/>
      <c r="BG1287"/>
    </row>
    <row r="1288" spans="52:59">
      <c r="AZ1288"/>
      <c r="BA1288"/>
      <c r="BB1288"/>
      <c r="BC1288"/>
      <c r="BD1288"/>
      <c r="BE1288"/>
      <c r="BG1288"/>
    </row>
    <row r="1289" spans="52:59">
      <c r="AZ1289"/>
      <c r="BA1289"/>
      <c r="BB1289"/>
      <c r="BC1289"/>
      <c r="BD1289"/>
      <c r="BE1289"/>
      <c r="BG1289"/>
    </row>
    <row r="1290" spans="52:59">
      <c r="AZ1290"/>
      <c r="BA1290"/>
      <c r="BB1290"/>
      <c r="BC1290"/>
      <c r="BD1290"/>
      <c r="BE1290"/>
      <c r="BG1290"/>
    </row>
    <row r="1291" spans="52:59">
      <c r="AZ1291"/>
      <c r="BA1291"/>
      <c r="BB1291"/>
      <c r="BC1291"/>
      <c r="BD1291"/>
      <c r="BE1291"/>
      <c r="BG1291"/>
    </row>
    <row r="1292" spans="52:59">
      <c r="AZ1292"/>
      <c r="BA1292"/>
      <c r="BB1292"/>
      <c r="BC1292"/>
      <c r="BD1292"/>
      <c r="BE1292"/>
      <c r="BG1292"/>
    </row>
    <row r="1293" spans="52:59">
      <c r="AZ1293"/>
      <c r="BA1293"/>
      <c r="BB1293"/>
      <c r="BC1293"/>
      <c r="BD1293"/>
      <c r="BE1293"/>
      <c r="BG1293"/>
    </row>
    <row r="1294" spans="52:59">
      <c r="AZ1294"/>
      <c r="BA1294"/>
      <c r="BB1294"/>
      <c r="BC1294"/>
      <c r="BD1294"/>
      <c r="BE1294"/>
      <c r="BG1294"/>
    </row>
    <row r="1295" spans="52:59">
      <c r="AZ1295"/>
      <c r="BA1295"/>
      <c r="BB1295"/>
      <c r="BC1295"/>
      <c r="BD1295"/>
      <c r="BE1295"/>
      <c r="BG1295"/>
    </row>
    <row r="1296" spans="52:59">
      <c r="AZ1296"/>
      <c r="BA1296"/>
      <c r="BB1296"/>
      <c r="BC1296"/>
      <c r="BD1296"/>
      <c r="BE1296"/>
      <c r="BG1296"/>
    </row>
    <row r="1297" spans="52:59">
      <c r="AZ1297"/>
      <c r="BA1297"/>
      <c r="BB1297"/>
      <c r="BC1297"/>
      <c r="BD1297"/>
      <c r="BE1297"/>
      <c r="BG1297"/>
    </row>
    <row r="1298" spans="52:59">
      <c r="AZ1298"/>
      <c r="BA1298"/>
      <c r="BB1298"/>
      <c r="BC1298"/>
      <c r="BD1298"/>
      <c r="BE1298"/>
      <c r="BG1298"/>
    </row>
    <row r="1299" spans="52:59">
      <c r="AZ1299"/>
      <c r="BA1299"/>
      <c r="BB1299"/>
      <c r="BC1299"/>
      <c r="BD1299"/>
      <c r="BE1299"/>
      <c r="BG1299"/>
    </row>
    <row r="1300" spans="52:59">
      <c r="AZ1300"/>
      <c r="BA1300"/>
      <c r="BB1300"/>
      <c r="BC1300"/>
      <c r="BD1300"/>
      <c r="BE1300"/>
      <c r="BG1300"/>
    </row>
    <row r="1301" spans="52:59">
      <c r="AZ1301"/>
      <c r="BA1301"/>
      <c r="BB1301"/>
      <c r="BC1301"/>
      <c r="BD1301"/>
      <c r="BE1301"/>
      <c r="BG1301"/>
    </row>
    <row r="1302" spans="52:59">
      <c r="AZ1302"/>
      <c r="BA1302"/>
      <c r="BB1302"/>
      <c r="BC1302"/>
      <c r="BD1302"/>
      <c r="BE1302"/>
      <c r="BG1302"/>
    </row>
    <row r="1303" spans="52:59">
      <c r="AZ1303"/>
      <c r="BA1303"/>
      <c r="BB1303"/>
      <c r="BC1303"/>
      <c r="BD1303"/>
      <c r="BE1303"/>
      <c r="BG1303"/>
    </row>
    <row r="1304" spans="52:59">
      <c r="AZ1304"/>
      <c r="BA1304"/>
      <c r="BB1304"/>
      <c r="BC1304"/>
      <c r="BD1304"/>
      <c r="BE1304"/>
      <c r="BG1304"/>
    </row>
    <row r="1305" spans="52:59">
      <c r="AZ1305"/>
      <c r="BA1305"/>
      <c r="BB1305"/>
      <c r="BC1305"/>
      <c r="BD1305"/>
      <c r="BE1305"/>
      <c r="BG1305"/>
    </row>
    <row r="1306" spans="52:59">
      <c r="AZ1306"/>
      <c r="BA1306"/>
      <c r="BB1306"/>
      <c r="BC1306"/>
      <c r="BD1306"/>
      <c r="BE1306"/>
      <c r="BG1306"/>
    </row>
    <row r="1307" spans="52:59">
      <c r="AZ1307"/>
      <c r="BA1307"/>
      <c r="BB1307"/>
      <c r="BC1307"/>
      <c r="BD1307"/>
      <c r="BE1307"/>
      <c r="BG1307"/>
    </row>
    <row r="1308" spans="52:59">
      <c r="AZ1308"/>
      <c r="BA1308"/>
      <c r="BB1308"/>
      <c r="BC1308"/>
      <c r="BD1308"/>
      <c r="BE1308"/>
      <c r="BG1308"/>
    </row>
    <row r="1309" spans="52:59">
      <c r="AZ1309"/>
      <c r="BA1309"/>
      <c r="BB1309"/>
      <c r="BC1309"/>
      <c r="BD1309"/>
      <c r="BE1309"/>
      <c r="BG1309"/>
    </row>
    <row r="1310" spans="52:59">
      <c r="AZ1310"/>
      <c r="BA1310"/>
      <c r="BB1310"/>
      <c r="BC1310"/>
      <c r="BD1310"/>
      <c r="BE1310"/>
      <c r="BG1310"/>
    </row>
    <row r="1311" spans="52:59">
      <c r="AZ1311"/>
      <c r="BA1311"/>
      <c r="BB1311"/>
      <c r="BC1311"/>
      <c r="BD1311"/>
      <c r="BE1311"/>
      <c r="BG1311"/>
    </row>
    <row r="1312" spans="52:59">
      <c r="AZ1312"/>
      <c r="BA1312"/>
      <c r="BB1312"/>
      <c r="BC1312"/>
      <c r="BD1312"/>
      <c r="BE1312"/>
      <c r="BG1312"/>
    </row>
    <row r="1313" spans="52:59">
      <c r="AZ1313"/>
      <c r="BA1313"/>
      <c r="BB1313"/>
      <c r="BC1313"/>
      <c r="BD1313"/>
      <c r="BE1313"/>
      <c r="BG1313"/>
    </row>
    <row r="1314" spans="52:59">
      <c r="AZ1314"/>
      <c r="BA1314"/>
      <c r="BB1314"/>
      <c r="BC1314"/>
      <c r="BD1314"/>
      <c r="BE1314"/>
      <c r="BG1314"/>
    </row>
    <row r="1315" spans="52:59">
      <c r="AZ1315"/>
      <c r="BA1315"/>
      <c r="BB1315"/>
      <c r="BC1315"/>
      <c r="BD1315"/>
      <c r="BE1315"/>
      <c r="BG1315"/>
    </row>
    <row r="1316" spans="52:59">
      <c r="AZ1316"/>
      <c r="BA1316"/>
      <c r="BB1316"/>
      <c r="BC1316"/>
      <c r="BD1316"/>
      <c r="BE1316"/>
      <c r="BG1316"/>
    </row>
    <row r="1317" spans="52:59">
      <c r="AZ1317"/>
      <c r="BA1317"/>
      <c r="BB1317"/>
      <c r="BC1317"/>
      <c r="BD1317"/>
      <c r="BE1317"/>
      <c r="BG1317"/>
    </row>
    <row r="1318" spans="52:59">
      <c r="AZ1318"/>
      <c r="BA1318"/>
      <c r="BB1318"/>
      <c r="BC1318"/>
      <c r="BD1318"/>
      <c r="BE1318"/>
      <c r="BG1318"/>
    </row>
    <row r="1319" spans="52:59">
      <c r="AZ1319"/>
      <c r="BA1319"/>
      <c r="BB1319"/>
      <c r="BC1319"/>
      <c r="BD1319"/>
      <c r="BE1319"/>
      <c r="BG1319"/>
    </row>
    <row r="1320" spans="52:59">
      <c r="AZ1320"/>
      <c r="BA1320"/>
      <c r="BB1320"/>
      <c r="BC1320"/>
      <c r="BD1320"/>
      <c r="BE1320"/>
      <c r="BG1320"/>
    </row>
    <row r="1321" spans="52:59">
      <c r="AZ1321"/>
      <c r="BA1321"/>
      <c r="BB1321"/>
      <c r="BC1321"/>
      <c r="BD1321"/>
      <c r="BE1321"/>
      <c r="BG1321"/>
    </row>
    <row r="1322" spans="52:59">
      <c r="AZ1322"/>
      <c r="BA1322"/>
      <c r="BB1322"/>
      <c r="BC1322"/>
      <c r="BD1322"/>
      <c r="BE1322"/>
      <c r="BG1322"/>
    </row>
    <row r="1323" spans="52:59">
      <c r="AZ1323"/>
      <c r="BA1323"/>
      <c r="BB1323"/>
      <c r="BC1323"/>
      <c r="BD1323"/>
      <c r="BE1323"/>
      <c r="BG1323"/>
    </row>
    <row r="1324" spans="52:59">
      <c r="AZ1324"/>
      <c r="BA1324"/>
      <c r="BB1324"/>
      <c r="BC1324"/>
      <c r="BD1324"/>
      <c r="BE1324"/>
      <c r="BG1324"/>
    </row>
    <row r="1325" spans="52:59">
      <c r="AZ1325"/>
      <c r="BA1325"/>
      <c r="BB1325"/>
      <c r="BC1325"/>
      <c r="BD1325"/>
      <c r="BE1325"/>
      <c r="BG1325"/>
    </row>
    <row r="1326" spans="52:59">
      <c r="AZ1326"/>
      <c r="BA1326"/>
      <c r="BB1326"/>
      <c r="BC1326"/>
      <c r="BD1326"/>
      <c r="BE1326"/>
      <c r="BG1326"/>
    </row>
    <row r="1327" spans="52:59">
      <c r="AZ1327"/>
      <c r="BA1327"/>
      <c r="BB1327"/>
      <c r="BC1327"/>
      <c r="BD1327"/>
      <c r="BE1327"/>
      <c r="BG1327"/>
    </row>
    <row r="1328" spans="52:59">
      <c r="AZ1328"/>
      <c r="BA1328"/>
      <c r="BB1328"/>
      <c r="BC1328"/>
      <c r="BD1328"/>
      <c r="BE1328"/>
      <c r="BG1328"/>
    </row>
    <row r="1329" spans="52:59">
      <c r="AZ1329"/>
      <c r="BA1329"/>
      <c r="BB1329"/>
      <c r="BC1329"/>
      <c r="BD1329"/>
      <c r="BE1329"/>
      <c r="BG1329"/>
    </row>
    <row r="1330" spans="52:59">
      <c r="AZ1330"/>
      <c r="BA1330"/>
      <c r="BB1330"/>
      <c r="BC1330"/>
      <c r="BD1330"/>
      <c r="BE1330"/>
      <c r="BG1330"/>
    </row>
    <row r="1331" spans="52:59">
      <c r="AZ1331"/>
      <c r="BA1331"/>
      <c r="BB1331"/>
      <c r="BC1331"/>
      <c r="BD1331"/>
      <c r="BE1331"/>
      <c r="BG1331"/>
    </row>
    <row r="1332" spans="52:59">
      <c r="AZ1332"/>
      <c r="BA1332"/>
      <c r="BB1332"/>
      <c r="BC1332"/>
      <c r="BD1332"/>
      <c r="BE1332"/>
      <c r="BG1332"/>
    </row>
    <row r="1333" spans="52:59">
      <c r="AZ1333"/>
      <c r="BA1333"/>
      <c r="BB1333"/>
      <c r="BC1333"/>
      <c r="BD1333"/>
      <c r="BE1333"/>
      <c r="BG1333"/>
    </row>
    <row r="1334" spans="52:59">
      <c r="AZ1334"/>
      <c r="BA1334"/>
      <c r="BB1334"/>
      <c r="BC1334"/>
      <c r="BD1334"/>
      <c r="BE1334"/>
      <c r="BG1334"/>
    </row>
    <row r="1335" spans="52:59">
      <c r="AZ1335"/>
      <c r="BA1335"/>
      <c r="BB1335"/>
      <c r="BC1335"/>
      <c r="BD1335"/>
      <c r="BE1335"/>
      <c r="BG1335"/>
    </row>
    <row r="1336" spans="52:59">
      <c r="AZ1336"/>
      <c r="BA1336"/>
      <c r="BB1336"/>
      <c r="BC1336"/>
      <c r="BD1336"/>
      <c r="BE1336"/>
      <c r="BG1336"/>
    </row>
    <row r="1337" spans="52:59">
      <c r="AZ1337"/>
      <c r="BA1337"/>
      <c r="BB1337"/>
      <c r="BC1337"/>
      <c r="BD1337"/>
      <c r="BE1337"/>
      <c r="BG1337"/>
    </row>
    <row r="1338" spans="52:59">
      <c r="AZ1338"/>
      <c r="BA1338"/>
      <c r="BB1338"/>
      <c r="BC1338"/>
      <c r="BD1338"/>
      <c r="BE1338"/>
      <c r="BG1338"/>
    </row>
    <row r="1339" spans="52:59">
      <c r="AZ1339"/>
      <c r="BA1339"/>
      <c r="BB1339"/>
      <c r="BC1339"/>
      <c r="BD1339"/>
      <c r="BE1339"/>
      <c r="BG1339"/>
    </row>
    <row r="1340" spans="52:59">
      <c r="AZ1340"/>
      <c r="BA1340"/>
      <c r="BB1340"/>
      <c r="BC1340"/>
      <c r="BD1340"/>
      <c r="BE1340"/>
      <c r="BG1340"/>
    </row>
    <row r="1341" spans="52:59">
      <c r="AZ1341"/>
      <c r="BA1341"/>
      <c r="BB1341"/>
      <c r="BC1341"/>
      <c r="BD1341"/>
      <c r="BE1341"/>
      <c r="BG1341"/>
    </row>
    <row r="1342" spans="52:59">
      <c r="AZ1342"/>
      <c r="BA1342"/>
      <c r="BB1342"/>
      <c r="BC1342"/>
      <c r="BD1342"/>
      <c r="BE1342"/>
      <c r="BG1342"/>
    </row>
    <row r="1343" spans="52:59">
      <c r="AZ1343"/>
      <c r="BA1343"/>
      <c r="BB1343"/>
      <c r="BC1343"/>
      <c r="BD1343"/>
      <c r="BE1343"/>
      <c r="BG1343"/>
    </row>
    <row r="1344" spans="52:59">
      <c r="AZ1344"/>
      <c r="BA1344"/>
      <c r="BB1344"/>
      <c r="BC1344"/>
      <c r="BD1344"/>
      <c r="BE1344"/>
      <c r="BG1344"/>
    </row>
    <row r="1345" spans="52:59">
      <c r="AZ1345"/>
      <c r="BA1345"/>
      <c r="BB1345"/>
      <c r="BC1345"/>
      <c r="BD1345"/>
      <c r="BE1345"/>
      <c r="BG1345"/>
    </row>
    <row r="1346" spans="52:59">
      <c r="AZ1346"/>
      <c r="BA1346"/>
      <c r="BB1346"/>
      <c r="BC1346"/>
      <c r="BD1346"/>
      <c r="BE1346"/>
      <c r="BG1346"/>
    </row>
    <row r="1347" spans="52:59">
      <c r="AZ1347"/>
      <c r="BA1347"/>
      <c r="BB1347"/>
      <c r="BC1347"/>
      <c r="BD1347"/>
      <c r="BE1347"/>
      <c r="BG1347"/>
    </row>
    <row r="1348" spans="52:59">
      <c r="AZ1348"/>
      <c r="BA1348"/>
      <c r="BB1348"/>
      <c r="BC1348"/>
      <c r="BD1348"/>
      <c r="BE1348"/>
      <c r="BG1348"/>
    </row>
    <row r="1349" spans="52:59">
      <c r="AZ1349"/>
      <c r="BA1349"/>
      <c r="BB1349"/>
      <c r="BC1349"/>
      <c r="BD1349"/>
      <c r="BE1349"/>
      <c r="BG1349"/>
    </row>
    <row r="1350" spans="52:59">
      <c r="AZ1350"/>
      <c r="BA1350"/>
      <c r="BB1350"/>
      <c r="BC1350"/>
      <c r="BD1350"/>
      <c r="BE1350"/>
      <c r="BG1350"/>
    </row>
    <row r="1351" spans="52:59">
      <c r="AZ1351"/>
      <c r="BA1351"/>
      <c r="BB1351"/>
      <c r="BC1351"/>
      <c r="BD1351"/>
      <c r="BE1351"/>
      <c r="BG1351"/>
    </row>
    <row r="1352" spans="52:59">
      <c r="AZ1352"/>
      <c r="BA1352"/>
      <c r="BB1352"/>
      <c r="BC1352"/>
      <c r="BD1352"/>
      <c r="BE1352"/>
      <c r="BG1352"/>
    </row>
    <row r="1353" spans="52:59">
      <c r="AZ1353"/>
      <c r="BA1353"/>
      <c r="BB1353"/>
      <c r="BC1353"/>
      <c r="BD1353"/>
      <c r="BE1353"/>
      <c r="BG1353"/>
    </row>
    <row r="1354" spans="52:59">
      <c r="AZ1354"/>
      <c r="BA1354"/>
      <c r="BB1354"/>
      <c r="BC1354"/>
      <c r="BD1354"/>
      <c r="BE1354"/>
      <c r="BG1354"/>
    </row>
    <row r="1355" spans="52:59">
      <c r="AZ1355"/>
      <c r="BA1355"/>
      <c r="BB1355"/>
      <c r="BC1355"/>
      <c r="BD1355"/>
      <c r="BE1355"/>
      <c r="BG1355"/>
    </row>
    <row r="1356" spans="52:59">
      <c r="AZ1356"/>
      <c r="BA1356"/>
      <c r="BB1356"/>
      <c r="BC1356"/>
      <c r="BD1356"/>
      <c r="BE1356"/>
      <c r="BG1356"/>
    </row>
    <row r="1357" spans="52:59">
      <c r="AZ1357"/>
      <c r="BA1357"/>
      <c r="BB1357"/>
      <c r="BC1357"/>
      <c r="BD1357"/>
      <c r="BE1357"/>
      <c r="BG1357"/>
    </row>
    <row r="1358" spans="52:59">
      <c r="AZ1358"/>
      <c r="BA1358"/>
      <c r="BB1358"/>
      <c r="BC1358"/>
      <c r="BD1358"/>
      <c r="BE1358"/>
      <c r="BG1358"/>
    </row>
    <row r="1359" spans="52:59">
      <c r="AZ1359"/>
      <c r="BA1359"/>
      <c r="BB1359"/>
      <c r="BC1359"/>
      <c r="BD1359"/>
      <c r="BE1359"/>
      <c r="BG1359"/>
    </row>
    <row r="1360" spans="52:59">
      <c r="AZ1360"/>
      <c r="BA1360"/>
      <c r="BB1360"/>
      <c r="BC1360"/>
      <c r="BD1360"/>
      <c r="BE1360"/>
      <c r="BG1360"/>
    </row>
    <row r="1361" spans="52:59">
      <c r="AZ1361"/>
      <c r="BA1361"/>
      <c r="BB1361"/>
      <c r="BC1361"/>
      <c r="BD1361"/>
      <c r="BE1361"/>
      <c r="BG1361"/>
    </row>
    <row r="1362" spans="52:59">
      <c r="AZ1362"/>
      <c r="BA1362"/>
      <c r="BB1362"/>
      <c r="BC1362"/>
      <c r="BD1362"/>
      <c r="BE1362"/>
      <c r="BG1362"/>
    </row>
    <row r="1363" spans="52:59">
      <c r="AZ1363"/>
      <c r="BA1363"/>
      <c r="BB1363"/>
      <c r="BC1363"/>
      <c r="BD1363"/>
      <c r="BE1363"/>
      <c r="BG1363"/>
    </row>
    <row r="1364" spans="52:59">
      <c r="AZ1364"/>
      <c r="BA1364"/>
      <c r="BB1364"/>
      <c r="BC1364"/>
      <c r="BD1364"/>
      <c r="BE1364"/>
      <c r="BG1364"/>
    </row>
    <row r="1365" spans="52:59">
      <c r="AZ1365"/>
      <c r="BA1365"/>
      <c r="BB1365"/>
      <c r="BC1365"/>
      <c r="BD1365"/>
      <c r="BE1365"/>
      <c r="BG1365"/>
    </row>
    <row r="1366" spans="52:59">
      <c r="AZ1366"/>
      <c r="BA1366"/>
      <c r="BB1366"/>
      <c r="BC1366"/>
      <c r="BD1366"/>
      <c r="BE1366"/>
      <c r="BG1366"/>
    </row>
    <row r="1367" spans="52:59">
      <c r="AZ1367"/>
      <c r="BA1367"/>
      <c r="BB1367"/>
      <c r="BC1367"/>
      <c r="BD1367"/>
      <c r="BE1367"/>
      <c r="BG1367"/>
    </row>
    <row r="1368" spans="52:59">
      <c r="AZ1368"/>
      <c r="BA1368"/>
      <c r="BB1368"/>
      <c r="BC1368"/>
      <c r="BD1368"/>
      <c r="BE1368"/>
      <c r="BG1368"/>
    </row>
    <row r="1369" spans="52:59">
      <c r="AZ1369"/>
      <c r="BA1369"/>
      <c r="BB1369"/>
      <c r="BC1369"/>
      <c r="BD1369"/>
      <c r="BE1369"/>
      <c r="BG1369"/>
    </row>
    <row r="1370" spans="52:59">
      <c r="AZ1370"/>
      <c r="BA1370"/>
      <c r="BB1370"/>
      <c r="BC1370"/>
      <c r="BD1370"/>
      <c r="BE1370"/>
      <c r="BG1370"/>
    </row>
    <row r="1371" spans="52:59">
      <c r="AZ1371"/>
      <c r="BA1371"/>
      <c r="BB1371"/>
      <c r="BC1371"/>
      <c r="BD1371"/>
      <c r="BE1371"/>
      <c r="BG1371"/>
    </row>
    <row r="1372" spans="52:59">
      <c r="AZ1372"/>
      <c r="BA1372"/>
      <c r="BB1372"/>
      <c r="BC1372"/>
      <c r="BD1372"/>
      <c r="BE1372"/>
      <c r="BG1372"/>
    </row>
    <row r="1373" spans="52:59">
      <c r="AZ1373"/>
      <c r="BA1373"/>
      <c r="BB1373"/>
      <c r="BC1373"/>
      <c r="BD1373"/>
      <c r="BE1373"/>
      <c r="BG1373"/>
    </row>
    <row r="1374" spans="52:59">
      <c r="AZ1374"/>
      <c r="BA1374"/>
      <c r="BB1374"/>
      <c r="BC1374"/>
      <c r="BD1374"/>
      <c r="BE1374"/>
      <c r="BG1374"/>
    </row>
    <row r="1375" spans="52:59">
      <c r="AZ1375"/>
      <c r="BA1375"/>
      <c r="BB1375"/>
      <c r="BC1375"/>
      <c r="BD1375"/>
      <c r="BE1375"/>
      <c r="BG1375"/>
    </row>
    <row r="1376" spans="52:59">
      <c r="AZ1376"/>
      <c r="BA1376"/>
      <c r="BB1376"/>
      <c r="BC1376"/>
      <c r="BD1376"/>
      <c r="BE1376"/>
      <c r="BG1376"/>
    </row>
    <row r="1377" spans="52:59">
      <c r="AZ1377"/>
      <c r="BA1377"/>
      <c r="BB1377"/>
      <c r="BC1377"/>
      <c r="BD1377"/>
      <c r="BE1377"/>
      <c r="BG1377"/>
    </row>
    <row r="1378" spans="52:59">
      <c r="AZ1378"/>
      <c r="BA1378"/>
      <c r="BB1378"/>
      <c r="BC1378"/>
      <c r="BD1378"/>
      <c r="BE1378"/>
      <c r="BG1378"/>
    </row>
    <row r="1379" spans="52:59">
      <c r="AZ1379"/>
      <c r="BA1379"/>
      <c r="BB1379"/>
      <c r="BC1379"/>
      <c r="BD1379"/>
      <c r="BE1379"/>
      <c r="BG1379"/>
    </row>
    <row r="1380" spans="52:59">
      <c r="AZ1380"/>
      <c r="BA1380"/>
      <c r="BB1380"/>
      <c r="BC1380"/>
      <c r="BD1380"/>
      <c r="BE1380"/>
      <c r="BG1380"/>
    </row>
    <row r="1381" spans="52:59">
      <c r="AZ1381"/>
      <c r="BA1381"/>
      <c r="BB1381"/>
      <c r="BC1381"/>
      <c r="BD1381"/>
      <c r="BE1381"/>
      <c r="BG1381"/>
    </row>
    <row r="1382" spans="52:59">
      <c r="AZ1382"/>
      <c r="BA1382"/>
      <c r="BB1382"/>
      <c r="BC1382"/>
      <c r="BD1382"/>
      <c r="BE1382"/>
      <c r="BG1382"/>
    </row>
    <row r="1383" spans="52:59">
      <c r="AZ1383"/>
      <c r="BA1383"/>
      <c r="BB1383"/>
      <c r="BC1383"/>
      <c r="BD1383"/>
      <c r="BE1383"/>
      <c r="BG1383"/>
    </row>
    <row r="1384" spans="52:59">
      <c r="AZ1384"/>
      <c r="BA1384"/>
      <c r="BB1384"/>
      <c r="BC1384"/>
      <c r="BD1384"/>
      <c r="BE1384"/>
      <c r="BG1384"/>
    </row>
    <row r="1385" spans="52:59">
      <c r="AZ1385"/>
      <c r="BA1385"/>
      <c r="BB1385"/>
      <c r="BC1385"/>
      <c r="BD1385"/>
      <c r="BE1385"/>
      <c r="BG1385"/>
    </row>
    <row r="1386" spans="52:59">
      <c r="AZ1386"/>
      <c r="BA1386"/>
      <c r="BB1386"/>
      <c r="BC1386"/>
      <c r="BD1386"/>
      <c r="BE1386"/>
      <c r="BG1386"/>
    </row>
    <row r="1387" spans="52:59">
      <c r="AZ1387"/>
      <c r="BA1387"/>
      <c r="BB1387"/>
      <c r="BC1387"/>
      <c r="BD1387"/>
      <c r="BE1387"/>
      <c r="BG1387"/>
    </row>
    <row r="1388" spans="52:59">
      <c r="AZ1388"/>
      <c r="BA1388"/>
      <c r="BB1388"/>
      <c r="BC1388"/>
      <c r="BD1388"/>
      <c r="BE1388"/>
      <c r="BG1388"/>
    </row>
    <row r="1389" spans="52:59">
      <c r="AZ1389"/>
      <c r="BA1389"/>
      <c r="BB1389"/>
      <c r="BC1389"/>
      <c r="BD1389"/>
      <c r="BE1389"/>
      <c r="BG1389"/>
    </row>
    <row r="1390" spans="52:59">
      <c r="AZ1390"/>
      <c r="BA1390"/>
      <c r="BB1390"/>
      <c r="BC1390"/>
      <c r="BD1390"/>
      <c r="BE1390"/>
      <c r="BG1390"/>
    </row>
    <row r="1391" spans="52:59">
      <c r="AZ1391"/>
      <c r="BA1391"/>
      <c r="BB1391"/>
      <c r="BC1391"/>
      <c r="BD1391"/>
      <c r="BE1391"/>
      <c r="BG1391"/>
    </row>
    <row r="1392" spans="52:59">
      <c r="AZ1392"/>
      <c r="BA1392"/>
      <c r="BB1392"/>
      <c r="BC1392"/>
      <c r="BD1392"/>
      <c r="BE1392"/>
      <c r="BG1392"/>
    </row>
    <row r="1393" spans="52:59">
      <c r="AZ1393"/>
      <c r="BA1393"/>
      <c r="BB1393"/>
      <c r="BC1393"/>
      <c r="BD1393"/>
      <c r="BE1393"/>
      <c r="BG1393"/>
    </row>
    <row r="1394" spans="52:59">
      <c r="AZ1394"/>
      <c r="BA1394"/>
      <c r="BB1394"/>
      <c r="BC1394"/>
      <c r="BD1394"/>
      <c r="BE1394"/>
      <c r="BG1394"/>
    </row>
    <row r="1395" spans="52:59">
      <c r="AZ1395"/>
      <c r="BA1395"/>
      <c r="BB1395"/>
      <c r="BC1395"/>
      <c r="BD1395"/>
      <c r="BE1395"/>
      <c r="BG1395"/>
    </row>
    <row r="1396" spans="52:59">
      <c r="AZ1396"/>
      <c r="BA1396"/>
      <c r="BB1396"/>
      <c r="BC1396"/>
      <c r="BD1396"/>
      <c r="BE1396"/>
      <c r="BG1396"/>
    </row>
    <row r="1397" spans="52:59">
      <c r="AZ1397"/>
      <c r="BA1397"/>
      <c r="BB1397"/>
      <c r="BC1397"/>
      <c r="BD1397"/>
      <c r="BE1397"/>
      <c r="BG1397"/>
    </row>
    <row r="1398" spans="52:59">
      <c r="AZ1398"/>
      <c r="BA1398"/>
      <c r="BB1398"/>
      <c r="BC1398"/>
      <c r="BD1398"/>
      <c r="BE1398"/>
      <c r="BG1398"/>
    </row>
    <row r="1399" spans="52:59">
      <c r="AZ1399"/>
      <c r="BA1399"/>
      <c r="BB1399"/>
      <c r="BC1399"/>
      <c r="BD1399"/>
      <c r="BE1399"/>
      <c r="BG1399"/>
    </row>
    <row r="1400" spans="52:59">
      <c r="AZ1400"/>
      <c r="BA1400"/>
      <c r="BB1400"/>
      <c r="BC1400"/>
      <c r="BD1400"/>
      <c r="BE1400"/>
      <c r="BG1400"/>
    </row>
    <row r="1401" spans="52:59">
      <c r="AZ1401"/>
      <c r="BA1401"/>
      <c r="BB1401"/>
      <c r="BC1401"/>
      <c r="BD1401"/>
      <c r="BE1401"/>
      <c r="BG1401"/>
    </row>
    <row r="1402" spans="52:59">
      <c r="AZ1402"/>
      <c r="BA1402"/>
      <c r="BB1402"/>
      <c r="BC1402"/>
      <c r="BD1402"/>
      <c r="BE1402"/>
      <c r="BG1402"/>
    </row>
    <row r="1403" spans="52:59">
      <c r="AZ1403"/>
      <c r="BA1403"/>
      <c r="BB1403"/>
      <c r="BC1403"/>
      <c r="BD1403"/>
      <c r="BE1403"/>
      <c r="BG1403"/>
    </row>
    <row r="1404" spans="52:59">
      <c r="AZ1404"/>
      <c r="BA1404"/>
      <c r="BB1404"/>
      <c r="BC1404"/>
      <c r="BD1404"/>
      <c r="BE1404"/>
      <c r="BG1404"/>
    </row>
    <row r="1405" spans="52:59">
      <c r="AZ1405"/>
      <c r="BA1405"/>
      <c r="BB1405"/>
      <c r="BC1405"/>
      <c r="BD1405"/>
      <c r="BE1405"/>
      <c r="BG1405"/>
    </row>
    <row r="1406" spans="52:59">
      <c r="AZ1406"/>
      <c r="BA1406"/>
      <c r="BB1406"/>
      <c r="BC1406"/>
      <c r="BD1406"/>
      <c r="BE1406"/>
      <c r="BG1406"/>
    </row>
    <row r="1407" spans="52:59">
      <c r="AZ1407"/>
      <c r="BA1407"/>
      <c r="BB1407"/>
      <c r="BC1407"/>
      <c r="BD1407"/>
      <c r="BE1407"/>
      <c r="BG1407"/>
    </row>
    <row r="1408" spans="52:59">
      <c r="AZ1408"/>
      <c r="BA1408"/>
      <c r="BB1408"/>
      <c r="BC1408"/>
      <c r="BD1408"/>
      <c r="BE1408"/>
      <c r="BG1408"/>
    </row>
    <row r="1409" spans="52:59">
      <c r="AZ1409"/>
      <c r="BA1409"/>
      <c r="BB1409"/>
      <c r="BC1409"/>
      <c r="BD1409"/>
      <c r="BE1409"/>
      <c r="BG1409"/>
    </row>
    <row r="1410" spans="52:59">
      <c r="AZ1410"/>
      <c r="BA1410"/>
      <c r="BB1410"/>
      <c r="BC1410"/>
      <c r="BD1410"/>
      <c r="BE1410"/>
      <c r="BG1410"/>
    </row>
    <row r="1411" spans="52:59">
      <c r="AZ1411"/>
      <c r="BA1411"/>
      <c r="BB1411"/>
      <c r="BC1411"/>
      <c r="BD1411"/>
      <c r="BE1411"/>
      <c r="BG1411"/>
    </row>
    <row r="1412" spans="52:59">
      <c r="AZ1412"/>
      <c r="BA1412"/>
      <c r="BB1412"/>
      <c r="BC1412"/>
      <c r="BD1412"/>
      <c r="BE1412"/>
      <c r="BG1412"/>
    </row>
    <row r="1413" spans="52:59">
      <c r="AZ1413"/>
      <c r="BA1413"/>
      <c r="BB1413"/>
      <c r="BC1413"/>
      <c r="BD1413"/>
      <c r="BE1413"/>
      <c r="BG1413"/>
    </row>
    <row r="1414" spans="52:59">
      <c r="AZ1414"/>
      <c r="BA1414"/>
      <c r="BB1414"/>
      <c r="BC1414"/>
      <c r="BD1414"/>
      <c r="BE1414"/>
      <c r="BG1414"/>
    </row>
    <row r="1415" spans="52:59">
      <c r="AZ1415"/>
      <c r="BA1415"/>
      <c r="BB1415"/>
      <c r="BC1415"/>
      <c r="BD1415"/>
      <c r="BE1415"/>
      <c r="BG1415"/>
    </row>
    <row r="1416" spans="52:59">
      <c r="AZ1416"/>
      <c r="BA1416"/>
      <c r="BB1416"/>
      <c r="BC1416"/>
      <c r="BD1416"/>
      <c r="BE1416"/>
      <c r="BG1416"/>
    </row>
    <row r="1417" spans="52:59">
      <c r="AZ1417"/>
      <c r="BA1417"/>
      <c r="BB1417"/>
      <c r="BC1417"/>
      <c r="BD1417"/>
      <c r="BE1417"/>
      <c r="BG1417"/>
    </row>
    <row r="1418" spans="52:59">
      <c r="AZ1418"/>
      <c r="BA1418"/>
      <c r="BB1418"/>
      <c r="BC1418"/>
      <c r="BD1418"/>
      <c r="BE1418"/>
      <c r="BG1418"/>
    </row>
    <row r="1419" spans="52:59">
      <c r="AZ1419"/>
      <c r="BA1419"/>
      <c r="BB1419"/>
      <c r="BC1419"/>
      <c r="BD1419"/>
      <c r="BE1419"/>
      <c r="BG1419"/>
    </row>
    <row r="1420" spans="52:59">
      <c r="AZ1420"/>
      <c r="BA1420"/>
      <c r="BB1420"/>
      <c r="BC1420"/>
      <c r="BD1420"/>
      <c r="BE1420"/>
      <c r="BG1420"/>
    </row>
    <row r="1421" spans="52:59">
      <c r="AZ1421"/>
      <c r="BA1421"/>
      <c r="BB1421"/>
      <c r="BC1421"/>
      <c r="BD1421"/>
      <c r="BE1421"/>
      <c r="BG1421"/>
    </row>
    <row r="1422" spans="52:59">
      <c r="AZ1422"/>
      <c r="BA1422"/>
      <c r="BB1422"/>
      <c r="BC1422"/>
      <c r="BD1422"/>
      <c r="BE1422"/>
      <c r="BG1422"/>
    </row>
    <row r="1423" spans="52:59">
      <c r="AZ1423"/>
      <c r="BA1423"/>
      <c r="BB1423"/>
      <c r="BC1423"/>
      <c r="BD1423"/>
      <c r="BE1423"/>
      <c r="BG1423"/>
    </row>
    <row r="1424" spans="52:59">
      <c r="AZ1424"/>
      <c r="BA1424"/>
      <c r="BB1424"/>
      <c r="BC1424"/>
      <c r="BD1424"/>
      <c r="BE1424"/>
      <c r="BG1424"/>
    </row>
    <row r="1425" spans="52:59">
      <c r="AZ1425"/>
      <c r="BA1425"/>
      <c r="BB1425"/>
      <c r="BC1425"/>
      <c r="BD1425"/>
      <c r="BE1425"/>
      <c r="BG1425"/>
    </row>
    <row r="1426" spans="52:59">
      <c r="AZ1426"/>
      <c r="BA1426"/>
      <c r="BB1426"/>
      <c r="BC1426"/>
      <c r="BD1426"/>
      <c r="BE1426"/>
      <c r="BG1426"/>
    </row>
    <row r="1427" spans="52:59">
      <c r="AZ1427"/>
      <c r="BA1427"/>
      <c r="BB1427"/>
      <c r="BC1427"/>
      <c r="BD1427"/>
      <c r="BE1427"/>
      <c r="BG1427"/>
    </row>
    <row r="1428" spans="52:59">
      <c r="AZ1428"/>
      <c r="BA1428"/>
      <c r="BB1428"/>
      <c r="BC1428"/>
      <c r="BD1428"/>
      <c r="BE1428"/>
      <c r="BG1428"/>
    </row>
    <row r="1429" spans="52:59">
      <c r="AZ1429"/>
      <c r="BA1429"/>
      <c r="BB1429"/>
      <c r="BC1429"/>
      <c r="BD1429"/>
      <c r="BE1429"/>
      <c r="BG1429"/>
    </row>
    <row r="1430" spans="52:59">
      <c r="AZ1430"/>
      <c r="BA1430"/>
      <c r="BB1430"/>
      <c r="BC1430"/>
      <c r="BD1430"/>
      <c r="BE1430"/>
      <c r="BG1430"/>
    </row>
    <row r="1431" spans="52:59">
      <c r="AZ1431"/>
      <c r="BA1431"/>
      <c r="BB1431"/>
      <c r="BC1431"/>
      <c r="BD1431"/>
      <c r="BE1431"/>
      <c r="BG1431"/>
    </row>
    <row r="1432" spans="52:59">
      <c r="AZ1432"/>
      <c r="BA1432"/>
      <c r="BB1432"/>
      <c r="BC1432"/>
      <c r="BD1432"/>
      <c r="BE1432"/>
      <c r="BG1432"/>
    </row>
    <row r="1433" spans="52:59">
      <c r="AZ1433"/>
      <c r="BA1433"/>
      <c r="BB1433"/>
      <c r="BC1433"/>
      <c r="BD1433"/>
      <c r="BE1433"/>
      <c r="BG1433"/>
    </row>
    <row r="1434" spans="52:59">
      <c r="AZ1434"/>
      <c r="BA1434"/>
      <c r="BB1434"/>
      <c r="BC1434"/>
      <c r="BD1434"/>
      <c r="BE1434"/>
      <c r="BG1434"/>
    </row>
    <row r="1435" spans="52:59">
      <c r="AZ1435"/>
      <c r="BA1435"/>
      <c r="BB1435"/>
      <c r="BC1435"/>
      <c r="BD1435"/>
      <c r="BE1435"/>
      <c r="BG1435"/>
    </row>
    <row r="1436" spans="52:59">
      <c r="AZ1436"/>
      <c r="BA1436"/>
      <c r="BB1436"/>
      <c r="BC1436"/>
      <c r="BD1436"/>
      <c r="BE1436"/>
      <c r="BG1436"/>
    </row>
    <row r="1437" spans="52:59">
      <c r="AZ1437"/>
      <c r="BA1437"/>
      <c r="BB1437"/>
      <c r="BC1437"/>
      <c r="BD1437"/>
      <c r="BE1437"/>
      <c r="BG1437"/>
    </row>
    <row r="1438" spans="52:59">
      <c r="AZ1438"/>
      <c r="BA1438"/>
      <c r="BB1438"/>
      <c r="BC1438"/>
      <c r="BD1438"/>
      <c r="BE1438"/>
      <c r="BG1438"/>
    </row>
    <row r="1439" spans="52:59">
      <c r="AZ1439"/>
      <c r="BA1439"/>
      <c r="BB1439"/>
      <c r="BC1439"/>
      <c r="BD1439"/>
      <c r="BE1439"/>
      <c r="BG1439"/>
    </row>
    <row r="1440" spans="52:59">
      <c r="AZ1440"/>
      <c r="BA1440"/>
      <c r="BB1440"/>
      <c r="BC1440"/>
      <c r="BD1440"/>
      <c r="BE1440"/>
      <c r="BG1440"/>
    </row>
    <row r="1441" spans="52:59">
      <c r="AZ1441"/>
      <c r="BA1441"/>
      <c r="BB1441"/>
      <c r="BC1441"/>
      <c r="BD1441"/>
      <c r="BE1441"/>
      <c r="BG1441"/>
    </row>
    <row r="1442" spans="52:59">
      <c r="AZ1442"/>
      <c r="BA1442"/>
      <c r="BB1442"/>
      <c r="BC1442"/>
      <c r="BD1442"/>
      <c r="BE1442"/>
      <c r="BG1442"/>
    </row>
    <row r="1443" spans="52:59">
      <c r="AZ1443"/>
      <c r="BA1443"/>
      <c r="BB1443"/>
      <c r="BC1443"/>
      <c r="BD1443"/>
      <c r="BE1443"/>
      <c r="BG1443"/>
    </row>
    <row r="1444" spans="52:59">
      <c r="AZ1444"/>
      <c r="BA1444"/>
      <c r="BB1444"/>
      <c r="BC1444"/>
      <c r="BD1444"/>
      <c r="BE1444"/>
      <c r="BG1444"/>
    </row>
    <row r="1445" spans="52:59">
      <c r="AZ1445"/>
      <c r="BA1445"/>
      <c r="BB1445"/>
      <c r="BC1445"/>
      <c r="BD1445"/>
      <c r="BE1445"/>
      <c r="BG1445"/>
    </row>
    <row r="1446" spans="52:59">
      <c r="AZ1446"/>
      <c r="BA1446"/>
      <c r="BB1446"/>
      <c r="BC1446"/>
      <c r="BD1446"/>
      <c r="BE1446"/>
      <c r="BG1446"/>
    </row>
    <row r="1447" spans="52:59">
      <c r="AZ1447"/>
      <c r="BA1447"/>
      <c r="BB1447"/>
      <c r="BC1447"/>
      <c r="BD1447"/>
      <c r="BE1447"/>
      <c r="BG1447"/>
    </row>
    <row r="1448" spans="52:59">
      <c r="AZ1448"/>
      <c r="BA1448"/>
      <c r="BB1448"/>
      <c r="BC1448"/>
      <c r="BD1448"/>
      <c r="BE1448"/>
      <c r="BG1448"/>
    </row>
    <row r="1449" spans="52:59">
      <c r="AZ1449"/>
      <c r="BA1449"/>
      <c r="BB1449"/>
      <c r="BC1449"/>
      <c r="BD1449"/>
      <c r="BE1449"/>
      <c r="BG1449"/>
    </row>
    <row r="1450" spans="52:59">
      <c r="AZ1450"/>
      <c r="BA1450"/>
      <c r="BB1450"/>
      <c r="BC1450"/>
      <c r="BD1450"/>
      <c r="BE1450"/>
      <c r="BG1450"/>
    </row>
    <row r="1451" spans="52:59">
      <c r="AZ1451"/>
      <c r="BA1451"/>
      <c r="BB1451"/>
      <c r="BC1451"/>
      <c r="BD1451"/>
      <c r="BE1451"/>
      <c r="BG1451"/>
    </row>
    <row r="1452" spans="52:59">
      <c r="AZ1452"/>
      <c r="BA1452"/>
      <c r="BB1452"/>
      <c r="BC1452"/>
      <c r="BD1452"/>
      <c r="BE1452"/>
      <c r="BG1452"/>
    </row>
    <row r="1453" spans="52:59">
      <c r="AZ1453"/>
      <c r="BA1453"/>
      <c r="BB1453"/>
      <c r="BC1453"/>
      <c r="BD1453"/>
      <c r="BE1453"/>
      <c r="BG1453"/>
    </row>
    <row r="1454" spans="52:59">
      <c r="AZ1454"/>
      <c r="BA1454"/>
      <c r="BB1454"/>
      <c r="BC1454"/>
      <c r="BD1454"/>
      <c r="BE1454"/>
      <c r="BG1454"/>
    </row>
    <row r="1455" spans="52:59">
      <c r="AZ1455"/>
      <c r="BA1455"/>
      <c r="BB1455"/>
      <c r="BC1455"/>
      <c r="BD1455"/>
      <c r="BE1455"/>
      <c r="BG1455"/>
    </row>
    <row r="1456" spans="52:59">
      <c r="AZ1456"/>
      <c r="BA1456"/>
      <c r="BB1456"/>
      <c r="BC1456"/>
      <c r="BD1456"/>
      <c r="BE1456"/>
      <c r="BG1456"/>
    </row>
    <row r="1457" spans="52:59">
      <c r="AZ1457"/>
      <c r="BA1457"/>
      <c r="BB1457"/>
      <c r="BC1457"/>
      <c r="BD1457"/>
      <c r="BE1457"/>
      <c r="BG1457"/>
    </row>
    <row r="1458" spans="52:59">
      <c r="AZ1458"/>
      <c r="BA1458"/>
      <c r="BB1458"/>
      <c r="BC1458"/>
      <c r="BD1458"/>
      <c r="BE1458"/>
      <c r="BG1458"/>
    </row>
    <row r="1459" spans="52:59">
      <c r="AZ1459"/>
      <c r="BA1459"/>
      <c r="BB1459"/>
      <c r="BC1459"/>
      <c r="BD1459"/>
      <c r="BE1459"/>
      <c r="BG1459"/>
    </row>
    <row r="1460" spans="52:59">
      <c r="AZ1460"/>
      <c r="BA1460"/>
      <c r="BB1460"/>
      <c r="BC1460"/>
      <c r="BD1460"/>
      <c r="BE1460"/>
      <c r="BG1460"/>
    </row>
    <row r="1461" spans="52:59">
      <c r="AZ1461"/>
      <c r="BA1461"/>
      <c r="BB1461"/>
      <c r="BC1461"/>
      <c r="BD1461"/>
      <c r="BE1461"/>
      <c r="BG1461"/>
    </row>
    <row r="1462" spans="52:59">
      <c r="AZ1462"/>
      <c r="BA1462"/>
      <c r="BB1462"/>
      <c r="BC1462"/>
      <c r="BD1462"/>
      <c r="BE1462"/>
      <c r="BG1462"/>
    </row>
    <row r="1463" spans="52:59">
      <c r="AZ1463"/>
      <c r="BA1463"/>
      <c r="BB1463"/>
      <c r="BC1463"/>
      <c r="BD1463"/>
      <c r="BE1463"/>
      <c r="BG1463"/>
    </row>
    <row r="1464" spans="52:59">
      <c r="AZ1464"/>
      <c r="BA1464"/>
      <c r="BB1464"/>
      <c r="BC1464"/>
      <c r="BD1464"/>
      <c r="BE1464"/>
      <c r="BG1464"/>
    </row>
    <row r="1465" spans="52:59">
      <c r="AZ1465"/>
      <c r="BA1465"/>
      <c r="BB1465"/>
      <c r="BC1465"/>
      <c r="BD1465"/>
      <c r="BE1465"/>
      <c r="BG1465"/>
    </row>
    <row r="1466" spans="52:59">
      <c r="AZ1466"/>
      <c r="BA1466"/>
      <c r="BB1466"/>
      <c r="BC1466"/>
      <c r="BD1466"/>
      <c r="BE1466"/>
      <c r="BG1466"/>
    </row>
    <row r="1467" spans="52:59">
      <c r="AZ1467"/>
      <c r="BA1467"/>
      <c r="BB1467"/>
      <c r="BC1467"/>
      <c r="BD1467"/>
      <c r="BE1467"/>
      <c r="BG1467"/>
    </row>
    <row r="1468" spans="52:59">
      <c r="AZ1468"/>
      <c r="BA1468"/>
      <c r="BB1468"/>
      <c r="BC1468"/>
      <c r="BD1468"/>
      <c r="BE1468"/>
      <c r="BG1468"/>
    </row>
    <row r="1469" spans="52:59">
      <c r="AZ1469"/>
      <c r="BA1469"/>
      <c r="BB1469"/>
      <c r="BC1469"/>
      <c r="BD1469"/>
      <c r="BE1469"/>
      <c r="BG1469"/>
    </row>
    <row r="1470" spans="52:59">
      <c r="AZ1470"/>
      <c r="BA1470"/>
      <c r="BB1470"/>
      <c r="BC1470"/>
      <c r="BD1470"/>
      <c r="BE1470"/>
      <c r="BG1470"/>
    </row>
    <row r="1471" spans="52:59">
      <c r="AZ1471"/>
      <c r="BA1471"/>
      <c r="BB1471"/>
      <c r="BC1471"/>
      <c r="BD1471"/>
      <c r="BE1471"/>
      <c r="BG1471"/>
    </row>
    <row r="1472" spans="52:59">
      <c r="AZ1472"/>
      <c r="BA1472"/>
      <c r="BB1472"/>
      <c r="BC1472"/>
      <c r="BD1472"/>
      <c r="BE1472"/>
      <c r="BG1472"/>
    </row>
    <row r="1473" spans="52:59">
      <c r="AZ1473"/>
      <c r="BA1473"/>
      <c r="BB1473"/>
      <c r="BC1473"/>
      <c r="BD1473"/>
      <c r="BE1473"/>
      <c r="BG1473"/>
    </row>
    <row r="1474" spans="52:59">
      <c r="AZ1474"/>
      <c r="BA1474"/>
      <c r="BB1474"/>
      <c r="BC1474"/>
      <c r="BD1474"/>
      <c r="BE1474"/>
      <c r="BG1474"/>
    </row>
    <row r="1475" spans="52:59">
      <c r="AZ1475"/>
      <c r="BA1475"/>
      <c r="BB1475"/>
      <c r="BC1475"/>
      <c r="BD1475"/>
      <c r="BE1475"/>
      <c r="BG1475"/>
    </row>
    <row r="1476" spans="52:59">
      <c r="AZ1476"/>
      <c r="BA1476"/>
      <c r="BB1476"/>
      <c r="BC1476"/>
      <c r="BD1476"/>
      <c r="BE1476"/>
      <c r="BG1476"/>
    </row>
    <row r="1477" spans="52:59">
      <c r="AZ1477"/>
      <c r="BA1477"/>
      <c r="BB1477"/>
      <c r="BC1477"/>
      <c r="BD1477"/>
      <c r="BE1477"/>
      <c r="BG1477"/>
    </row>
    <row r="1478" spans="52:59">
      <c r="AZ1478"/>
      <c r="BA1478"/>
      <c r="BB1478"/>
      <c r="BC1478"/>
      <c r="BD1478"/>
      <c r="BE1478"/>
      <c r="BG1478"/>
    </row>
    <row r="1479" spans="52:59">
      <c r="AZ1479"/>
      <c r="BA1479"/>
      <c r="BB1479"/>
      <c r="BC1479"/>
      <c r="BD1479"/>
      <c r="BE1479"/>
      <c r="BG1479"/>
    </row>
    <row r="1480" spans="52:59">
      <c r="AZ1480"/>
      <c r="BA1480"/>
      <c r="BB1480"/>
      <c r="BC1480"/>
      <c r="BD1480"/>
      <c r="BE1480"/>
      <c r="BG1480"/>
    </row>
    <row r="1481" spans="52:59">
      <c r="AZ1481"/>
      <c r="BA1481"/>
      <c r="BB1481"/>
      <c r="BC1481"/>
      <c r="BD1481"/>
      <c r="BE1481"/>
      <c r="BG1481"/>
    </row>
    <row r="1482" spans="52:59">
      <c r="AZ1482"/>
      <c r="BA1482"/>
      <c r="BB1482"/>
      <c r="BC1482"/>
      <c r="BD1482"/>
      <c r="BE1482"/>
      <c r="BG1482"/>
    </row>
    <row r="1483" spans="52:59">
      <c r="AZ1483"/>
      <c r="BA1483"/>
      <c r="BB1483"/>
      <c r="BC1483"/>
      <c r="BD1483"/>
      <c r="BE1483"/>
      <c r="BG1483"/>
    </row>
    <row r="1484" spans="52:59">
      <c r="AZ1484"/>
      <c r="BA1484"/>
      <c r="BB1484"/>
      <c r="BC1484"/>
      <c r="BD1484"/>
      <c r="BE1484"/>
      <c r="BG1484"/>
    </row>
    <row r="1485" spans="52:59">
      <c r="AZ1485"/>
      <c r="BA1485"/>
      <c r="BB1485"/>
      <c r="BC1485"/>
      <c r="BD1485"/>
      <c r="BE1485"/>
      <c r="BG1485"/>
    </row>
    <row r="1486" spans="52:59">
      <c r="AZ1486"/>
      <c r="BA1486"/>
      <c r="BB1486"/>
      <c r="BC1486"/>
      <c r="BD1486"/>
      <c r="BE1486"/>
      <c r="BG1486"/>
    </row>
    <row r="1487" spans="52:59">
      <c r="AZ1487"/>
      <c r="BA1487"/>
      <c r="BB1487"/>
      <c r="BC1487"/>
      <c r="BD1487"/>
      <c r="BE1487"/>
      <c r="BG1487"/>
    </row>
    <row r="1488" spans="52:59">
      <c r="AZ1488"/>
      <c r="BA1488"/>
      <c r="BB1488"/>
      <c r="BC1488"/>
      <c r="BD1488"/>
      <c r="BE1488"/>
      <c r="BG1488"/>
    </row>
    <row r="1489" spans="52:59">
      <c r="AZ1489"/>
      <c r="BA1489"/>
      <c r="BB1489"/>
      <c r="BC1489"/>
      <c r="BD1489"/>
      <c r="BE1489"/>
      <c r="BG1489"/>
    </row>
  </sheetData>
  <sortState ref="D5:BD97">
    <sortCondition ref="AZ4"/>
  </sortState>
  <mergeCells count="3">
    <mergeCell ref="A3:B3"/>
    <mergeCell ref="A4:A5"/>
    <mergeCell ref="B4:B5"/>
  </mergeCells>
  <conditionalFormatting sqref="D$1:AY$1048576">
    <cfRule type="expression" dxfId="0" priority="22">
      <formula>OR(WEEKDAY(D$4)=1,WEEKDAY(D$4)=7)</formula>
    </cfRule>
  </conditionalFormatting>
  <conditionalFormatting sqref="D6:AY187">
    <cfRule type="expression" dxfId="1" priority="1">
      <formula>AND(MONTH(D$4)&lt;&gt;MONTH($B$4),D$4&lt;&gt;"")</formula>
    </cfRule>
    <cfRule type="expression" dxfId="1" priority="2">
      <formula>AND((D$3="X"),D$4&lt;&gt;"")</formula>
    </cfRule>
    <cfRule type="expression" dxfId="2" priority="3">
      <formula>AND((D$3="ÃÂ½"),D$4&lt;&gt;"")</formula>
    </cfRule>
  </conditionalFormatting>
  <pageMargins left="0.7" right="0.7" top="0.75" bottom="0.75" header="0.3" footer="0.3"/>
  <pageSetup paperSize="1" orientation="portrait"/>
  <headerFooter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2" id="{3fe75d4d-3bc2-4280-9dbd-beaa58a27808}">
            <x14:iconSet iconSet="3Symbols2" custom="1" showValue="0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2"/>
              <x14:cfIcon iconSet="3Symbols2" iconId="1"/>
            </x14:iconSet>
          </x14:cfRule>
          <xm:sqref>A6:A1022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theme="2" tint="-0.749992370372631"/>
    <pageSetUpPr fitToPage="1"/>
  </sheetPr>
  <dimension ref="B1:X37"/>
  <sheetViews>
    <sheetView showGridLines="0" topLeftCell="A10" workbookViewId="0">
      <selection activeCell="Q2" sqref="Q2"/>
    </sheetView>
  </sheetViews>
  <sheetFormatPr defaultColWidth="8.85714285714286" defaultRowHeight="18.75" customHeight="1"/>
  <cols>
    <col min="1" max="1" width="0.857142857142857" style="1" customWidth="1"/>
    <col min="2" max="2" width="2.71428571428571" style="1" customWidth="1"/>
    <col min="3" max="3" width="17.2857142857143" style="1" customWidth="1"/>
    <col min="4" max="4" width="14.1428571428571" style="1" customWidth="1"/>
    <col min="5" max="5" width="8.42857142857143" style="1" customWidth="1"/>
    <col min="6" max="6" width="2.71428571428571" style="1" customWidth="1"/>
    <col min="7" max="7" width="12.4285714285714" style="1" customWidth="1"/>
    <col min="8" max="8" width="5.71428571428571" style="1" customWidth="1"/>
    <col min="9" max="9" width="11.1428571428571" style="1" customWidth="1"/>
    <col min="10" max="10" width="6.71428571428571" style="2" customWidth="1"/>
    <col min="11" max="11" width="2.71428571428571" style="2" customWidth="1"/>
    <col min="12" max="12" width="12.7142857142857" style="3" customWidth="1"/>
    <col min="13" max="13" width="2.71428571428571" style="3" customWidth="1"/>
    <col min="14" max="14" width="12.7142857142857" style="3" customWidth="1"/>
    <col min="15" max="15" width="8.85714285714286" style="1"/>
    <col min="16" max="16" width="2.71428571428571" style="1" customWidth="1"/>
    <col min="17" max="17" width="3.71428571428571" style="4" customWidth="1"/>
    <col min="18" max="18" width="0.428571428571429" style="4" customWidth="1"/>
    <col min="19" max="19" width="2.71428571428571" style="4" customWidth="1"/>
    <col min="20" max="20" width="8.85714285714286" style="4"/>
    <col min="21" max="21" width="4.71428571428571" style="4" customWidth="1"/>
    <col min="22" max="22" width="8.85714285714286" style="4"/>
    <col min="23" max="23" width="9.57142857142857" style="1" customWidth="1"/>
    <col min="24" max="24" width="9.28571428571429" style="1" customWidth="1"/>
    <col min="25" max="16384" width="8.85714285714286" style="1"/>
  </cols>
  <sheetData>
    <row r="1" ht="4.9" customHeight="1"/>
    <row r="2" ht="30" customHeight="1" spans="2:22">
      <c r="B2" s="5"/>
      <c r="C2" s="6"/>
      <c r="D2" s="183" t="s">
        <v>836</v>
      </c>
      <c r="E2" s="8"/>
      <c r="F2" s="6"/>
      <c r="G2" s="8"/>
      <c r="H2" s="8"/>
      <c r="I2" s="8"/>
      <c r="J2" s="52"/>
      <c r="K2" s="52"/>
      <c r="L2" s="53"/>
      <c r="M2" s="53"/>
      <c r="N2" s="53"/>
      <c r="O2" s="54" t="s">
        <v>837</v>
      </c>
      <c r="P2" s="55"/>
      <c r="Q2" s="102"/>
      <c r="R2" s="102"/>
      <c r="S2" s="102"/>
      <c r="T2" s="102"/>
      <c r="U2" s="102"/>
      <c r="V2" s="102"/>
    </row>
    <row r="3" ht="18" customHeight="1" spans="2:22">
      <c r="B3" s="9"/>
      <c r="D3" s="10">
        <v>100010069</v>
      </c>
      <c r="E3" s="11"/>
      <c r="F3" s="12"/>
      <c r="G3" s="13"/>
      <c r="H3" s="14"/>
      <c r="I3" s="14"/>
      <c r="J3" s="56"/>
      <c r="K3" s="56"/>
      <c r="L3" s="57"/>
      <c r="M3" s="58"/>
      <c r="N3" s="59" t="s">
        <v>838</v>
      </c>
      <c r="O3" s="60"/>
      <c r="P3" s="61"/>
      <c r="Q3" s="102"/>
      <c r="R3" s="103"/>
      <c r="S3" s="103"/>
      <c r="T3" s="103" t="s">
        <v>839</v>
      </c>
      <c r="U3" s="104"/>
      <c r="V3" s="102"/>
    </row>
    <row r="4" ht="10.15" customHeight="1" spans="2:22">
      <c r="B4" s="9"/>
      <c r="C4" s="14"/>
      <c r="D4" s="14"/>
      <c r="E4" s="14"/>
      <c r="F4" s="14"/>
      <c r="G4" s="14"/>
      <c r="H4" s="14"/>
      <c r="I4" s="14"/>
      <c r="J4" s="56"/>
      <c r="K4" s="56"/>
      <c r="L4" s="58"/>
      <c r="M4" s="58"/>
      <c r="N4" s="58"/>
      <c r="O4" s="14"/>
      <c r="P4" s="61"/>
      <c r="Q4" s="102"/>
      <c r="R4" s="105"/>
      <c r="S4" s="105"/>
      <c r="T4" s="105"/>
      <c r="U4" s="105"/>
      <c r="V4" s="102"/>
    </row>
    <row r="5" ht="15" customHeight="1" spans="2:24">
      <c r="B5" s="9"/>
      <c r="C5" s="15">
        <f>IF(ISNUMBER(MonthNumber),DATE(YearNumber,MonthNumber,1),"Select Date")</f>
        <v>43831</v>
      </c>
      <c r="D5" s="16"/>
      <c r="E5" s="16"/>
      <c r="F5" s="16"/>
      <c r="G5" s="17"/>
      <c r="H5" s="18"/>
      <c r="I5" s="62" t="s">
        <v>840</v>
      </c>
      <c r="J5" s="63"/>
      <c r="K5" s="64"/>
      <c r="L5" s="64"/>
      <c r="M5" s="64"/>
      <c r="N5" s="64"/>
      <c r="O5" s="65"/>
      <c r="P5" s="61"/>
      <c r="Q5" s="102"/>
      <c r="R5" s="105"/>
      <c r="S5" s="105"/>
      <c r="T5" s="106">
        <v>2020</v>
      </c>
      <c r="U5" s="105"/>
      <c r="V5" s="102"/>
      <c r="W5" s="107">
        <f>Period</f>
        <v>43831</v>
      </c>
      <c r="X5" s="108"/>
    </row>
    <row r="6" ht="15" customHeight="1" spans="2:24">
      <c r="B6" s="9"/>
      <c r="C6" s="19"/>
      <c r="D6" s="20"/>
      <c r="E6" s="20"/>
      <c r="F6" s="20"/>
      <c r="G6" s="21"/>
      <c r="H6" s="14"/>
      <c r="I6" s="66"/>
      <c r="J6" s="67"/>
      <c r="K6" s="67"/>
      <c r="L6" s="67"/>
      <c r="M6" s="67"/>
      <c r="N6" s="67"/>
      <c r="O6" s="68"/>
      <c r="P6" s="61"/>
      <c r="Q6" s="102"/>
      <c r="R6" s="105"/>
      <c r="S6" s="105"/>
      <c r="T6" s="109"/>
      <c r="U6" s="105"/>
      <c r="V6" s="102"/>
      <c r="W6" s="107">
        <f>WEEKDAY(Period)</f>
        <v>4</v>
      </c>
      <c r="X6" s="107">
        <f>W5-2+1</f>
        <v>43830</v>
      </c>
    </row>
    <row r="7" ht="15" customHeight="1" spans="2:24">
      <c r="B7" s="9"/>
      <c r="C7" s="22"/>
      <c r="D7" s="22"/>
      <c r="E7" s="22"/>
      <c r="F7" s="23"/>
      <c r="G7" s="23" t="s">
        <v>841</v>
      </c>
      <c r="H7" s="14"/>
      <c r="I7" s="69"/>
      <c r="J7" s="67"/>
      <c r="K7" s="67"/>
      <c r="L7" s="67"/>
      <c r="M7" s="67"/>
      <c r="N7" s="67"/>
      <c r="O7" s="68"/>
      <c r="P7" s="61"/>
      <c r="Q7" s="102"/>
      <c r="R7" s="105"/>
      <c r="S7" s="110">
        <v>1</v>
      </c>
      <c r="T7" s="106" t="str">
        <f>CHOOSE(MonthNumber,"January","February","March","April","May","June","July","August","September","October","November","December")</f>
        <v>January</v>
      </c>
      <c r="U7" s="105"/>
      <c r="V7" s="102"/>
      <c r="W7" s="108"/>
      <c r="X7" s="108"/>
    </row>
    <row r="8" ht="4.5" customHeight="1" spans="2:24">
      <c r="B8" s="9"/>
      <c r="C8" s="14"/>
      <c r="D8" s="14"/>
      <c r="E8" s="14"/>
      <c r="F8" s="14"/>
      <c r="G8" s="24"/>
      <c r="H8" s="14"/>
      <c r="I8" s="66"/>
      <c r="J8" s="67"/>
      <c r="K8" s="67"/>
      <c r="L8" s="67"/>
      <c r="M8" s="67"/>
      <c r="N8" s="67"/>
      <c r="O8" s="68"/>
      <c r="P8" s="61"/>
      <c r="Q8" s="102"/>
      <c r="R8" s="105"/>
      <c r="S8" s="105"/>
      <c r="T8" s="105"/>
      <c r="U8" s="105"/>
      <c r="V8" s="102"/>
      <c r="W8" s="108"/>
      <c r="X8" s="108"/>
    </row>
    <row r="9" ht="25.15" customHeight="1" spans="2:24">
      <c r="B9" s="9"/>
      <c r="C9" s="25"/>
      <c r="D9" s="25"/>
      <c r="E9" s="25"/>
      <c r="F9" s="14"/>
      <c r="G9" s="26"/>
      <c r="H9" s="14"/>
      <c r="I9" s="66"/>
      <c r="J9" s="67"/>
      <c r="K9" s="67"/>
      <c r="L9" s="67"/>
      <c r="M9" s="67"/>
      <c r="N9" s="67"/>
      <c r="O9" s="68"/>
      <c r="P9" s="61"/>
      <c r="Q9" s="102"/>
      <c r="R9" s="102"/>
      <c r="S9" s="102"/>
      <c r="T9" s="102"/>
      <c r="U9" s="102"/>
      <c r="V9" s="102"/>
      <c r="W9" s="107">
        <f ca="1">TODAY()</f>
        <v>43817</v>
      </c>
      <c r="X9" s="108">
        <f ca="1">WEEKDAY(W9)</f>
        <v>4</v>
      </c>
    </row>
    <row r="10" ht="5.25" customHeight="1" spans="2:24">
      <c r="B10" s="9"/>
      <c r="C10" s="14"/>
      <c r="D10" s="14"/>
      <c r="E10" s="14"/>
      <c r="F10" s="14"/>
      <c r="G10" s="27"/>
      <c r="H10" s="14"/>
      <c r="I10" s="66"/>
      <c r="J10" s="67"/>
      <c r="K10" s="67"/>
      <c r="L10" s="67"/>
      <c r="M10" s="67"/>
      <c r="N10" s="67"/>
      <c r="O10" s="68"/>
      <c r="P10" s="61"/>
      <c r="Q10" s="102"/>
      <c r="R10" s="102"/>
      <c r="S10" s="102"/>
      <c r="T10" s="102"/>
      <c r="U10" s="102"/>
      <c r="V10" s="102"/>
      <c r="W10" s="107"/>
      <c r="X10" s="108"/>
    </row>
    <row r="11" ht="10.15" customHeight="1" outlineLevel="1" spans="2:24">
      <c r="B11" s="9"/>
      <c r="C11" s="28"/>
      <c r="D11" s="28"/>
      <c r="E11" s="28"/>
      <c r="F11" s="28"/>
      <c r="G11" s="28"/>
      <c r="H11" s="14"/>
      <c r="I11" s="66"/>
      <c r="J11" s="67"/>
      <c r="K11" s="67"/>
      <c r="L11" s="67"/>
      <c r="M11" s="67"/>
      <c r="N11" s="67"/>
      <c r="O11" s="68"/>
      <c r="P11" s="61"/>
      <c r="Q11" s="102"/>
      <c r="R11" s="102"/>
      <c r="S11" s="111" t="s">
        <v>842</v>
      </c>
      <c r="T11" s="112"/>
      <c r="U11" s="112"/>
      <c r="V11" s="113"/>
      <c r="W11" s="107">
        <f ca="1">W9+1</f>
        <v>43818</v>
      </c>
      <c r="X11" s="108">
        <f ca="1">WEEKDAY(W11)</f>
        <v>5</v>
      </c>
    </row>
    <row r="12" ht="10.15" customHeight="1" outlineLevel="1" spans="2:24">
      <c r="B12" s="9"/>
      <c r="H12" s="14"/>
      <c r="I12" s="70"/>
      <c r="J12" s="71"/>
      <c r="K12" s="71"/>
      <c r="L12" s="71"/>
      <c r="M12" s="71"/>
      <c r="N12" s="71"/>
      <c r="O12" s="72"/>
      <c r="P12" s="61"/>
      <c r="Q12" s="102"/>
      <c r="R12" s="102"/>
      <c r="S12" s="114">
        <v>1</v>
      </c>
      <c r="T12" s="115"/>
      <c r="U12" s="115"/>
      <c r="V12" s="116"/>
      <c r="W12" s="107">
        <f ca="1">W11+1</f>
        <v>43819</v>
      </c>
      <c r="X12" s="108">
        <f ca="1">WEEKDAY(W12)</f>
        <v>6</v>
      </c>
    </row>
    <row r="13" ht="12" customHeight="1" outlineLevel="1" spans="2:23">
      <c r="B13" s="9"/>
      <c r="C13" s="29"/>
      <c r="D13" s="29"/>
      <c r="E13" s="30"/>
      <c r="F13" s="31"/>
      <c r="G13" s="31">
        <f ca="1">AVERAGE(NoOfCalls_01,NoOfCalls_02)</f>
        <v>6.48387096774194</v>
      </c>
      <c r="H13" s="14"/>
      <c r="I13" s="73"/>
      <c r="J13" s="74"/>
      <c r="K13" s="74"/>
      <c r="L13" s="74"/>
      <c r="M13" s="74"/>
      <c r="N13" s="74"/>
      <c r="O13" s="75"/>
      <c r="P13" s="61"/>
      <c r="Q13" s="102"/>
      <c r="R13" s="102"/>
      <c r="S13" s="114">
        <v>2</v>
      </c>
      <c r="T13" s="115"/>
      <c r="U13" s="115"/>
      <c r="V13" s="116"/>
      <c r="W13" s="117"/>
    </row>
    <row r="14" ht="12" customHeight="1" outlineLevel="1" spans="2:23">
      <c r="B14" s="9"/>
      <c r="C14" s="29"/>
      <c r="D14" s="29"/>
      <c r="E14" s="30"/>
      <c r="F14" s="32"/>
      <c r="G14" s="32">
        <f>(COUNTA(JP!AZ:AZ)-COUNTIF(JP!A:A,0))/COUNTA(JP!AZ:AZ)</f>
        <v>0.988142292490119</v>
      </c>
      <c r="H14" s="14"/>
      <c r="I14" s="73"/>
      <c r="J14" s="74"/>
      <c r="K14" s="74"/>
      <c r="L14" s="74"/>
      <c r="M14" s="74"/>
      <c r="N14" s="74"/>
      <c r="O14" s="75"/>
      <c r="P14" s="61"/>
      <c r="Q14" s="102"/>
      <c r="R14" s="102"/>
      <c r="S14" s="114">
        <v>3</v>
      </c>
      <c r="T14" s="115"/>
      <c r="U14" s="115"/>
      <c r="V14" s="116"/>
      <c r="W14" s="117"/>
    </row>
    <row r="15" ht="12" customHeight="1" outlineLevel="1" spans="2:23">
      <c r="B15" s="9"/>
      <c r="C15" s="29"/>
      <c r="D15" s="29"/>
      <c r="E15" s="30"/>
      <c r="F15" s="33"/>
      <c r="G15" s="33">
        <f>G9-C9</f>
        <v>0</v>
      </c>
      <c r="H15" s="14"/>
      <c r="I15" s="76" t="s">
        <v>843</v>
      </c>
      <c r="J15" s="77"/>
      <c r="K15" s="77"/>
      <c r="L15" s="78" t="s">
        <v>844</v>
      </c>
      <c r="M15" s="78"/>
      <c r="N15" s="77" t="s">
        <v>845</v>
      </c>
      <c r="O15" s="79"/>
      <c r="P15" s="61"/>
      <c r="Q15" s="102"/>
      <c r="R15" s="102"/>
      <c r="S15" s="114">
        <v>4</v>
      </c>
      <c r="T15" s="115"/>
      <c r="U15" s="115"/>
      <c r="V15" s="116"/>
      <c r="W15" s="117"/>
    </row>
    <row r="16" ht="12" customHeight="1" outlineLevel="1" spans="2:23">
      <c r="B16" s="9"/>
      <c r="C16" s="29"/>
      <c r="D16" s="29"/>
      <c r="E16" s="30"/>
      <c r="F16" s="33"/>
      <c r="G16" s="33">
        <f>COUNTA(JP!AZ:AZ)</f>
        <v>253</v>
      </c>
      <c r="H16" s="14"/>
      <c r="I16" s="80" t="s">
        <v>846</v>
      </c>
      <c r="J16" s="80"/>
      <c r="K16" s="80"/>
      <c r="L16" s="81" t="s">
        <v>847</v>
      </c>
      <c r="M16" s="81"/>
      <c r="N16" s="81" t="s">
        <v>848</v>
      </c>
      <c r="O16" s="81"/>
      <c r="P16" s="61"/>
      <c r="Q16" s="102"/>
      <c r="R16" s="102"/>
      <c r="S16" s="114"/>
      <c r="T16" s="115"/>
      <c r="U16" s="115"/>
      <c r="V16" s="116"/>
      <c r="W16" s="117"/>
    </row>
    <row r="17" ht="10.15" customHeight="1" outlineLevel="1" spans="2:23">
      <c r="B17" s="34"/>
      <c r="C17" s="35"/>
      <c r="D17" s="35"/>
      <c r="E17" s="36"/>
      <c r="F17" s="36"/>
      <c r="G17" s="37"/>
      <c r="H17" s="38"/>
      <c r="I17" s="38"/>
      <c r="J17" s="38"/>
      <c r="K17" s="38"/>
      <c r="L17" s="38"/>
      <c r="M17" s="38"/>
      <c r="N17" s="38"/>
      <c r="O17" s="38"/>
      <c r="P17" s="82"/>
      <c r="Q17" s="102"/>
      <c r="R17" s="102"/>
      <c r="S17" s="114"/>
      <c r="T17" s="115"/>
      <c r="U17" s="115"/>
      <c r="V17" s="116"/>
      <c r="W17" s="117"/>
    </row>
    <row r="18" ht="13.9" customHeight="1" spans="2:23">
      <c r="B18" s="9"/>
      <c r="C18" s="39"/>
      <c r="D18" s="39"/>
      <c r="E18" s="40" t="s">
        <v>849</v>
      </c>
      <c r="F18" s="41"/>
      <c r="G18" s="40" t="s">
        <v>850</v>
      </c>
      <c r="H18" s="14"/>
      <c r="I18" s="83"/>
      <c r="J18" s="84" t="s">
        <v>851</v>
      </c>
      <c r="K18" s="84"/>
      <c r="L18" s="85" t="s">
        <v>849</v>
      </c>
      <c r="M18" s="86"/>
      <c r="N18" s="85" t="s">
        <v>850</v>
      </c>
      <c r="O18" s="87"/>
      <c r="P18" s="88"/>
      <c r="Q18" s="102"/>
      <c r="R18" s="102"/>
      <c r="S18" s="114"/>
      <c r="T18" s="115"/>
      <c r="U18" s="115"/>
      <c r="V18" s="116"/>
      <c r="W18" s="117"/>
    </row>
    <row r="19" ht="13.9" customHeight="1" spans="2:23">
      <c r="B19" s="9"/>
      <c r="C19" s="42"/>
      <c r="D19" s="43"/>
      <c r="E19" s="44" t="str">
        <f ca="1">IF(MONTH(Period)=MONTH(JP!D$4),COUNTA(JP!D$6:JP!D$65517),"")</f>
        <v/>
      </c>
      <c r="F19" s="45"/>
      <c r="G19" s="46"/>
      <c r="H19" s="47" t="str">
        <f>IF(MONTH(Period)=MONTH(JP!D$4),IF(JP!D$3&lt;&gt;"",JP!D$3,""),"")</f>
        <v/>
      </c>
      <c r="I19" s="83"/>
      <c r="J19" s="89">
        <f>IF(MONTH(Period)=MONTH(JP!X$4),JP!X$4,"")</f>
        <v>43846</v>
      </c>
      <c r="K19" s="90"/>
      <c r="L19" s="91">
        <f ca="1">IF(MONTH(Period)=MONTH(JP!X$4),COUNTA(JP!X$6:JP!X$65517),"")</f>
        <v>10</v>
      </c>
      <c r="M19" s="83"/>
      <c r="N19" s="92"/>
      <c r="O19" s="93" t="str">
        <f>IF(MONTH(Period)=MONTH(JP!X$4),IF(JP!X$3&lt;&gt;"",JP!X$3,""),"")</f>
        <v/>
      </c>
      <c r="P19" s="88"/>
      <c r="Q19" s="102"/>
      <c r="R19" s="118"/>
      <c r="S19" s="119"/>
      <c r="T19" s="120"/>
      <c r="U19" s="115"/>
      <c r="V19" s="116"/>
      <c r="W19" s="117"/>
    </row>
    <row r="20" ht="13.9" customHeight="1" spans="2:22">
      <c r="B20" s="9"/>
      <c r="C20" s="42">
        <f>IF(MONTH(Period)=MONTH(JP!X$4),JP!E$4,"")</f>
        <v>43829</v>
      </c>
      <c r="D20" s="43"/>
      <c r="E20" s="48" t="str">
        <f ca="1">IF(MONTH(Period)=MONTH(JP!E$4),COUNTA(JP!E$6:JP!E$65517),"")</f>
        <v/>
      </c>
      <c r="F20" s="45"/>
      <c r="G20" s="49"/>
      <c r="H20" s="47" t="str">
        <f>IF(MONTH(Period)=MONTH(JP!E$4),IF(JP!E$3&lt;&gt;"",JP!E$3,""),"")</f>
        <v/>
      </c>
      <c r="I20" s="83"/>
      <c r="J20" s="94">
        <f>IF(MONTH(Period)=MONTH(JP!Y$4),JP!Y$4,"")</f>
        <v>43847</v>
      </c>
      <c r="K20" s="90"/>
      <c r="L20" s="95">
        <f ca="1">IF(MONTH(Period)=MONTH(JP!Y$4),COUNTA(JP!Y$6:JP!Y$65517),"")</f>
        <v>6</v>
      </c>
      <c r="M20" s="83"/>
      <c r="N20" s="96"/>
      <c r="O20" s="93" t="str">
        <f>IF(MONTH(Period)=MONTH(JP!Y$4),IF(JP!Y$3&lt;&gt;"",JP!Y$3,""),"")</f>
        <v/>
      </c>
      <c r="P20" s="88"/>
      <c r="Q20" s="102"/>
      <c r="R20" s="118"/>
      <c r="S20" s="119"/>
      <c r="T20" s="120"/>
      <c r="U20" s="115"/>
      <c r="V20" s="116"/>
    </row>
    <row r="21" ht="13.9" customHeight="1" spans="2:22">
      <c r="B21" s="9"/>
      <c r="C21" s="42">
        <f>IF(MONTH(Period)=MONTH(JP!X$4),JP!F$4,"")</f>
        <v>43830</v>
      </c>
      <c r="D21" s="43"/>
      <c r="E21" s="48" t="str">
        <f ca="1">IF(MONTH(Period)=MONTH(JP!F$4),COUNTA(JP!F$6:JP!F$65517),"")</f>
        <v/>
      </c>
      <c r="F21" s="45"/>
      <c r="G21" s="49"/>
      <c r="H21" s="47" t="str">
        <f>IF(MONTH(Period)=MONTH(JP!F$4),IF(JP!F$3&lt;&gt;"",JP!F$3,""),"")</f>
        <v/>
      </c>
      <c r="I21" s="83"/>
      <c r="J21" s="97">
        <f>IF(MONTH(Period)=MONTH(JP!Z$4),JP!Z$4,"")</f>
        <v>43848</v>
      </c>
      <c r="K21" s="90"/>
      <c r="L21" s="95">
        <f ca="1">IF(MONTH(Period)=MONTH(JP!Z$4),COUNTA(JP!Z$6:JP!Z$65517),"")</f>
        <v>0</v>
      </c>
      <c r="M21" s="83"/>
      <c r="N21" s="96"/>
      <c r="O21" s="93" t="str">
        <f>IF(MONTH(Period)=MONTH(JP!Z$4),IF(JP!Z$3&lt;&gt;"",JP!Z$3,""),"")</f>
        <v/>
      </c>
      <c r="P21" s="88"/>
      <c r="Q21" s="102"/>
      <c r="R21" s="102"/>
      <c r="S21" s="114"/>
      <c r="T21" s="115"/>
      <c r="U21" s="115"/>
      <c r="V21" s="116"/>
    </row>
    <row r="22" ht="13.9" customHeight="1" spans="2:22">
      <c r="B22" s="9"/>
      <c r="C22" s="42">
        <f>IF(MONTH(Period)=MONTH(JP!X$4),JP!G$4,"")</f>
        <v>43831</v>
      </c>
      <c r="D22" s="43"/>
      <c r="E22" s="48">
        <f ca="1">IF(MONTH(Period)=MONTH(JP!G$4),COUNTA(JP!G$6:JP!G$65517),"")</f>
        <v>10</v>
      </c>
      <c r="F22" s="45"/>
      <c r="G22" s="49"/>
      <c r="H22" s="47" t="str">
        <f>IF(MONTH(Period)=MONTH(JP!G$4),IF(JP!G$3&lt;&gt;"",JP!G$3,""),"")</f>
        <v/>
      </c>
      <c r="I22" s="83"/>
      <c r="J22" s="97">
        <f>IF(MONTH(Period)=MONTH(JP!AB$4),JP!AB$4,"")</f>
        <v>43849</v>
      </c>
      <c r="K22" s="90"/>
      <c r="L22" s="95">
        <f ca="1">IF(MONTH(Period)=MONTH(JP!AB$4),COUNTA(JP!AB$6:JP!AB$65517),"")</f>
        <v>0</v>
      </c>
      <c r="M22" s="83"/>
      <c r="N22" s="96"/>
      <c r="O22" s="93" t="str">
        <f>IF(MONTH(Period)=MONTH(JP!AB$4),IF(JP!AB$3&lt;&gt;"",JP!AB$3,""),"")</f>
        <v/>
      </c>
      <c r="P22" s="88"/>
      <c r="Q22" s="102"/>
      <c r="R22" s="102"/>
      <c r="S22" s="114"/>
      <c r="T22" s="115"/>
      <c r="U22" s="115"/>
      <c r="V22" s="116"/>
    </row>
    <row r="23" ht="13.9" customHeight="1" spans="2:22">
      <c r="B23" s="9"/>
      <c r="C23" s="42">
        <f>IF(MONTH(Period)=MONTH(JP!X$4),JP!H$4,"")</f>
        <v>43832</v>
      </c>
      <c r="D23" s="43"/>
      <c r="E23" s="48">
        <f ca="1">IF(MONTH(Period)=MONTH(JP!H$4),COUNTA(JP!H$6:JP!H$65517),"")</f>
        <v>6</v>
      </c>
      <c r="F23" s="45"/>
      <c r="G23" s="49"/>
      <c r="H23" s="47" t="str">
        <f>IF(MONTH(Period)=MONTH(JP!H$4),IF(JP!H$3&lt;&gt;"",JP!H$3,""),"")</f>
        <v/>
      </c>
      <c r="I23" s="83"/>
      <c r="J23" s="94">
        <f>IF(MONTH(Period)=MONTH(JP!AC$4),JP!AC$4,"")</f>
        <v>43850</v>
      </c>
      <c r="K23" s="90"/>
      <c r="L23" s="95">
        <f ca="1">IF(MONTH(Period)=MONTH(JP!AC$4),COUNTA(JP!AC$6:JP!AC$65517),"")</f>
        <v>3</v>
      </c>
      <c r="M23" s="83"/>
      <c r="N23" s="96"/>
      <c r="O23" s="93" t="str">
        <f>IF(MONTH(Period)=MONTH(JP!AC$4),IF(JP!AC$3&lt;&gt;"",JP!AC$3,""),"")</f>
        <v/>
      </c>
      <c r="P23" s="88"/>
      <c r="Q23" s="102"/>
      <c r="R23" s="102"/>
      <c r="S23" s="114"/>
      <c r="T23" s="115"/>
      <c r="U23" s="115"/>
      <c r="V23" s="116"/>
    </row>
    <row r="24" ht="13.9" customHeight="1" spans="2:22">
      <c r="B24" s="9"/>
      <c r="C24" s="42">
        <f>IF(MONTH(Period)=MONTH(JP!X$4),JP!I$4,"")</f>
        <v>43833</v>
      </c>
      <c r="D24" s="43"/>
      <c r="E24" s="48">
        <f ca="1">IF(MONTH(Period)=MONTH(JP!I$4),COUNTA(JP!I$6:JP!I$65517),"")</f>
        <v>7</v>
      </c>
      <c r="F24" s="45"/>
      <c r="G24" s="49"/>
      <c r="H24" s="47" t="str">
        <f>IF(MONTH(Period)=MONTH(JP!I$4),IF(JP!I$3&lt;&gt;"",JP!I$3,""),"")</f>
        <v/>
      </c>
      <c r="I24" s="83"/>
      <c r="J24" s="94">
        <f>IF(MONTH(Period)=MONTH(JP!AD$4),JP!AD$4,"")</f>
        <v>43851</v>
      </c>
      <c r="K24" s="90"/>
      <c r="L24" s="95">
        <f ca="1">IF(MONTH(Period)=MONTH(JP!AD$4),COUNTA(JP!AD$6:JP!AD$65517),"")</f>
        <v>11</v>
      </c>
      <c r="M24" s="83"/>
      <c r="N24" s="96"/>
      <c r="O24" s="93" t="str">
        <f>IF(MONTH(Period)=MONTH(JP!AD$4),IF(JP!AD$3&lt;&gt;"",JP!AD$3,""),"")</f>
        <v/>
      </c>
      <c r="P24" s="88"/>
      <c r="Q24" s="102"/>
      <c r="R24" s="102"/>
      <c r="S24" s="114"/>
      <c r="T24" s="115"/>
      <c r="U24" s="115"/>
      <c r="V24" s="116"/>
    </row>
    <row r="25" ht="13.9" customHeight="1" spans="2:22">
      <c r="B25" s="9"/>
      <c r="C25" s="42">
        <f>IF(MONTH(Period)=MONTH(JP!X$4),JP!J$4,"")</f>
        <v>43834</v>
      </c>
      <c r="D25" s="43"/>
      <c r="E25" s="48">
        <f ca="1">IF(MONTH(Period)=MONTH(JP!J$4),COUNTA(JP!J$6:JP!J$65517),"")</f>
        <v>0</v>
      </c>
      <c r="F25" s="45"/>
      <c r="G25" s="49"/>
      <c r="H25" s="47" t="str">
        <f>IF(MONTH(Period)=MONTH(JP!J$4),IF(JP!J$3&lt;&gt;"",JP!J$3,""),"")</f>
        <v/>
      </c>
      <c r="I25" s="83"/>
      <c r="J25" s="94">
        <f>IF(MONTH(Period)=MONTH(JP!AE$4),JP!AE$4,"")</f>
        <v>43852</v>
      </c>
      <c r="K25" s="90"/>
      <c r="L25" s="95">
        <f ca="1">IF(MONTH(Period)=MONTH(JP!AE$4),COUNTA(JP!AE$6:JP!AE$65517),"")</f>
        <v>16</v>
      </c>
      <c r="M25" s="83"/>
      <c r="N25" s="96"/>
      <c r="O25" s="93" t="str">
        <f>IF(MONTH(Period)=MONTH(JP!AE$4),IF(JP!AE$3&lt;&gt;"",JP!AE$3,""),"")</f>
        <v/>
      </c>
      <c r="P25" s="88"/>
      <c r="Q25" s="102"/>
      <c r="R25" s="102"/>
      <c r="S25" s="114"/>
      <c r="T25" s="115"/>
      <c r="U25" s="115"/>
      <c r="V25" s="116"/>
    </row>
    <row r="26" ht="13.9" customHeight="1" spans="2:22">
      <c r="B26" s="9"/>
      <c r="C26" s="42">
        <f>IF(MONTH(Period)=MONTH(JP!X$4),JP!L$4,"")</f>
        <v>43835</v>
      </c>
      <c r="D26" s="43"/>
      <c r="E26" s="48">
        <f ca="1">IF(MONTH(Period)=MONTH(JP!L$4),COUNTA(JP!L$6:JP!L$65517),"")</f>
        <v>0</v>
      </c>
      <c r="F26" s="45"/>
      <c r="G26" s="49"/>
      <c r="H26" s="47" t="str">
        <f>IF(MONTH(Period)=MONTH(JP!L$4),IF(JP!L$3&lt;&gt;"",JP!L$3,""),"")</f>
        <v/>
      </c>
      <c r="I26" s="83"/>
      <c r="J26" s="94">
        <f>IF(MONTH(Period)=MONTH(JP!AF$4),JP!AF$4,"")</f>
        <v>43853</v>
      </c>
      <c r="K26" s="90"/>
      <c r="L26" s="95">
        <f ca="1">IF(MONTH(Period)=MONTH(JP!AF$4),COUNTA(JP!AF$6:JP!AF$65517),"")</f>
        <v>9</v>
      </c>
      <c r="M26" s="83"/>
      <c r="N26" s="96"/>
      <c r="O26" s="93" t="str">
        <f>IF(MONTH(Period)=MONTH(JP!AF$4),IF(JP!AF$3&lt;&gt;"",JP!AF$3,""),"")</f>
        <v/>
      </c>
      <c r="P26" s="88"/>
      <c r="Q26" s="102"/>
      <c r="R26" s="102"/>
      <c r="S26" s="114"/>
      <c r="T26" s="115"/>
      <c r="U26" s="115"/>
      <c r="V26" s="116"/>
    </row>
    <row r="27" ht="13.9" customHeight="1" spans="2:22">
      <c r="B27" s="9"/>
      <c r="C27" s="42">
        <f>IF(MONTH(Period)=MONTH(JP!X$4),JP!M$4,"")</f>
        <v>43836</v>
      </c>
      <c r="D27" s="43"/>
      <c r="E27" s="48">
        <f ca="1">IF(MONTH(Period)=MONTH(JP!M$4),COUNTA(JP!M$6:JP!M$65517),"")</f>
        <v>8</v>
      </c>
      <c r="F27" s="45"/>
      <c r="G27" s="49"/>
      <c r="H27" s="47" t="str">
        <f>IF(MONTH(Period)=MONTH(JP!M$4),IF(JP!M$3&lt;&gt;"",JP!M$3,""),"")</f>
        <v/>
      </c>
      <c r="I27" s="83"/>
      <c r="J27" s="94">
        <f>IF(MONTH(Period)=MONTH(JP!AG$4),JP!AG$4,"")</f>
        <v>43854</v>
      </c>
      <c r="K27" s="90"/>
      <c r="L27" s="95">
        <f ca="1">IF(MONTH(Period)=MONTH(JP!AG$4),COUNTA(JP!AG$6:JP!AG$65517),"")</f>
        <v>11</v>
      </c>
      <c r="M27" s="83"/>
      <c r="N27" s="96"/>
      <c r="O27" s="93" t="str">
        <f>IF(MONTH(Period)=MONTH(JP!AG$4),IF(JP!AG$3&lt;&gt;"",JP!AG$3,""),"")</f>
        <v/>
      </c>
      <c r="P27" s="88"/>
      <c r="Q27" s="102"/>
      <c r="R27" s="102"/>
      <c r="S27" s="114"/>
      <c r="T27" s="115"/>
      <c r="U27" s="115"/>
      <c r="V27" s="116"/>
    </row>
    <row r="28" ht="13.9" customHeight="1" spans="2:22">
      <c r="B28" s="9"/>
      <c r="C28" s="42">
        <f>IF(MONTH(Period)=MONTH(JP!X$4),JP!N$4,"")</f>
        <v>43837</v>
      </c>
      <c r="D28" s="43"/>
      <c r="E28" s="48">
        <f ca="1">IF(MONTH(Period)=MONTH(JP!N$4),COUNTA(JP!N$6:JP!N$65517),"")</f>
        <v>11</v>
      </c>
      <c r="F28" s="45"/>
      <c r="G28" s="49"/>
      <c r="H28" s="47" t="str">
        <f>IF(MONTH(Period)=MONTH(JP!N$4),IF(JP!N$3&lt;&gt;"",JP!N$3,""),"")</f>
        <v/>
      </c>
      <c r="I28" s="83"/>
      <c r="J28" s="97">
        <f>IF(MONTH(Period)=MONTH(JP!AH$4),JP!AH$4,"")</f>
        <v>43855</v>
      </c>
      <c r="K28" s="90"/>
      <c r="L28" s="95">
        <f ca="1">IF(MONTH(Period)=MONTH(JP!AH$4),COUNTA(JP!AH$6:JP!AH$65517),"")</f>
        <v>0</v>
      </c>
      <c r="M28" s="83"/>
      <c r="N28" s="96"/>
      <c r="O28" s="93" t="str">
        <f>IF(MONTH(Period)=MONTH(JP!AH$4),IF(JP!AH$3&lt;&gt;"",JP!AH$3,""),"")</f>
        <v/>
      </c>
      <c r="P28" s="88"/>
      <c r="Q28" s="102"/>
      <c r="R28" s="102"/>
      <c r="S28" s="114"/>
      <c r="T28" s="115"/>
      <c r="U28" s="115"/>
      <c r="V28" s="116"/>
    </row>
    <row r="29" ht="13.9" customHeight="1" spans="2:22">
      <c r="B29" s="9"/>
      <c r="C29" s="42">
        <f>IF(MONTH(Period)=MONTH(JP!X$4),JP!O$4,"")</f>
        <v>43838</v>
      </c>
      <c r="D29" s="43"/>
      <c r="E29" s="48">
        <f ca="1">IF(MONTH(Period)=MONTH(JP!O$4),COUNTA(JP!O$6:JP!O$65517),"")</f>
        <v>8</v>
      </c>
      <c r="F29" s="45"/>
      <c r="G29" s="49"/>
      <c r="H29" s="47" t="str">
        <f>IF(MONTH(Period)=MONTH(JP!O$4),IF(JP!O$3&lt;&gt;"",JP!O$3,""),"")</f>
        <v/>
      </c>
      <c r="I29" s="83"/>
      <c r="J29" s="97">
        <f>IF(MONTH(Period)=MONTH(JP!AJ$4),JP!AJ$4,"")</f>
        <v>43856</v>
      </c>
      <c r="K29" s="90"/>
      <c r="L29" s="95">
        <f ca="1">IF(MONTH(Period)=MONTH(JP!AJ$4),COUNTA(JP!AJ$6:JP!AJ$65517),"")</f>
        <v>0</v>
      </c>
      <c r="M29" s="83"/>
      <c r="N29" s="96"/>
      <c r="O29" s="93" t="str">
        <f>IF(MONTH(Period)=MONTH(JP!AJ$4),IF(JP!AJ$3&lt;&gt;"",JP!AJ$3,""),"")</f>
        <v/>
      </c>
      <c r="P29" s="88"/>
      <c r="Q29" s="102"/>
      <c r="R29" s="102"/>
      <c r="S29" s="114"/>
      <c r="T29" s="115"/>
      <c r="U29" s="115"/>
      <c r="V29" s="116"/>
    </row>
    <row r="30" ht="13.9" customHeight="1" spans="2:22">
      <c r="B30" s="9"/>
      <c r="C30" s="42">
        <f>IF(MONTH(Period)=MONTH(JP!X$4),JP!P$4,"")</f>
        <v>43839</v>
      </c>
      <c r="D30" s="43"/>
      <c r="E30" s="48">
        <f ca="1">IF(MONTH(Period)=MONTH(JP!P$4),COUNTA(JP!P$6:JP!P$65517),"")</f>
        <v>4</v>
      </c>
      <c r="F30" s="45"/>
      <c r="G30" s="49"/>
      <c r="H30" s="47" t="str">
        <f>IF(MONTH(Period)=MONTH(JP!P$4),IF(JP!P$3&lt;&gt;"",JP!P$3,""),"")</f>
        <v/>
      </c>
      <c r="I30" s="83"/>
      <c r="J30" s="94">
        <f>IF(MONTH(Period)=MONTH(JP!AK$4),JP!AK$4,"")</f>
        <v>43857</v>
      </c>
      <c r="K30" s="90"/>
      <c r="L30" s="95">
        <f ca="1">IF(MONTH(Period)=MONTH(JP!AK$4),COUNTA(JP!AK$6:JP!AK$65517),"")</f>
        <v>9</v>
      </c>
      <c r="M30" s="83"/>
      <c r="N30" s="96"/>
      <c r="O30" s="93" t="str">
        <f>IF(MONTH(Period)=MONTH(JP!AK$4),IF(JP!AK$3&lt;&gt;"",JP!AK$3,""),"")</f>
        <v/>
      </c>
      <c r="P30" s="88"/>
      <c r="Q30" s="102"/>
      <c r="R30" s="102"/>
      <c r="S30" s="114"/>
      <c r="T30" s="115"/>
      <c r="U30" s="115"/>
      <c r="V30" s="116"/>
    </row>
    <row r="31" ht="13.9" customHeight="1" spans="2:22">
      <c r="B31" s="9"/>
      <c r="C31" s="42">
        <f>IF(MONTH(Period)=MONTH(JP!X$4),JP!Q$4,"")</f>
        <v>43840</v>
      </c>
      <c r="D31" s="43"/>
      <c r="E31" s="48">
        <f ca="1">IF(MONTH(Period)=MONTH(JP!Q$4),COUNTA(JP!Q$6:JP!Q$65517),"")</f>
        <v>8</v>
      </c>
      <c r="F31" s="45"/>
      <c r="G31" s="49"/>
      <c r="H31" s="47" t="str">
        <f>IF(MONTH(Period)=MONTH(JP!Q$4),IF(JP!Q$3&lt;&gt;"",JP!Q$3,""),"")</f>
        <v/>
      </c>
      <c r="I31" s="83"/>
      <c r="J31" s="94">
        <f>IF(MONTH(Period)=MONTH(JP!AL$4),JP!AL$4,"")</f>
        <v>43858</v>
      </c>
      <c r="K31" s="90"/>
      <c r="L31" s="95">
        <f ca="1">IF(MONTH(Period)=MONTH(JP!AL$4),COUNTA(JP!AL$6:JP!AL$65517),"")</f>
        <v>18</v>
      </c>
      <c r="M31" s="83"/>
      <c r="N31" s="96"/>
      <c r="O31" s="93" t="str">
        <f>IF(MONTH(Period)=MONTH(JP!AL$4),IF(JP!AL$3&lt;&gt;"",JP!AL$3,""),"")</f>
        <v/>
      </c>
      <c r="P31" s="88"/>
      <c r="Q31" s="102"/>
      <c r="R31" s="102"/>
      <c r="S31" s="114"/>
      <c r="T31" s="115"/>
      <c r="U31" s="115"/>
      <c r="V31" s="116"/>
    </row>
    <row r="32" ht="13.9" customHeight="1" spans="2:22">
      <c r="B32" s="9"/>
      <c r="C32" s="42">
        <f>IF(MONTH(Period)=MONTH(JP!X$4),JP!R$4,"")</f>
        <v>43841</v>
      </c>
      <c r="D32" s="43"/>
      <c r="E32" s="48">
        <f ca="1">IF(MONTH(Period)=MONTH(JP!R$4),COUNTA(JP!R$6:JP!R$65517),"")</f>
        <v>1</v>
      </c>
      <c r="F32" s="45"/>
      <c r="G32" s="49"/>
      <c r="H32" s="47" t="str">
        <f>IF(MONTH(Period)=MONTH(JP!R$4),IF(JP!R$3&lt;&gt;"",JP!R$3,""),"")</f>
        <v/>
      </c>
      <c r="I32" s="83"/>
      <c r="J32" s="94">
        <f>IF(MONTH(Period)=MONTH(JP!AM$4),JP!AM$4,"")</f>
        <v>43859</v>
      </c>
      <c r="K32" s="90"/>
      <c r="L32" s="95">
        <f ca="1">IF(MONTH(Period)=MONTH(JP!AM$4),COUNTA(JP!AM$6:JP!AM$65517),"")</f>
        <v>12</v>
      </c>
      <c r="M32" s="83"/>
      <c r="N32" s="96"/>
      <c r="O32" s="93" t="str">
        <f>IF(MONTH(Period)=MONTH(JP!AM$4),IF(JP!AM$3&lt;&gt;"",JP!AM$3,""),"")</f>
        <v/>
      </c>
      <c r="P32" s="88"/>
      <c r="Q32" s="102"/>
      <c r="R32" s="102"/>
      <c r="S32" s="114"/>
      <c r="T32" s="115"/>
      <c r="U32" s="115"/>
      <c r="V32" s="116"/>
    </row>
    <row r="33" ht="13.9" customHeight="1" spans="2:22">
      <c r="B33" s="9"/>
      <c r="C33" s="42">
        <f>IF(MONTH(Period)=MONTH(JP!X$4),JP!T$4,"")</f>
        <v>43842</v>
      </c>
      <c r="D33" s="43"/>
      <c r="E33" s="48">
        <f ca="1">IF(MONTH(Period)=MONTH(JP!T$4),COUNTA(JP!T$6:JP!T$65517),"")</f>
        <v>1</v>
      </c>
      <c r="F33" s="45"/>
      <c r="G33" s="49"/>
      <c r="H33" s="47" t="str">
        <f>IF(MONTH(Period)=MONTH(JP!T$4),IF(JP!T$3&lt;&gt;"",JP!T$3,""),"")</f>
        <v/>
      </c>
      <c r="I33" s="83"/>
      <c r="J33" s="94">
        <f>IF(MONTH(Period)=MONTH(JP!AN$4),JP!AN$4,"")</f>
        <v>43860</v>
      </c>
      <c r="K33" s="90"/>
      <c r="L33" s="95">
        <f ca="1">IF(MONTH(Period)=MONTH(JP!AN$4),COUNTA(JP!AN$6:JP!AN$65517),"")</f>
        <v>10</v>
      </c>
      <c r="M33" s="83"/>
      <c r="N33" s="96"/>
      <c r="O33" s="93" t="str">
        <f>IF(MONTH(Period)=MONTH(JP!AN$4),IF(JP!AN$3&lt;&gt;"",JP!AN$3,""),"")</f>
        <v/>
      </c>
      <c r="P33" s="88"/>
      <c r="Q33" s="102"/>
      <c r="R33" s="102"/>
      <c r="S33" s="114"/>
      <c r="T33" s="115"/>
      <c r="U33" s="115"/>
      <c r="V33" s="116"/>
    </row>
    <row r="34" ht="13.9" customHeight="1" spans="2:22">
      <c r="B34" s="9"/>
      <c r="C34" s="42">
        <f>IF(MONTH(Period)=MONTH(JP!X$4),JP!U$4,"")</f>
        <v>43843</v>
      </c>
      <c r="D34" s="43"/>
      <c r="E34" s="48">
        <f ca="1">IF(MONTH(Period)=MONTH(JP!U$4),COUNTA(JP!U$6:JP!U$65517),"")</f>
        <v>3</v>
      </c>
      <c r="F34" s="45"/>
      <c r="G34" s="49"/>
      <c r="H34" s="47" t="str">
        <f>IF(MONTH(Period)=MONTH(JP!U$4),IF(JP!U$3&lt;&gt;"",JP!U$3,""),"")</f>
        <v/>
      </c>
      <c r="I34" s="83"/>
      <c r="J34" s="94">
        <f>IF(MONTH(Period)=MONTH(JP!AO$4),JP!AO$4,"")</f>
        <v>43861</v>
      </c>
      <c r="K34" s="90"/>
      <c r="L34" s="95">
        <f ca="1">IF(MONTH(Period)=MONTH(JP!AO$4),COUNTA(JP!AO$6:JP!AO$65517),"")</f>
        <v>9</v>
      </c>
      <c r="M34" s="83"/>
      <c r="N34" s="96"/>
      <c r="O34" s="93" t="str">
        <f>IF(MONTH(Period)=MONTH(JP!AO$4),IF(JP!AO$3&lt;&gt;"",JP!AO$3,""),"")</f>
        <v/>
      </c>
      <c r="P34" s="88"/>
      <c r="Q34" s="102"/>
      <c r="R34" s="102"/>
      <c r="S34" s="121"/>
      <c r="T34" s="122"/>
      <c r="U34" s="122"/>
      <c r="V34" s="123"/>
    </row>
    <row r="35" ht="13.9" customHeight="1" spans="2:22">
      <c r="B35" s="9"/>
      <c r="C35" s="42">
        <f>IF(MONTH(Period)=MONTH(JP!X$4),JP!V$4,"")</f>
        <v>43844</v>
      </c>
      <c r="D35" s="43"/>
      <c r="E35" s="48">
        <f ca="1">IF(MONTH(Period)=MONTH(JP!V$4),COUNTA(JP!V$6:JP!V$65517),"")</f>
        <v>4</v>
      </c>
      <c r="F35" s="45"/>
      <c r="G35" s="49"/>
      <c r="H35" s="47" t="str">
        <f>IF(MONTH(Period)=MONTH(JP!V$4),IF(JP!V$3&lt;&gt;"",JP!V$3,""),"")</f>
        <v/>
      </c>
      <c r="I35" s="83"/>
      <c r="J35" s="97" t="str">
        <f>IF(MONTH(Period)=MONTH(JP!AP$4),JP!AP$4,"")</f>
        <v/>
      </c>
      <c r="K35" s="90"/>
      <c r="L35" s="95" t="str">
        <f ca="1">IF(MONTH(Period)=MONTH(JP!AP$4),COUNTA(JP!AP$6:JP!AP$65517),"")</f>
        <v/>
      </c>
      <c r="M35" s="83"/>
      <c r="N35" s="96"/>
      <c r="O35" s="93" t="str">
        <f>IF(MONTH(Period)=MONTH(JP!AP$4),IF(JP!AP$3&lt;&gt;"",JP!AP$3,""),"")</f>
        <v/>
      </c>
      <c r="P35" s="88"/>
      <c r="Q35" s="102"/>
      <c r="R35" s="102"/>
      <c r="S35" s="124"/>
      <c r="T35" s="124"/>
      <c r="U35" s="124"/>
      <c r="V35" s="124"/>
    </row>
    <row r="36" ht="13.9" customHeight="1" spans="2:22">
      <c r="B36" s="9"/>
      <c r="C36" s="42">
        <f>IF(MONTH(Period)=MONTH(JP!X$4),JP!W$4,"")</f>
        <v>43845</v>
      </c>
      <c r="D36" s="43"/>
      <c r="E36" s="48">
        <f ca="1">IF(MONTH(Period)=MONTH(JP!W$4),COUNTA(JP!W$6:JP!W$65517),"")</f>
        <v>6</v>
      </c>
      <c r="F36" s="45"/>
      <c r="G36" s="49"/>
      <c r="H36" s="47" t="str">
        <f>IF(MONTH(Period)=MONTH(JP!W$4),IF(JP!W$3&lt;&gt;"",JP!W$3,""),"")</f>
        <v/>
      </c>
      <c r="I36" s="83"/>
      <c r="J36" s="90"/>
      <c r="K36" s="90"/>
      <c r="L36" s="83"/>
      <c r="M36" s="83"/>
      <c r="N36" s="87" t="s">
        <v>22</v>
      </c>
      <c r="O36" s="87"/>
      <c r="P36" s="88"/>
      <c r="Q36" s="102"/>
      <c r="R36" s="102"/>
      <c r="S36" s="125"/>
      <c r="T36" s="125"/>
      <c r="U36" s="125"/>
      <c r="V36" s="125"/>
    </row>
    <row r="37" ht="10.15" customHeight="1" spans="2:22">
      <c r="B37" s="50"/>
      <c r="C37" s="51"/>
      <c r="D37" s="51"/>
      <c r="E37" s="51"/>
      <c r="F37" s="51"/>
      <c r="G37" s="51"/>
      <c r="H37" s="51"/>
      <c r="I37" s="98"/>
      <c r="J37" s="99"/>
      <c r="K37" s="99"/>
      <c r="L37" s="100"/>
      <c r="M37" s="100"/>
      <c r="N37" s="100"/>
      <c r="O37" s="98"/>
      <c r="P37" s="101"/>
      <c r="Q37" s="102"/>
      <c r="R37" s="102"/>
      <c r="S37" s="125"/>
      <c r="T37" s="125"/>
      <c r="U37" s="125"/>
      <c r="V37" s="125"/>
    </row>
  </sheetData>
  <sheetProtection sheet="1" selectLockedCells="1" objects="1" scenarios="1"/>
  <mergeCells count="8">
    <mergeCell ref="C7:E7"/>
    <mergeCell ref="C9:E9"/>
    <mergeCell ref="C11:G11"/>
    <mergeCell ref="I15:J15"/>
    <mergeCell ref="N15:O15"/>
    <mergeCell ref="I16:J16"/>
    <mergeCell ref="N16:O16"/>
    <mergeCell ref="C5:G6"/>
  </mergeCells>
  <conditionalFormatting sqref="C9">
    <cfRule type="colorScale" priority="15">
      <colorScale>
        <cfvo type="num" val="0"/>
        <cfvo type="num" val="$G$9"/>
        <color rgb="FFF8696B"/>
        <color rgb="FF63BE7B"/>
      </colorScale>
    </cfRule>
  </conditionalFormatting>
  <conditionalFormatting sqref="F14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G14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C19:C36">
    <cfRule type="expression" dxfId="3" priority="6">
      <formula>OR(WEEKDAY(C19)=1,WEEKDAY(C19)=7)</formula>
    </cfRule>
  </conditionalFormatting>
  <conditionalFormatting sqref="J36 D19:D36">
    <cfRule type="expression" dxfId="3" priority="7">
      <formula>OR(WEEKDAY(D19)=1,WEEKDAY(D19)=7)</formula>
    </cfRule>
  </conditionalFormatting>
  <pageMargins left="0.25" right="0.25" top="0.75" bottom="0.75" header="0.3" footer="0.3"/>
  <pageSetup paperSize="9" scale="87" fitToHeight="2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name="Year Spinner" r:id="rId4">
              <controlPr print="0" defaultSize="0">
                <anchor moveWithCells="1" sizeWithCells="1">
                  <from>
                    <xdr:col>20</xdr:col>
                    <xdr:colOff>19050</xdr:colOff>
                    <xdr:row>4</xdr:row>
                    <xdr:rowOff>0</xdr:rowOff>
                  </from>
                  <to>
                    <xdr:col>20</xdr:col>
                    <xdr:colOff>142875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Month Spinner" r:id="rId5">
              <controlPr print="0" defaultSize="0">
                <anchor moveWithCells="1" sizeWithCells="1">
                  <from>
                    <xdr:col>20</xdr:col>
                    <xdr:colOff>19050</xdr:colOff>
                    <xdr:row>5</xdr:row>
                    <xdr:rowOff>171450</xdr:rowOff>
                  </from>
                  <to>
                    <xdr:col>20</xdr:col>
                    <xdr:colOff>142875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name="Button 22" r:id="rId6">
              <controlPr print="0" defaultSize="0">
                <anchor moveWithCells="1" sizeWithCells="1">
                  <from>
                    <xdr:col>17</xdr:col>
                    <xdr:colOff>19050</xdr:colOff>
                    <xdr:row>36</xdr:row>
                    <xdr:rowOff>104775</xdr:rowOff>
                  </from>
                  <to>
                    <xdr:col>18</xdr:col>
                    <xdr:colOff>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name="Button 23" r:id="rId7">
              <controlPr print="0" defaultSize="0">
                <anchor moveWithCells="1" sizeWithCells="1">
                  <from>
                    <xdr:col>18</xdr:col>
                    <xdr:colOff>19050</xdr:colOff>
                    <xdr:row>37</xdr:row>
                    <xdr:rowOff>104775</xdr:rowOff>
                  </from>
                  <to>
                    <xdr:col>18</xdr:col>
                    <xdr:colOff>28575</xdr:colOff>
                    <xdr:row>37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2" tint="-0.749992370372631"/>
  </sheetPr>
  <dimension ref="B1:AU627"/>
  <sheetViews>
    <sheetView topLeftCell="R1" workbookViewId="0">
      <selection activeCell="E9" sqref="E9"/>
    </sheetView>
  </sheetViews>
  <sheetFormatPr defaultColWidth="9" defaultRowHeight="15"/>
  <cols>
    <col min="3" max="3" width="13.7142857142857" customWidth="1"/>
  </cols>
  <sheetData>
    <row r="1" spans="2:47">
      <c r="B1" t="s">
        <v>852</v>
      </c>
      <c r="C1" t="s">
        <v>853</v>
      </c>
      <c r="D1" t="s">
        <v>854</v>
      </c>
      <c r="E1" t="s">
        <v>855</v>
      </c>
      <c r="F1" t="str">
        <f>JP!D5</f>
        <v>S</v>
      </c>
      <c r="G1" t="str">
        <f>JP!E5</f>
        <v>M</v>
      </c>
      <c r="H1" t="str">
        <f>JP!F5</f>
        <v>T</v>
      </c>
      <c r="I1" t="str">
        <f>JP!G5</f>
        <v>W</v>
      </c>
      <c r="J1" t="str">
        <f>JP!H5</f>
        <v>T</v>
      </c>
      <c r="K1" t="str">
        <f>JP!I5</f>
        <v>F</v>
      </c>
      <c r="L1" t="str">
        <f>JP!J5</f>
        <v>S</v>
      </c>
      <c r="M1" t="str">
        <f>JP!L5</f>
        <v>S</v>
      </c>
      <c r="N1" t="str">
        <f>JP!M5</f>
        <v>M</v>
      </c>
      <c r="O1" t="str">
        <f>JP!N5</f>
        <v>T</v>
      </c>
      <c r="P1" t="str">
        <f>JP!O5</f>
        <v>W</v>
      </c>
      <c r="Q1" t="str">
        <f>JP!P5</f>
        <v>T</v>
      </c>
      <c r="R1" t="str">
        <f>JP!Q5</f>
        <v>F</v>
      </c>
      <c r="S1" t="str">
        <f>JP!R5</f>
        <v>S</v>
      </c>
      <c r="T1" t="str">
        <f>JP!T5</f>
        <v>S</v>
      </c>
      <c r="U1" t="str">
        <f>JP!U5</f>
        <v>M</v>
      </c>
      <c r="V1" t="str">
        <f>JP!V5</f>
        <v>T</v>
      </c>
      <c r="W1" t="str">
        <f>JP!W5</f>
        <v>W</v>
      </c>
      <c r="X1" t="str">
        <f>JP!X5</f>
        <v>T</v>
      </c>
      <c r="Y1" t="str">
        <f>JP!Y5</f>
        <v>F</v>
      </c>
      <c r="Z1" t="str">
        <f>JP!Z5</f>
        <v>S</v>
      </c>
      <c r="AA1" t="str">
        <f>JP!AB5</f>
        <v>S</v>
      </c>
      <c r="AB1" t="str">
        <f>JP!AC5</f>
        <v>M</v>
      </c>
      <c r="AC1" t="str">
        <f>JP!AD5</f>
        <v>T</v>
      </c>
      <c r="AD1" t="str">
        <f>JP!AE5</f>
        <v>W</v>
      </c>
      <c r="AE1" t="str">
        <f>JP!AF5</f>
        <v>T</v>
      </c>
      <c r="AF1" t="str">
        <f>JP!AG5</f>
        <v>F</v>
      </c>
      <c r="AG1" t="str">
        <f>JP!AH5</f>
        <v>S</v>
      </c>
      <c r="AH1" t="str">
        <f>JP!AJ5</f>
        <v>S</v>
      </c>
      <c r="AI1" t="str">
        <f>JP!AK5</f>
        <v>M</v>
      </c>
      <c r="AJ1" t="str">
        <f>JP!AL5</f>
        <v>T</v>
      </c>
      <c r="AK1" t="str">
        <f>JP!AM5</f>
        <v>W</v>
      </c>
      <c r="AL1" t="str">
        <f>JP!AN5</f>
        <v>T</v>
      </c>
      <c r="AM1" t="str">
        <f>JP!AO5</f>
        <v>F</v>
      </c>
      <c r="AN1" t="str">
        <f>JP!AP5</f>
        <v>S</v>
      </c>
      <c r="AO1" t="s">
        <v>856</v>
      </c>
      <c r="AP1" t="str">
        <f>JP!AS5</f>
        <v>M</v>
      </c>
      <c r="AQ1" t="str">
        <f>JP!AT5</f>
        <v>T</v>
      </c>
      <c r="AR1" t="str">
        <f>JP!AU5</f>
        <v>W</v>
      </c>
      <c r="AS1" t="str">
        <f>JP!AV5</f>
        <v>T</v>
      </c>
      <c r="AT1" t="str">
        <f>JP!AW5</f>
        <v>F</v>
      </c>
      <c r="AU1" t="str">
        <f>JP!AX5</f>
        <v>S</v>
      </c>
    </row>
    <row r="2" spans="2:47">
      <c r="B2">
        <f>IF(ISBLANK(JP!AZ6),"",JP!AZ6)</f>
        <v>10045578</v>
      </c>
      <c r="C2" t="str">
        <f>IF(ISBLANK(JP!BA6),"",JP!BA6)</f>
        <v>PARISHA MART</v>
      </c>
      <c r="D2" t="str">
        <f>IF(ISBLANK(JP!BC6),"",JP!BC6)</f>
        <v>2 UPPER ALJUNIED LANE</v>
      </c>
      <c r="E2">
        <f>IF(ISBLANK(JP!BB6),"",JP!BB6)</f>
        <v>1</v>
      </c>
      <c r="F2" t="str">
        <f>IF(ISBLANK(JP!D6),"","x")</f>
        <v/>
      </c>
      <c r="G2" t="str">
        <f>IF(ISBLANK(JP!E6),"","x")</f>
        <v/>
      </c>
      <c r="H2" t="str">
        <f>IF(ISBLANK(JP!F6),"","x")</f>
        <v/>
      </c>
      <c r="I2" t="str">
        <f>IF(ISBLANK(JP!G6),"","x")</f>
        <v>x</v>
      </c>
      <c r="J2" t="str">
        <f>IF(ISBLANK(JP!H6),"","x")</f>
        <v/>
      </c>
      <c r="K2" t="str">
        <f>IF(ISBLANK(JP!I6),"","x")</f>
        <v/>
      </c>
      <c r="L2" t="str">
        <f>IF(ISBLANK(JP!J6),"","x")</f>
        <v/>
      </c>
      <c r="M2" t="str">
        <f>IF(ISBLANK(JP!L6),"","x")</f>
        <v/>
      </c>
      <c r="N2" t="str">
        <f>IF(ISBLANK(JP!M6),"","x")</f>
        <v/>
      </c>
      <c r="O2" t="str">
        <f>IF(ISBLANK(JP!N6),"","x")</f>
        <v/>
      </c>
      <c r="P2" t="str">
        <f>IF(ISBLANK(JP!O6),"","x")</f>
        <v/>
      </c>
      <c r="Q2" t="str">
        <f>IF(ISBLANK(JP!P6),"","x")</f>
        <v/>
      </c>
      <c r="R2" t="str">
        <f>IF(ISBLANK(JP!Q6),"","x")</f>
        <v/>
      </c>
      <c r="S2" t="str">
        <f>IF(ISBLANK(JP!R6),"","x")</f>
        <v/>
      </c>
      <c r="T2" t="str">
        <f>IF(ISBLANK(JP!T6),"","x")</f>
        <v/>
      </c>
      <c r="U2" t="str">
        <f>IF(ISBLANK(JP!U6),"","x")</f>
        <v/>
      </c>
      <c r="V2" t="str">
        <f>IF(ISBLANK(JP!V6),"","x")</f>
        <v/>
      </c>
      <c r="W2" t="str">
        <f>IF(ISBLANK(JP!W6),"","x")</f>
        <v/>
      </c>
      <c r="X2" t="str">
        <f>IF(ISBLANK(JP!X6),"","x")</f>
        <v/>
      </c>
      <c r="Y2" t="str">
        <f>IF(ISBLANK(JP!Y6),"","x")</f>
        <v/>
      </c>
      <c r="Z2" t="str">
        <f>IF(ISBLANK(JP!Z6),"","x")</f>
        <v/>
      </c>
      <c r="AA2" t="str">
        <f>IF(ISBLANK(JP!AB6),"","x")</f>
        <v/>
      </c>
      <c r="AB2" t="str">
        <f>IF(ISBLANK(JP!AC6),"","x")</f>
        <v/>
      </c>
      <c r="AC2" t="str">
        <f>IF(ISBLANK(JP!AD6),"","x")</f>
        <v/>
      </c>
      <c r="AD2" t="str">
        <f>IF(ISBLANK(JP!AE6),"","x")</f>
        <v/>
      </c>
      <c r="AE2" t="str">
        <f>IF(ISBLANK(JP!AF6),"","x")</f>
        <v/>
      </c>
      <c r="AF2" t="str">
        <f>IF(ISBLANK(JP!AG6),"","x")</f>
        <v/>
      </c>
      <c r="AG2" t="str">
        <f>IF(ISBLANK(JP!AH6),"","x")</f>
        <v/>
      </c>
      <c r="AH2" t="str">
        <f>IF(ISBLANK(JP!AJ6),"","x")</f>
        <v/>
      </c>
      <c r="AI2" t="str">
        <f>IF(ISBLANK(JP!AK6),"","x")</f>
        <v/>
      </c>
      <c r="AJ2" t="str">
        <f>IF(ISBLANK(JP!AL6),"","x")</f>
        <v/>
      </c>
      <c r="AK2" t="str">
        <f>IF(ISBLANK(JP!AM6),"","x")</f>
        <v/>
      </c>
      <c r="AL2" t="str">
        <f>IF(ISBLANK(JP!AN6),"","x")</f>
        <v/>
      </c>
      <c r="AM2" t="str">
        <f>IF(ISBLANK(JP!AO6),"","x")</f>
        <v/>
      </c>
      <c r="AN2" t="str">
        <f>IF(ISBLANK(JP!AP6),"","x")</f>
        <v/>
      </c>
      <c r="AO2" t="str">
        <f>IF(ISBLANK(JP!AR6),"","x")</f>
        <v/>
      </c>
      <c r="AP2" t="str">
        <f>IF(ISBLANK(JP!AS6),"","x")</f>
        <v/>
      </c>
      <c r="AQ2" t="str">
        <f>IF(ISBLANK(JP!AT6),"","x")</f>
        <v/>
      </c>
      <c r="AR2" t="str">
        <f>IF(ISBLANK(JP!AU6),"","x")</f>
        <v/>
      </c>
      <c r="AS2" t="str">
        <f>IF(ISBLANK(JP!AV6),"","x")</f>
        <v/>
      </c>
      <c r="AT2" t="str">
        <f>IF(ISBLANK(JP!AW6),"","x")</f>
        <v/>
      </c>
      <c r="AU2" t="str">
        <f>IF(ISBLANK(JP!AX6),"","x")</f>
        <v/>
      </c>
    </row>
    <row r="3" spans="2:47">
      <c r="B3">
        <f>IF(ISBLANK(JP!AZ7),"",JP!AZ7)</f>
        <v>10013970</v>
      </c>
      <c r="C3" t="str">
        <f>IF(ISBLANK(JP!BA7),"",JP!BA7)</f>
        <v>CHIN TECK CHIANG SEAH KEE</v>
      </c>
      <c r="D3" t="str">
        <f>IF(ISBLANK(JP!BC7),"",JP!BC7)</f>
        <v>82 MACPHERSON LANE</v>
      </c>
      <c r="E3">
        <f>IF(ISBLANK(JP!BB7),"",JP!BB7)</f>
        <v>1</v>
      </c>
      <c r="F3" t="str">
        <f>IF(ISBLANK(JP!D7),"","x")</f>
        <v/>
      </c>
      <c r="G3" t="str">
        <f>IF(ISBLANK(JP!E7),"","x")</f>
        <v/>
      </c>
      <c r="H3" t="str">
        <f>IF(ISBLANK(JP!F7),"","x")</f>
        <v/>
      </c>
      <c r="I3" t="str">
        <f>IF(ISBLANK(JP!G7),"","x")</f>
        <v/>
      </c>
      <c r="J3" t="str">
        <f>IF(ISBLANK(JP!H7),"","x")</f>
        <v>x</v>
      </c>
      <c r="K3" t="str">
        <f>IF(ISBLANK(JP!I7),"","x")</f>
        <v/>
      </c>
      <c r="L3" t="str">
        <f>IF(ISBLANK(JP!J7),"","x")</f>
        <v/>
      </c>
      <c r="M3" t="str">
        <f>IF(ISBLANK(JP!L7),"","x")</f>
        <v/>
      </c>
      <c r="N3" t="str">
        <f>IF(ISBLANK(JP!M7),"","x")</f>
        <v/>
      </c>
      <c r="O3" t="str">
        <f>IF(ISBLANK(JP!N7),"","x")</f>
        <v/>
      </c>
      <c r="P3" t="str">
        <f>IF(ISBLANK(JP!O7),"","x")</f>
        <v/>
      </c>
      <c r="Q3" t="str">
        <f>IF(ISBLANK(JP!P7),"","x")</f>
        <v/>
      </c>
      <c r="R3" t="str">
        <f>IF(ISBLANK(JP!Q7),"","x")</f>
        <v/>
      </c>
      <c r="S3" t="str">
        <f>IF(ISBLANK(JP!R7),"","x")</f>
        <v/>
      </c>
      <c r="T3" t="str">
        <f>IF(ISBLANK(JP!T7),"","x")</f>
        <v/>
      </c>
      <c r="U3" t="str">
        <f>IF(ISBLANK(JP!U7),"","x")</f>
        <v/>
      </c>
      <c r="V3" t="str">
        <f>IF(ISBLANK(JP!V7),"","x")</f>
        <v/>
      </c>
      <c r="W3" t="str">
        <f>IF(ISBLANK(JP!W7),"","x")</f>
        <v/>
      </c>
      <c r="X3" t="str">
        <f>IF(ISBLANK(JP!X7),"","x")</f>
        <v/>
      </c>
      <c r="Y3" t="str">
        <f>IF(ISBLANK(JP!Y7),"","x")</f>
        <v/>
      </c>
      <c r="Z3" t="str">
        <f>IF(ISBLANK(JP!Z7),"","x")</f>
        <v/>
      </c>
      <c r="AA3" t="str">
        <f>IF(ISBLANK(JP!AB7),"","x")</f>
        <v/>
      </c>
      <c r="AB3" t="str">
        <f>IF(ISBLANK(JP!AC7),"","x")</f>
        <v/>
      </c>
      <c r="AC3" t="str">
        <f>IF(ISBLANK(JP!AD7),"","x")</f>
        <v/>
      </c>
      <c r="AD3" t="str">
        <f>IF(ISBLANK(JP!AE7),"","x")</f>
        <v/>
      </c>
      <c r="AE3" t="str">
        <f>IF(ISBLANK(JP!AF7),"","x")</f>
        <v/>
      </c>
      <c r="AF3" t="str">
        <f>IF(ISBLANK(JP!AG7),"","x")</f>
        <v/>
      </c>
      <c r="AG3" t="str">
        <f>IF(ISBLANK(JP!AH7),"","x")</f>
        <v/>
      </c>
      <c r="AH3" t="str">
        <f>IF(ISBLANK(JP!AJ7),"","x")</f>
        <v/>
      </c>
      <c r="AI3" t="str">
        <f>IF(ISBLANK(JP!AK7),"","x")</f>
        <v/>
      </c>
      <c r="AJ3" t="str">
        <f>IF(ISBLANK(JP!AL7),"","x")</f>
        <v/>
      </c>
      <c r="AK3" t="str">
        <f>IF(ISBLANK(JP!AM7),"","x")</f>
        <v/>
      </c>
      <c r="AL3" t="str">
        <f>IF(ISBLANK(JP!AN7),"","x")</f>
        <v/>
      </c>
      <c r="AM3" t="str">
        <f>IF(ISBLANK(JP!AO7),"","x")</f>
        <v/>
      </c>
      <c r="AN3" t="str">
        <f>IF(ISBLANK(JP!AP7),"","x")</f>
        <v/>
      </c>
      <c r="AO3" t="str">
        <f>IF(ISBLANK(JP!AR7),"","x")</f>
        <v/>
      </c>
      <c r="AP3" t="str">
        <f>IF(ISBLANK(JP!AS7),"","x")</f>
        <v/>
      </c>
      <c r="AQ3" t="str">
        <f>IF(ISBLANK(JP!AT7),"","x")</f>
        <v/>
      </c>
      <c r="AR3" t="str">
        <f>IF(ISBLANK(JP!AU7),"","x")</f>
        <v/>
      </c>
      <c r="AS3" t="str">
        <f>IF(ISBLANK(JP!AV7),"","x")</f>
        <v/>
      </c>
      <c r="AT3" t="str">
        <f>IF(ISBLANK(JP!AW7),"","x")</f>
        <v/>
      </c>
      <c r="AU3" t="str">
        <f>IF(ISBLANK(JP!AX7),"","x")</f>
        <v/>
      </c>
    </row>
    <row r="4" spans="2:47">
      <c r="B4">
        <f>IF(ISBLANK(JP!AZ8),"",JP!AZ8)</f>
        <v>10043304</v>
      </c>
      <c r="C4" t="str">
        <f>IF(ISBLANK(JP!BA8),"",JP!BA8)</f>
        <v>SRI VINAYAGA TRADING</v>
      </c>
      <c r="D4" t="str">
        <f>IF(ISBLANK(JP!BC8),"",JP!BC8)</f>
        <v>82 MACPHERSON LANE</v>
      </c>
      <c r="E4">
        <f>IF(ISBLANK(JP!BB8),"",JP!BB8)</f>
        <v>1</v>
      </c>
      <c r="F4" t="str">
        <f>IF(ISBLANK(JP!D8),"","x")</f>
        <v/>
      </c>
      <c r="G4" t="str">
        <f>IF(ISBLANK(JP!E8),"","x")</f>
        <v/>
      </c>
      <c r="H4" t="str">
        <f>IF(ISBLANK(JP!F8),"","x")</f>
        <v/>
      </c>
      <c r="I4" t="str">
        <f>IF(ISBLANK(JP!G8),"","x")</f>
        <v/>
      </c>
      <c r="J4" t="str">
        <f>IF(ISBLANK(JP!H8),"","x")</f>
        <v/>
      </c>
      <c r="K4" t="str">
        <f>IF(ISBLANK(JP!I8),"","x")</f>
        <v>x</v>
      </c>
      <c r="L4" t="str">
        <f>IF(ISBLANK(JP!J8),"","x")</f>
        <v/>
      </c>
      <c r="M4" t="str">
        <f>IF(ISBLANK(JP!L8),"","x")</f>
        <v/>
      </c>
      <c r="N4" t="str">
        <f>IF(ISBLANK(JP!M8),"","x")</f>
        <v/>
      </c>
      <c r="O4" t="str">
        <f>IF(ISBLANK(JP!N8),"","x")</f>
        <v/>
      </c>
      <c r="P4" t="str">
        <f>IF(ISBLANK(JP!O8),"","x")</f>
        <v/>
      </c>
      <c r="Q4" t="str">
        <f>IF(ISBLANK(JP!P8),"","x")</f>
        <v/>
      </c>
      <c r="R4" t="str">
        <f>IF(ISBLANK(JP!Q8),"","x")</f>
        <v/>
      </c>
      <c r="S4" t="str">
        <f>IF(ISBLANK(JP!R8),"","x")</f>
        <v/>
      </c>
      <c r="T4" t="str">
        <f>IF(ISBLANK(JP!T8),"","x")</f>
        <v/>
      </c>
      <c r="U4" t="str">
        <f>IF(ISBLANK(JP!U8),"","x")</f>
        <v/>
      </c>
      <c r="V4" t="str">
        <f>IF(ISBLANK(JP!V8),"","x")</f>
        <v/>
      </c>
      <c r="W4" t="str">
        <f>IF(ISBLANK(JP!W8),"","x")</f>
        <v/>
      </c>
      <c r="X4" t="str">
        <f>IF(ISBLANK(JP!X8),"","x")</f>
        <v/>
      </c>
      <c r="Y4" t="str">
        <f>IF(ISBLANK(JP!Y8),"","x")</f>
        <v/>
      </c>
      <c r="Z4" t="str">
        <f>IF(ISBLANK(JP!Z8),"","x")</f>
        <v/>
      </c>
      <c r="AA4" t="str">
        <f>IF(ISBLANK(JP!AB8),"","x")</f>
        <v/>
      </c>
      <c r="AB4" t="str">
        <f>IF(ISBLANK(JP!AC8),"","x")</f>
        <v/>
      </c>
      <c r="AC4" t="str">
        <f>IF(ISBLANK(JP!AD8),"","x")</f>
        <v/>
      </c>
      <c r="AD4" t="str">
        <f>IF(ISBLANK(JP!AE8),"","x")</f>
        <v/>
      </c>
      <c r="AE4" t="str">
        <f>IF(ISBLANK(JP!AF8),"","x")</f>
        <v/>
      </c>
      <c r="AF4" t="str">
        <f>IF(ISBLANK(JP!AG8),"","x")</f>
        <v/>
      </c>
      <c r="AG4" t="str">
        <f>IF(ISBLANK(JP!AH8),"","x")</f>
        <v/>
      </c>
      <c r="AH4" t="str">
        <f>IF(ISBLANK(JP!AJ8),"","x")</f>
        <v/>
      </c>
      <c r="AI4" t="str">
        <f>IF(ISBLANK(JP!AK8),"","x")</f>
        <v/>
      </c>
      <c r="AJ4" t="str">
        <f>IF(ISBLANK(JP!AL8),"","x")</f>
        <v/>
      </c>
      <c r="AK4" t="str">
        <f>IF(ISBLANK(JP!AM8),"","x")</f>
        <v/>
      </c>
      <c r="AL4" t="str">
        <f>IF(ISBLANK(JP!AN8),"","x")</f>
        <v/>
      </c>
      <c r="AM4" t="str">
        <f>IF(ISBLANK(JP!AO8),"","x")</f>
        <v/>
      </c>
      <c r="AN4" t="str">
        <f>IF(ISBLANK(JP!AP8),"","x")</f>
        <v/>
      </c>
      <c r="AO4" t="str">
        <f>IF(ISBLANK(JP!AR8),"","x")</f>
        <v/>
      </c>
      <c r="AP4" t="str">
        <f>IF(ISBLANK(JP!AS8),"","x")</f>
        <v/>
      </c>
      <c r="AQ4" t="str">
        <f>IF(ISBLANK(JP!AT8),"","x")</f>
        <v/>
      </c>
      <c r="AR4" t="str">
        <f>IF(ISBLANK(JP!AU8),"","x")</f>
        <v/>
      </c>
      <c r="AS4" t="str">
        <f>IF(ISBLANK(JP!AV8),"","x")</f>
        <v/>
      </c>
      <c r="AT4" t="str">
        <f>IF(ISBLANK(JP!AW8),"","x")</f>
        <v/>
      </c>
      <c r="AU4" t="str">
        <f>IF(ISBLANK(JP!AX8),"","x")</f>
        <v/>
      </c>
    </row>
    <row r="5" spans="2:47">
      <c r="B5">
        <f>IF(ISBLANK(JP!AZ9),"",JP!AZ9)</f>
        <v>10013976</v>
      </c>
      <c r="C5" t="str">
        <f>IF(ISBLANK(JP!BA9),"",JP!BA9)</f>
        <v>HENG BEE CO.</v>
      </c>
      <c r="D5" t="str">
        <f>IF(ISBLANK(JP!BC9),"",JP!BC9)</f>
        <v>377 UPPER ALJUNIED ROAD</v>
      </c>
      <c r="E5">
        <f>IF(ISBLANK(JP!BB9),"",JP!BB9)</f>
        <v>1</v>
      </c>
      <c r="F5" t="str">
        <f>IF(ISBLANK(JP!D9),"","x")</f>
        <v/>
      </c>
      <c r="G5" t="str">
        <f>IF(ISBLANK(JP!E9),"","x")</f>
        <v/>
      </c>
      <c r="H5" t="str">
        <f>IF(ISBLANK(JP!F9),"","x")</f>
        <v/>
      </c>
      <c r="I5" t="str">
        <f>IF(ISBLANK(JP!G9),"","x")</f>
        <v/>
      </c>
      <c r="J5" t="str">
        <f>IF(ISBLANK(JP!H9),"","x")</f>
        <v/>
      </c>
      <c r="K5" t="str">
        <f>IF(ISBLANK(JP!I9),"","x")</f>
        <v/>
      </c>
      <c r="L5" t="str">
        <f>IF(ISBLANK(JP!J9),"","x")</f>
        <v/>
      </c>
      <c r="M5" t="str">
        <f>IF(ISBLANK(JP!L9),"","x")</f>
        <v/>
      </c>
      <c r="N5" t="str">
        <f>IF(ISBLANK(JP!M9),"","x")</f>
        <v>x</v>
      </c>
      <c r="O5" t="str">
        <f>IF(ISBLANK(JP!N9),"","x")</f>
        <v/>
      </c>
      <c r="P5" t="str">
        <f>IF(ISBLANK(JP!O9),"","x")</f>
        <v/>
      </c>
      <c r="Q5" t="str">
        <f>IF(ISBLANK(JP!P9),"","x")</f>
        <v/>
      </c>
      <c r="R5" t="str">
        <f>IF(ISBLANK(JP!Q9),"","x")</f>
        <v/>
      </c>
      <c r="S5" t="str">
        <f>IF(ISBLANK(JP!R9),"","x")</f>
        <v/>
      </c>
      <c r="T5" t="str">
        <f>IF(ISBLANK(JP!T9),"","x")</f>
        <v/>
      </c>
      <c r="U5" t="str">
        <f>IF(ISBLANK(JP!U9),"","x")</f>
        <v/>
      </c>
      <c r="V5" t="str">
        <f>IF(ISBLANK(JP!V9),"","x")</f>
        <v/>
      </c>
      <c r="W5" t="str">
        <f>IF(ISBLANK(JP!W9),"","x")</f>
        <v/>
      </c>
      <c r="X5" t="str">
        <f>IF(ISBLANK(JP!X9),"","x")</f>
        <v/>
      </c>
      <c r="Y5" t="str">
        <f>IF(ISBLANK(JP!Y9),"","x")</f>
        <v/>
      </c>
      <c r="Z5" t="str">
        <f>IF(ISBLANK(JP!Z9),"","x")</f>
        <v/>
      </c>
      <c r="AA5" t="str">
        <f>IF(ISBLANK(JP!AB9),"","x")</f>
        <v/>
      </c>
      <c r="AB5" t="str">
        <f>IF(ISBLANK(JP!AC9),"","x")</f>
        <v/>
      </c>
      <c r="AC5" t="str">
        <f>IF(ISBLANK(JP!AD9),"","x")</f>
        <v/>
      </c>
      <c r="AD5" t="str">
        <f>IF(ISBLANK(JP!AE9),"","x")</f>
        <v/>
      </c>
      <c r="AE5" t="str">
        <f>IF(ISBLANK(JP!AF9),"","x")</f>
        <v/>
      </c>
      <c r="AF5" t="str">
        <f>IF(ISBLANK(JP!AG9),"","x")</f>
        <v/>
      </c>
      <c r="AG5" t="str">
        <f>IF(ISBLANK(JP!AH9),"","x")</f>
        <v/>
      </c>
      <c r="AH5" t="str">
        <f>IF(ISBLANK(JP!AJ9),"","x")</f>
        <v/>
      </c>
      <c r="AI5" t="str">
        <f>IF(ISBLANK(JP!AK9),"","x")</f>
        <v/>
      </c>
      <c r="AJ5" t="str">
        <f>IF(ISBLANK(JP!AL9),"","x")</f>
        <v/>
      </c>
      <c r="AK5" t="str">
        <f>IF(ISBLANK(JP!AM9),"","x")</f>
        <v/>
      </c>
      <c r="AL5" t="str">
        <f>IF(ISBLANK(JP!AN9),"","x")</f>
        <v/>
      </c>
      <c r="AM5" t="str">
        <f>IF(ISBLANK(JP!AO9),"","x")</f>
        <v/>
      </c>
      <c r="AN5" t="str">
        <f>IF(ISBLANK(JP!AP9),"","x")</f>
        <v/>
      </c>
      <c r="AO5" t="str">
        <f>IF(ISBLANK(JP!AR9),"","x")</f>
        <v/>
      </c>
      <c r="AP5" t="str">
        <f>IF(ISBLANK(JP!AS9),"","x")</f>
        <v/>
      </c>
      <c r="AQ5" t="str">
        <f>IF(ISBLANK(JP!AT9),"","x")</f>
        <v/>
      </c>
      <c r="AR5" t="str">
        <f>IF(ISBLANK(JP!AU9),"","x")</f>
        <v/>
      </c>
      <c r="AS5" t="str">
        <f>IF(ISBLANK(JP!AV9),"","x")</f>
        <v/>
      </c>
      <c r="AT5" t="str">
        <f>IF(ISBLANK(JP!AW9),"","x")</f>
        <v/>
      </c>
      <c r="AU5" t="str">
        <f>IF(ISBLANK(JP!AX9),"","x")</f>
        <v/>
      </c>
    </row>
    <row r="6" spans="2:47">
      <c r="B6">
        <f>IF(ISBLANK(JP!AZ10),"",JP!AZ10)</f>
        <v>10027942</v>
      </c>
      <c r="C6" t="str">
        <f>IF(ISBLANK(JP!BA10),"",JP!BA10)</f>
        <v>RS MINIMART PTE LTD</v>
      </c>
      <c r="D6" t="str">
        <f>IF(ISBLANK(JP!BC10),"",JP!BC10)</f>
        <v>460 MACPHERSON ROAD</v>
      </c>
      <c r="E6">
        <f>IF(ISBLANK(JP!BB10),"",JP!BB10)</f>
        <v>1</v>
      </c>
      <c r="F6" t="str">
        <f>IF(ISBLANK(JP!D10),"","x")</f>
        <v/>
      </c>
      <c r="G6" t="str">
        <f>IF(ISBLANK(JP!E10),"","x")</f>
        <v/>
      </c>
      <c r="H6" t="str">
        <f>IF(ISBLANK(JP!F10),"","x")</f>
        <v/>
      </c>
      <c r="I6" t="str">
        <f>IF(ISBLANK(JP!G10),"","x")</f>
        <v/>
      </c>
      <c r="J6" t="str">
        <f>IF(ISBLANK(JP!H10),"","x")</f>
        <v/>
      </c>
      <c r="K6" t="str">
        <f>IF(ISBLANK(JP!I10),"","x")</f>
        <v/>
      </c>
      <c r="L6" t="str">
        <f>IF(ISBLANK(JP!J10),"","x")</f>
        <v/>
      </c>
      <c r="M6" t="str">
        <f>IF(ISBLANK(JP!L10),"","x")</f>
        <v/>
      </c>
      <c r="N6" t="str">
        <f>IF(ISBLANK(JP!M10),"","x")</f>
        <v/>
      </c>
      <c r="O6" t="str">
        <f>IF(ISBLANK(JP!N10),"","x")</f>
        <v>x</v>
      </c>
      <c r="P6" t="str">
        <f>IF(ISBLANK(JP!O10),"","x")</f>
        <v/>
      </c>
      <c r="Q6" t="str">
        <f>IF(ISBLANK(JP!P10),"","x")</f>
        <v/>
      </c>
      <c r="R6" t="str">
        <f>IF(ISBLANK(JP!Q10),"","x")</f>
        <v/>
      </c>
      <c r="S6" t="str">
        <f>IF(ISBLANK(JP!R10),"","x")</f>
        <v/>
      </c>
      <c r="T6" t="str">
        <f>IF(ISBLANK(JP!T10),"","x")</f>
        <v/>
      </c>
      <c r="U6" t="str">
        <f>IF(ISBLANK(JP!U10),"","x")</f>
        <v/>
      </c>
      <c r="V6" t="str">
        <f>IF(ISBLANK(JP!V10),"","x")</f>
        <v/>
      </c>
      <c r="W6" t="str">
        <f>IF(ISBLANK(JP!W10),"","x")</f>
        <v/>
      </c>
      <c r="X6" t="str">
        <f>IF(ISBLANK(JP!X10),"","x")</f>
        <v/>
      </c>
      <c r="Y6" t="str">
        <f>IF(ISBLANK(JP!Y10),"","x")</f>
        <v/>
      </c>
      <c r="Z6" t="str">
        <f>IF(ISBLANK(JP!Z10),"","x")</f>
        <v/>
      </c>
      <c r="AA6" t="str">
        <f>IF(ISBLANK(JP!AB10),"","x")</f>
        <v/>
      </c>
      <c r="AB6" t="str">
        <f>IF(ISBLANK(JP!AC10),"","x")</f>
        <v/>
      </c>
      <c r="AC6" t="str">
        <f>IF(ISBLANK(JP!AD10),"","x")</f>
        <v/>
      </c>
      <c r="AD6" t="str">
        <f>IF(ISBLANK(JP!AE10),"","x")</f>
        <v/>
      </c>
      <c r="AE6" t="str">
        <f>IF(ISBLANK(JP!AF10),"","x")</f>
        <v/>
      </c>
      <c r="AF6" t="str">
        <f>IF(ISBLANK(JP!AG10),"","x")</f>
        <v/>
      </c>
      <c r="AG6" t="str">
        <f>IF(ISBLANK(JP!AH10),"","x")</f>
        <v/>
      </c>
      <c r="AH6" t="str">
        <f>IF(ISBLANK(JP!AJ10),"","x")</f>
        <v/>
      </c>
      <c r="AI6" t="str">
        <f>IF(ISBLANK(JP!AK10),"","x")</f>
        <v/>
      </c>
      <c r="AJ6" t="str">
        <f>IF(ISBLANK(JP!AL10),"","x")</f>
        <v/>
      </c>
      <c r="AK6" t="str">
        <f>IF(ISBLANK(JP!AM10),"","x")</f>
        <v/>
      </c>
      <c r="AL6" t="str">
        <f>IF(ISBLANK(JP!AN10),"","x")</f>
        <v/>
      </c>
      <c r="AM6" t="str">
        <f>IF(ISBLANK(JP!AO10),"","x")</f>
        <v/>
      </c>
      <c r="AN6" t="str">
        <f>IF(ISBLANK(JP!AP10),"","x")</f>
        <v/>
      </c>
      <c r="AO6" t="str">
        <f>IF(ISBLANK(JP!AR10),"","x")</f>
        <v/>
      </c>
      <c r="AP6" t="str">
        <f>IF(ISBLANK(JP!AS10),"","x")</f>
        <v/>
      </c>
      <c r="AQ6" t="str">
        <f>IF(ISBLANK(JP!AT10),"","x")</f>
        <v/>
      </c>
      <c r="AR6" t="str">
        <f>IF(ISBLANK(JP!AU10),"","x")</f>
        <v/>
      </c>
      <c r="AS6" t="str">
        <f>IF(ISBLANK(JP!AV10),"","x")</f>
        <v/>
      </c>
      <c r="AT6" t="str">
        <f>IF(ISBLANK(JP!AW10),"","x")</f>
        <v/>
      </c>
      <c r="AU6" t="str">
        <f>IF(ISBLANK(JP!AX10),"","x")</f>
        <v/>
      </c>
    </row>
    <row r="7" spans="2:47">
      <c r="B7">
        <f>IF(ISBLANK(JP!AZ11),"",JP!AZ11)</f>
        <v>10045768</v>
      </c>
      <c r="C7" t="str">
        <f>IF(ISBLANK(JP!BA11),"",JP!BA11)</f>
        <v>SRI LAKSHMI STORES &amp; TRADING PTE. LTD.</v>
      </c>
      <c r="D7" t="str">
        <f>IF(ISBLANK(JP!BC11),"",JP!BC11)</f>
        <v>514 MACPHERSON ROAD</v>
      </c>
      <c r="E7">
        <f>IF(ISBLANK(JP!BB11),"",JP!BB11)</f>
        <v>1</v>
      </c>
      <c r="F7" t="str">
        <f>IF(ISBLANK(JP!D11),"","x")</f>
        <v/>
      </c>
      <c r="G7" t="str">
        <f>IF(ISBLANK(JP!E11),"","x")</f>
        <v/>
      </c>
      <c r="H7" t="str">
        <f>IF(ISBLANK(JP!F11),"","x")</f>
        <v/>
      </c>
      <c r="I7" t="str">
        <f>IF(ISBLANK(JP!G11),"","x")</f>
        <v/>
      </c>
      <c r="J7" t="str">
        <f>IF(ISBLANK(JP!H11),"","x")</f>
        <v/>
      </c>
      <c r="K7" t="str">
        <f>IF(ISBLANK(JP!I11),"","x")</f>
        <v/>
      </c>
      <c r="L7" t="str">
        <f>IF(ISBLANK(JP!J11),"","x")</f>
        <v/>
      </c>
      <c r="M7" t="str">
        <f>IF(ISBLANK(JP!L11),"","x")</f>
        <v/>
      </c>
      <c r="N7" t="str">
        <f>IF(ISBLANK(JP!M11),"","x")</f>
        <v/>
      </c>
      <c r="O7" t="str">
        <f>IF(ISBLANK(JP!N11),"","x")</f>
        <v/>
      </c>
      <c r="P7" t="str">
        <f>IF(ISBLANK(JP!O11),"","x")</f>
        <v>x</v>
      </c>
      <c r="Q7" t="str">
        <f>IF(ISBLANK(JP!P11),"","x")</f>
        <v/>
      </c>
      <c r="R7" t="str">
        <f>IF(ISBLANK(JP!Q11),"","x")</f>
        <v/>
      </c>
      <c r="S7" t="str">
        <f>IF(ISBLANK(JP!R11),"","x")</f>
        <v/>
      </c>
      <c r="T7" t="str">
        <f>IF(ISBLANK(JP!T11),"","x")</f>
        <v/>
      </c>
      <c r="U7" t="str">
        <f>IF(ISBLANK(JP!U11),"","x")</f>
        <v/>
      </c>
      <c r="V7" t="str">
        <f>IF(ISBLANK(JP!V11),"","x")</f>
        <v/>
      </c>
      <c r="W7" t="str">
        <f>IF(ISBLANK(JP!W11),"","x")</f>
        <v/>
      </c>
      <c r="X7" t="str">
        <f>IF(ISBLANK(JP!X11),"","x")</f>
        <v/>
      </c>
      <c r="Y7" t="str">
        <f>IF(ISBLANK(JP!Y11),"","x")</f>
        <v/>
      </c>
      <c r="Z7" t="str">
        <f>IF(ISBLANK(JP!Z11),"","x")</f>
        <v/>
      </c>
      <c r="AA7" t="str">
        <f>IF(ISBLANK(JP!AB11),"","x")</f>
        <v/>
      </c>
      <c r="AB7" t="str">
        <f>IF(ISBLANK(JP!AC11),"","x")</f>
        <v/>
      </c>
      <c r="AC7" t="str">
        <f>IF(ISBLANK(JP!AD11),"","x")</f>
        <v/>
      </c>
      <c r="AD7" t="str">
        <f>IF(ISBLANK(JP!AE11),"","x")</f>
        <v/>
      </c>
      <c r="AE7" t="str">
        <f>IF(ISBLANK(JP!AF11),"","x")</f>
        <v/>
      </c>
      <c r="AF7" t="str">
        <f>IF(ISBLANK(JP!AG11),"","x")</f>
        <v/>
      </c>
      <c r="AG7" t="str">
        <f>IF(ISBLANK(JP!AH11),"","x")</f>
        <v/>
      </c>
      <c r="AH7" t="str">
        <f>IF(ISBLANK(JP!AJ11),"","x")</f>
        <v/>
      </c>
      <c r="AI7" t="str">
        <f>IF(ISBLANK(JP!AK11),"","x")</f>
        <v/>
      </c>
      <c r="AJ7" t="str">
        <f>IF(ISBLANK(JP!AL11),"","x")</f>
        <v/>
      </c>
      <c r="AK7" t="str">
        <f>IF(ISBLANK(JP!AM11),"","x")</f>
        <v/>
      </c>
      <c r="AL7" t="str">
        <f>IF(ISBLANK(JP!AN11),"","x")</f>
        <v/>
      </c>
      <c r="AM7" t="str">
        <f>IF(ISBLANK(JP!AO11),"","x")</f>
        <v/>
      </c>
      <c r="AN7" t="str">
        <f>IF(ISBLANK(JP!AP11),"","x")</f>
        <v/>
      </c>
      <c r="AO7" t="str">
        <f>IF(ISBLANK(JP!AR11),"","x")</f>
        <v/>
      </c>
      <c r="AP7" t="str">
        <f>IF(ISBLANK(JP!AS11),"","x")</f>
        <v/>
      </c>
      <c r="AQ7" t="str">
        <f>IF(ISBLANK(JP!AT11),"","x")</f>
        <v/>
      </c>
      <c r="AR7" t="str">
        <f>IF(ISBLANK(JP!AU11),"","x")</f>
        <v/>
      </c>
      <c r="AS7" t="str">
        <f>IF(ISBLANK(JP!AV11),"","x")</f>
        <v/>
      </c>
      <c r="AT7" t="str">
        <f>IF(ISBLANK(JP!AW11),"","x")</f>
        <v/>
      </c>
      <c r="AU7" t="str">
        <f>IF(ISBLANK(JP!AX11),"","x")</f>
        <v/>
      </c>
    </row>
    <row r="8" spans="2:47">
      <c r="B8">
        <f>IF(ISBLANK(JP!AZ12),"",JP!AZ12)</f>
        <v>10045899</v>
      </c>
      <c r="C8" t="str">
        <f>IF(ISBLANK(JP!BA12),"",JP!BA12)</f>
        <v>24 HRS PTE. LTD.</v>
      </c>
      <c r="D8" t="str">
        <f>IF(ISBLANK(JP!BC12),"",JP!BC12)</f>
        <v>3 IRVING ROAD</v>
      </c>
      <c r="E8">
        <f>IF(ISBLANK(JP!BB12),"",JP!BB12)</f>
        <v>1</v>
      </c>
      <c r="F8" t="str">
        <f>IF(ISBLANK(JP!D12),"","x")</f>
        <v/>
      </c>
      <c r="G8" t="str">
        <f>IF(ISBLANK(JP!E12),"","x")</f>
        <v/>
      </c>
      <c r="H8" t="str">
        <f>IF(ISBLANK(JP!F12),"","x")</f>
        <v/>
      </c>
      <c r="I8" t="str">
        <f>IF(ISBLANK(JP!G12),"","x")</f>
        <v/>
      </c>
      <c r="J8" t="str">
        <f>IF(ISBLANK(JP!H12),"","x")</f>
        <v/>
      </c>
      <c r="K8" t="str">
        <f>IF(ISBLANK(JP!I12),"","x")</f>
        <v/>
      </c>
      <c r="L8" t="str">
        <f>IF(ISBLANK(JP!J12),"","x")</f>
        <v/>
      </c>
      <c r="M8" t="str">
        <f>IF(ISBLANK(JP!L12),"","x")</f>
        <v/>
      </c>
      <c r="N8" t="str">
        <f>IF(ISBLANK(JP!M12),"","x")</f>
        <v/>
      </c>
      <c r="O8" t="str">
        <f>IF(ISBLANK(JP!N12),"","x")</f>
        <v/>
      </c>
      <c r="P8" t="str">
        <f>IF(ISBLANK(JP!O12),"","x")</f>
        <v/>
      </c>
      <c r="Q8" t="str">
        <f>IF(ISBLANK(JP!P12),"","x")</f>
        <v>x</v>
      </c>
      <c r="R8" t="str">
        <f>IF(ISBLANK(JP!Q12),"","x")</f>
        <v/>
      </c>
      <c r="S8" t="str">
        <f>IF(ISBLANK(JP!R12),"","x")</f>
        <v/>
      </c>
      <c r="T8" t="str">
        <f>IF(ISBLANK(JP!T12),"","x")</f>
        <v/>
      </c>
      <c r="U8" t="str">
        <f>IF(ISBLANK(JP!U12),"","x")</f>
        <v/>
      </c>
      <c r="V8" t="str">
        <f>IF(ISBLANK(JP!V12),"","x")</f>
        <v/>
      </c>
      <c r="W8" t="str">
        <f>IF(ISBLANK(JP!W12),"","x")</f>
        <v/>
      </c>
      <c r="X8" t="str">
        <f>IF(ISBLANK(JP!X12),"","x")</f>
        <v/>
      </c>
      <c r="Y8" t="str">
        <f>IF(ISBLANK(JP!Y12),"","x")</f>
        <v/>
      </c>
      <c r="Z8" t="str">
        <f>IF(ISBLANK(JP!Z12),"","x")</f>
        <v/>
      </c>
      <c r="AA8" t="str">
        <f>IF(ISBLANK(JP!AB12),"","x")</f>
        <v/>
      </c>
      <c r="AB8" t="str">
        <f>IF(ISBLANK(JP!AC12),"","x")</f>
        <v/>
      </c>
      <c r="AC8" t="str">
        <f>IF(ISBLANK(JP!AD12),"","x")</f>
        <v/>
      </c>
      <c r="AD8" t="str">
        <f>IF(ISBLANK(JP!AE12),"","x")</f>
        <v/>
      </c>
      <c r="AE8" t="str">
        <f>IF(ISBLANK(JP!AF12),"","x")</f>
        <v/>
      </c>
      <c r="AF8" t="str">
        <f>IF(ISBLANK(JP!AG12),"","x")</f>
        <v/>
      </c>
      <c r="AG8" t="str">
        <f>IF(ISBLANK(JP!AH12),"","x")</f>
        <v/>
      </c>
      <c r="AH8" t="str">
        <f>IF(ISBLANK(JP!AJ12),"","x")</f>
        <v/>
      </c>
      <c r="AI8" t="str">
        <f>IF(ISBLANK(JP!AK12),"","x")</f>
        <v/>
      </c>
      <c r="AJ8" t="str">
        <f>IF(ISBLANK(JP!AL12),"","x")</f>
        <v/>
      </c>
      <c r="AK8" t="str">
        <f>IF(ISBLANK(JP!AM12),"","x")</f>
        <v/>
      </c>
      <c r="AL8" t="str">
        <f>IF(ISBLANK(JP!AN12),"","x")</f>
        <v/>
      </c>
      <c r="AM8" t="str">
        <f>IF(ISBLANK(JP!AO12),"","x")</f>
        <v/>
      </c>
      <c r="AN8" t="str">
        <f>IF(ISBLANK(JP!AP12),"","x")</f>
        <v/>
      </c>
      <c r="AO8" t="str">
        <f>IF(ISBLANK(JP!AR12),"","x")</f>
        <v/>
      </c>
      <c r="AP8" t="str">
        <f>IF(ISBLANK(JP!AS12),"","x")</f>
        <v/>
      </c>
      <c r="AQ8" t="str">
        <f>IF(ISBLANK(JP!AT12),"","x")</f>
        <v/>
      </c>
      <c r="AR8" t="str">
        <f>IF(ISBLANK(JP!AU12),"","x")</f>
        <v/>
      </c>
      <c r="AS8" t="str">
        <f>IF(ISBLANK(JP!AV12),"","x")</f>
        <v/>
      </c>
      <c r="AT8" t="str">
        <f>IF(ISBLANK(JP!AW12),"","x")</f>
        <v/>
      </c>
      <c r="AU8" t="str">
        <f>IF(ISBLANK(JP!AX12),"","x")</f>
        <v/>
      </c>
    </row>
    <row r="9" spans="2:47">
      <c r="B9">
        <f>IF(ISBLANK(JP!AZ13),"",JP!AZ13)</f>
        <v>10013983</v>
      </c>
      <c r="C9" t="str">
        <f>IF(ISBLANK(JP!BA13),"",JP!BA13)</f>
        <v>LAN HUAT</v>
      </c>
      <c r="D9" t="str">
        <f>IF(ISBLANK(JP!BC13),"",JP!BC13)</f>
        <v>36 CIRCUIT ROAD</v>
      </c>
      <c r="E9">
        <f>IF(ISBLANK(JP!BB13),"",JP!BB13)</f>
        <v>1</v>
      </c>
      <c r="F9" t="str">
        <f>IF(ISBLANK(JP!D13),"","x")</f>
        <v/>
      </c>
      <c r="G9" t="str">
        <f>IF(ISBLANK(JP!E13),"","x")</f>
        <v/>
      </c>
      <c r="H9" t="str">
        <f>IF(ISBLANK(JP!F13),"","x")</f>
        <v/>
      </c>
      <c r="I9" t="str">
        <f>IF(ISBLANK(JP!G13),"","x")</f>
        <v/>
      </c>
      <c r="J9" t="str">
        <f>IF(ISBLANK(JP!H13),"","x")</f>
        <v/>
      </c>
      <c r="K9" t="str">
        <f>IF(ISBLANK(JP!I13),"","x")</f>
        <v/>
      </c>
      <c r="L9" t="str">
        <f>IF(ISBLANK(JP!J13),"","x")</f>
        <v/>
      </c>
      <c r="M9" t="str">
        <f>IF(ISBLANK(JP!L13),"","x")</f>
        <v/>
      </c>
      <c r="N9" t="str">
        <f>IF(ISBLANK(JP!M13),"","x")</f>
        <v/>
      </c>
      <c r="O9" t="str">
        <f>IF(ISBLANK(JP!N13),"","x")</f>
        <v/>
      </c>
      <c r="P9" t="str">
        <f>IF(ISBLANK(JP!O13),"","x")</f>
        <v/>
      </c>
      <c r="Q9" t="str">
        <f>IF(ISBLANK(JP!P13),"","x")</f>
        <v/>
      </c>
      <c r="R9" t="str">
        <f>IF(ISBLANK(JP!Q13),"","x")</f>
        <v>x</v>
      </c>
      <c r="S9" t="str">
        <f>IF(ISBLANK(JP!R13),"","x")</f>
        <v/>
      </c>
      <c r="T9" t="str">
        <f>IF(ISBLANK(JP!T13),"","x")</f>
        <v/>
      </c>
      <c r="U9" t="str">
        <f>IF(ISBLANK(JP!U13),"","x")</f>
        <v/>
      </c>
      <c r="V9" t="str">
        <f>IF(ISBLANK(JP!V13),"","x")</f>
        <v/>
      </c>
      <c r="W9" t="str">
        <f>IF(ISBLANK(JP!W13),"","x")</f>
        <v/>
      </c>
      <c r="X9" t="str">
        <f>IF(ISBLANK(JP!X13),"","x")</f>
        <v/>
      </c>
      <c r="Y9" t="str">
        <f>IF(ISBLANK(JP!Y13),"","x")</f>
        <v/>
      </c>
      <c r="Z9" t="str">
        <f>IF(ISBLANK(JP!Z13),"","x")</f>
        <v/>
      </c>
      <c r="AA9" t="str">
        <f>IF(ISBLANK(JP!AB13),"","x")</f>
        <v/>
      </c>
      <c r="AB9" t="str">
        <f>IF(ISBLANK(JP!AC13),"","x")</f>
        <v/>
      </c>
      <c r="AC9" t="str">
        <f>IF(ISBLANK(JP!AD13),"","x")</f>
        <v/>
      </c>
      <c r="AD9" t="str">
        <f>IF(ISBLANK(JP!AE13),"","x")</f>
        <v/>
      </c>
      <c r="AE9" t="str">
        <f>IF(ISBLANK(JP!AF13),"","x")</f>
        <v/>
      </c>
      <c r="AF9" t="str">
        <f>IF(ISBLANK(JP!AG13),"","x")</f>
        <v/>
      </c>
      <c r="AG9" t="str">
        <f>IF(ISBLANK(JP!AH13),"","x")</f>
        <v/>
      </c>
      <c r="AH9" t="str">
        <f>IF(ISBLANK(JP!AJ13),"","x")</f>
        <v/>
      </c>
      <c r="AI9" t="str">
        <f>IF(ISBLANK(JP!AK13),"","x")</f>
        <v/>
      </c>
      <c r="AJ9" t="str">
        <f>IF(ISBLANK(JP!AL13),"","x")</f>
        <v/>
      </c>
      <c r="AK9" t="str">
        <f>IF(ISBLANK(JP!AM13),"","x")</f>
        <v/>
      </c>
      <c r="AL9" t="str">
        <f>IF(ISBLANK(JP!AN13),"","x")</f>
        <v/>
      </c>
      <c r="AM9" t="str">
        <f>IF(ISBLANK(JP!AO13),"","x")</f>
        <v/>
      </c>
      <c r="AN9" t="str">
        <f>IF(ISBLANK(JP!AP13),"","x")</f>
        <v/>
      </c>
      <c r="AO9" t="str">
        <f>IF(ISBLANK(JP!AR13),"","x")</f>
        <v/>
      </c>
      <c r="AP9" t="str">
        <f>IF(ISBLANK(JP!AS13),"","x")</f>
        <v/>
      </c>
      <c r="AQ9" t="str">
        <f>IF(ISBLANK(JP!AT13),"","x")</f>
        <v/>
      </c>
      <c r="AR9" t="str">
        <f>IF(ISBLANK(JP!AU13),"","x")</f>
        <v/>
      </c>
      <c r="AS9" t="str">
        <f>IF(ISBLANK(JP!AV13),"","x")</f>
        <v/>
      </c>
      <c r="AT9" t="str">
        <f>IF(ISBLANK(JP!AW13),"","x")</f>
        <v/>
      </c>
      <c r="AU9" t="str">
        <f>IF(ISBLANK(JP!AX13),"","x")</f>
        <v/>
      </c>
    </row>
    <row r="10" spans="2:47">
      <c r="B10">
        <f>IF(ISBLANK(JP!AZ14),"",JP!AZ14)</f>
        <v>10041913</v>
      </c>
      <c r="C10" t="str">
        <f>IF(ISBLANK(JP!BA14),"",JP!BA14)</f>
        <v>ACTIVE SUPERMARKET</v>
      </c>
      <c r="D10" t="str">
        <f>IF(ISBLANK(JP!BC14),"",JP!BC14)</f>
        <v>36 CIRCUIT ROAD</v>
      </c>
      <c r="E10">
        <f>IF(ISBLANK(JP!BB14),"",JP!BB14)</f>
        <v>1</v>
      </c>
      <c r="F10" t="str">
        <f>IF(ISBLANK(JP!D14),"","x")</f>
        <v/>
      </c>
      <c r="G10" t="str">
        <f>IF(ISBLANK(JP!E14),"","x")</f>
        <v/>
      </c>
      <c r="H10" t="str">
        <f>IF(ISBLANK(JP!F14),"","x")</f>
        <v/>
      </c>
      <c r="I10" t="str">
        <f>IF(ISBLANK(JP!G14),"","x")</f>
        <v/>
      </c>
      <c r="J10" t="str">
        <f>IF(ISBLANK(JP!H14),"","x")</f>
        <v/>
      </c>
      <c r="K10" t="str">
        <f>IF(ISBLANK(JP!I14),"","x")</f>
        <v/>
      </c>
      <c r="L10" t="str">
        <f>IF(ISBLANK(JP!J14),"","x")</f>
        <v/>
      </c>
      <c r="M10" t="str">
        <f>IF(ISBLANK(JP!L14),"","x")</f>
        <v/>
      </c>
      <c r="N10" t="str">
        <f>IF(ISBLANK(JP!M14),"","x")</f>
        <v/>
      </c>
      <c r="O10" t="str">
        <f>IF(ISBLANK(JP!N14),"","x")</f>
        <v/>
      </c>
      <c r="P10" t="str">
        <f>IF(ISBLANK(JP!O14),"","x")</f>
        <v/>
      </c>
      <c r="Q10" t="str">
        <f>IF(ISBLANK(JP!P14),"","x")</f>
        <v/>
      </c>
      <c r="R10" t="str">
        <f>IF(ISBLANK(JP!Q14),"","x")</f>
        <v>x</v>
      </c>
      <c r="S10" t="str">
        <f>IF(ISBLANK(JP!R14),"","x")</f>
        <v/>
      </c>
      <c r="T10" t="str">
        <f>IF(ISBLANK(JP!T14),"","x")</f>
        <v/>
      </c>
      <c r="U10" t="str">
        <f>IF(ISBLANK(JP!U14),"","x")</f>
        <v/>
      </c>
      <c r="V10" t="str">
        <f>IF(ISBLANK(JP!V14),"","x")</f>
        <v/>
      </c>
      <c r="W10" t="str">
        <f>IF(ISBLANK(JP!W14),"","x")</f>
        <v/>
      </c>
      <c r="X10" t="str">
        <f>IF(ISBLANK(JP!X14),"","x")</f>
        <v/>
      </c>
      <c r="Y10" t="str">
        <f>IF(ISBLANK(JP!Y14),"","x")</f>
        <v/>
      </c>
      <c r="Z10" t="str">
        <f>IF(ISBLANK(JP!Z14),"","x")</f>
        <v/>
      </c>
      <c r="AA10" t="str">
        <f>IF(ISBLANK(JP!AB14),"","x")</f>
        <v/>
      </c>
      <c r="AB10" t="str">
        <f>IF(ISBLANK(JP!AC14),"","x")</f>
        <v/>
      </c>
      <c r="AC10" t="str">
        <f>IF(ISBLANK(JP!AD14),"","x")</f>
        <v/>
      </c>
      <c r="AD10" t="str">
        <f>IF(ISBLANK(JP!AE14),"","x")</f>
        <v/>
      </c>
      <c r="AE10" t="str">
        <f>IF(ISBLANK(JP!AF14),"","x")</f>
        <v/>
      </c>
      <c r="AF10" t="str">
        <f>IF(ISBLANK(JP!AG14),"","x")</f>
        <v/>
      </c>
      <c r="AG10" t="str">
        <f>IF(ISBLANK(JP!AH14),"","x")</f>
        <v/>
      </c>
      <c r="AH10" t="str">
        <f>IF(ISBLANK(JP!AJ14),"","x")</f>
        <v/>
      </c>
      <c r="AI10" t="str">
        <f>IF(ISBLANK(JP!AK14),"","x")</f>
        <v/>
      </c>
      <c r="AJ10" t="str">
        <f>IF(ISBLANK(JP!AL14),"","x")</f>
        <v/>
      </c>
      <c r="AK10" t="str">
        <f>IF(ISBLANK(JP!AM14),"","x")</f>
        <v/>
      </c>
      <c r="AL10" t="str">
        <f>IF(ISBLANK(JP!AN14),"","x")</f>
        <v/>
      </c>
      <c r="AM10" t="str">
        <f>IF(ISBLANK(JP!AO14),"","x")</f>
        <v/>
      </c>
      <c r="AN10" t="str">
        <f>IF(ISBLANK(JP!AP14),"","x")</f>
        <v/>
      </c>
      <c r="AO10" t="str">
        <f>IF(ISBLANK(JP!AR14),"","x")</f>
        <v/>
      </c>
      <c r="AP10" t="str">
        <f>IF(ISBLANK(JP!AS14),"","x")</f>
        <v/>
      </c>
      <c r="AQ10" t="str">
        <f>IF(ISBLANK(JP!AT14),"","x")</f>
        <v/>
      </c>
      <c r="AR10" t="str">
        <f>IF(ISBLANK(JP!AU14),"","x")</f>
        <v/>
      </c>
      <c r="AS10" t="str">
        <f>IF(ISBLANK(JP!AV14),"","x")</f>
        <v/>
      </c>
      <c r="AT10" t="str">
        <f>IF(ISBLANK(JP!AW14),"","x")</f>
        <v/>
      </c>
      <c r="AU10" t="str">
        <f>IF(ISBLANK(JP!AX14),"","x")</f>
        <v/>
      </c>
    </row>
    <row r="11" spans="2:47">
      <c r="B11">
        <f>IF(ISBLANK(JP!AZ15),"",JP!AZ15)</f>
        <v>10013986</v>
      </c>
      <c r="C11" t="str">
        <f>IF(ISBLANK(JP!BA15),"",JP!BA15)</f>
        <v>LIEN SENG TRADING</v>
      </c>
      <c r="D11" t="str">
        <f>IF(ISBLANK(JP!BC15),"",JP!BC15)</f>
        <v>37 CIRCUIT ROAD</v>
      </c>
      <c r="E11">
        <f>IF(ISBLANK(JP!BB15),"",JP!BB15)</f>
        <v>1</v>
      </c>
      <c r="F11" t="str">
        <f>IF(ISBLANK(JP!D15),"","x")</f>
        <v/>
      </c>
      <c r="G11" t="str">
        <f>IF(ISBLANK(JP!E15),"","x")</f>
        <v/>
      </c>
      <c r="H11" t="str">
        <f>IF(ISBLANK(JP!F15),"","x")</f>
        <v/>
      </c>
      <c r="I11" t="str">
        <f>IF(ISBLANK(JP!G15),"","x")</f>
        <v/>
      </c>
      <c r="J11" t="str">
        <f>IF(ISBLANK(JP!H15),"","x")</f>
        <v/>
      </c>
      <c r="K11" t="str">
        <f>IF(ISBLANK(JP!I15),"","x")</f>
        <v/>
      </c>
      <c r="L11" t="str">
        <f>IF(ISBLANK(JP!J15),"","x")</f>
        <v/>
      </c>
      <c r="M11" t="str">
        <f>IF(ISBLANK(JP!L15),"","x")</f>
        <v/>
      </c>
      <c r="N11" t="str">
        <f>IF(ISBLANK(JP!M15),"","x")</f>
        <v/>
      </c>
      <c r="O11" t="str">
        <f>IF(ISBLANK(JP!N15),"","x")</f>
        <v/>
      </c>
      <c r="P11" t="str">
        <f>IF(ISBLANK(JP!O15),"","x")</f>
        <v/>
      </c>
      <c r="Q11" t="str">
        <f>IF(ISBLANK(JP!P15),"","x")</f>
        <v>x</v>
      </c>
      <c r="R11" t="str">
        <f>IF(ISBLANK(JP!Q15),"","x")</f>
        <v/>
      </c>
      <c r="S11" t="str">
        <f>IF(ISBLANK(JP!R15),"","x")</f>
        <v/>
      </c>
      <c r="T11" t="str">
        <f>IF(ISBLANK(JP!T15),"","x")</f>
        <v/>
      </c>
      <c r="U11" t="str">
        <f>IF(ISBLANK(JP!U15),"","x")</f>
        <v/>
      </c>
      <c r="V11" t="str">
        <f>IF(ISBLANK(JP!V15),"","x")</f>
        <v/>
      </c>
      <c r="W11" t="str">
        <f>IF(ISBLANK(JP!W15),"","x")</f>
        <v/>
      </c>
      <c r="X11" t="str">
        <f>IF(ISBLANK(JP!X15),"","x")</f>
        <v/>
      </c>
      <c r="Y11" t="str">
        <f>IF(ISBLANK(JP!Y15),"","x")</f>
        <v/>
      </c>
      <c r="Z11" t="str">
        <f>IF(ISBLANK(JP!Z15),"","x")</f>
        <v/>
      </c>
      <c r="AA11" t="str">
        <f>IF(ISBLANK(JP!AB15),"","x")</f>
        <v/>
      </c>
      <c r="AB11" t="str">
        <f>IF(ISBLANK(JP!AC15),"","x")</f>
        <v/>
      </c>
      <c r="AC11" t="str">
        <f>IF(ISBLANK(JP!AD15),"","x")</f>
        <v/>
      </c>
      <c r="AD11" t="str">
        <f>IF(ISBLANK(JP!AE15),"","x")</f>
        <v/>
      </c>
      <c r="AE11" t="str">
        <f>IF(ISBLANK(JP!AF15),"","x")</f>
        <v/>
      </c>
      <c r="AF11" t="str">
        <f>IF(ISBLANK(JP!AG15),"","x")</f>
        <v/>
      </c>
      <c r="AG11" t="str">
        <f>IF(ISBLANK(JP!AH15),"","x")</f>
        <v/>
      </c>
      <c r="AH11" t="str">
        <f>IF(ISBLANK(JP!AJ15),"","x")</f>
        <v/>
      </c>
      <c r="AI11" t="str">
        <f>IF(ISBLANK(JP!AK15),"","x")</f>
        <v/>
      </c>
      <c r="AJ11" t="str">
        <f>IF(ISBLANK(JP!AL15),"","x")</f>
        <v/>
      </c>
      <c r="AK11" t="str">
        <f>IF(ISBLANK(JP!AM15),"","x")</f>
        <v/>
      </c>
      <c r="AL11" t="str">
        <f>IF(ISBLANK(JP!AN15),"","x")</f>
        <v/>
      </c>
      <c r="AM11" t="str">
        <f>IF(ISBLANK(JP!AO15),"","x")</f>
        <v/>
      </c>
      <c r="AN11" t="str">
        <f>IF(ISBLANK(JP!AP15),"","x")</f>
        <v/>
      </c>
      <c r="AO11" t="str">
        <f>IF(ISBLANK(JP!AR15),"","x")</f>
        <v/>
      </c>
      <c r="AP11" t="str">
        <f>IF(ISBLANK(JP!AS15),"","x")</f>
        <v/>
      </c>
      <c r="AQ11" t="str">
        <f>IF(ISBLANK(JP!AT15),"","x")</f>
        <v/>
      </c>
      <c r="AR11" t="str">
        <f>IF(ISBLANK(JP!AU15),"","x")</f>
        <v/>
      </c>
      <c r="AS11" t="str">
        <f>IF(ISBLANK(JP!AV15),"","x")</f>
        <v/>
      </c>
      <c r="AT11" t="str">
        <f>IF(ISBLANK(JP!AW15),"","x")</f>
        <v/>
      </c>
      <c r="AU11" t="str">
        <f>IF(ISBLANK(JP!AX15),"","x")</f>
        <v/>
      </c>
    </row>
    <row r="12" spans="2:47">
      <c r="B12">
        <f>IF(ISBLANK(JP!AZ16),"",JP!AZ16)</f>
        <v>10026103</v>
      </c>
      <c r="C12" t="str">
        <f>IF(ISBLANK(JP!BA16),"",JP!BA16)</f>
        <v>GOOD LUCK PROVISION SHOP (CIRCUIT RD)</v>
      </c>
      <c r="D12" t="str">
        <f>IF(ISBLANK(JP!BC16),"",JP!BC16)</f>
        <v>37 CIRCUIT ROAD</v>
      </c>
      <c r="E12">
        <f>IF(ISBLANK(JP!BB16),"",JP!BB16)</f>
        <v>1</v>
      </c>
      <c r="F12" t="str">
        <f>IF(ISBLANK(JP!D16),"","x")</f>
        <v/>
      </c>
      <c r="G12" t="str">
        <f>IF(ISBLANK(JP!E16),"","x")</f>
        <v/>
      </c>
      <c r="H12" t="str">
        <f>IF(ISBLANK(JP!F16),"","x")</f>
        <v/>
      </c>
      <c r="I12" t="str">
        <f>IF(ISBLANK(JP!G16),"","x")</f>
        <v/>
      </c>
      <c r="J12" t="str">
        <f>IF(ISBLANK(JP!H16),"","x")</f>
        <v/>
      </c>
      <c r="K12" t="str">
        <f>IF(ISBLANK(JP!I16),"","x")</f>
        <v/>
      </c>
      <c r="L12" t="str">
        <f>IF(ISBLANK(JP!J16),"","x")</f>
        <v/>
      </c>
      <c r="M12" t="str">
        <f>IF(ISBLANK(JP!L16),"","x")</f>
        <v/>
      </c>
      <c r="N12" t="str">
        <f>IF(ISBLANK(JP!M16),"","x")</f>
        <v/>
      </c>
      <c r="O12" t="str">
        <f>IF(ISBLANK(JP!N16),"","x")</f>
        <v/>
      </c>
      <c r="P12" t="str">
        <f>IF(ISBLANK(JP!O16),"","x")</f>
        <v>x</v>
      </c>
      <c r="Q12" t="str">
        <f>IF(ISBLANK(JP!P16),"","x")</f>
        <v/>
      </c>
      <c r="R12" t="str">
        <f>IF(ISBLANK(JP!Q16),"","x")</f>
        <v/>
      </c>
      <c r="S12" t="str">
        <f>IF(ISBLANK(JP!R16),"","x")</f>
        <v/>
      </c>
      <c r="T12" t="str">
        <f>IF(ISBLANK(JP!T16),"","x")</f>
        <v/>
      </c>
      <c r="U12" t="str">
        <f>IF(ISBLANK(JP!U16),"","x")</f>
        <v>x</v>
      </c>
      <c r="V12" t="str">
        <f>IF(ISBLANK(JP!V16),"","x")</f>
        <v/>
      </c>
      <c r="W12" t="str">
        <f>IF(ISBLANK(JP!W16),"","x")</f>
        <v/>
      </c>
      <c r="X12" t="str">
        <f>IF(ISBLANK(JP!X16),"","x")</f>
        <v/>
      </c>
      <c r="Y12" t="str">
        <f>IF(ISBLANK(JP!Y16),"","x")</f>
        <v/>
      </c>
      <c r="Z12" t="str">
        <f>IF(ISBLANK(JP!Z16),"","x")</f>
        <v/>
      </c>
      <c r="AA12" t="str">
        <f>IF(ISBLANK(JP!AB16),"","x")</f>
        <v/>
      </c>
      <c r="AB12" t="str">
        <f>IF(ISBLANK(JP!AC16),"","x")</f>
        <v/>
      </c>
      <c r="AC12" t="str">
        <f>IF(ISBLANK(JP!AD16),"","x")</f>
        <v/>
      </c>
      <c r="AD12" t="str">
        <f>IF(ISBLANK(JP!AE16),"","x")</f>
        <v/>
      </c>
      <c r="AE12" t="str">
        <f>IF(ISBLANK(JP!AF16),"","x")</f>
        <v/>
      </c>
      <c r="AF12" t="str">
        <f>IF(ISBLANK(JP!AG16),"","x")</f>
        <v/>
      </c>
      <c r="AG12" t="str">
        <f>IF(ISBLANK(JP!AH16),"","x")</f>
        <v/>
      </c>
      <c r="AH12" t="str">
        <f>IF(ISBLANK(JP!AJ16),"","x")</f>
        <v/>
      </c>
      <c r="AI12" t="str">
        <f>IF(ISBLANK(JP!AK16),"","x")</f>
        <v/>
      </c>
      <c r="AJ12" t="str">
        <f>IF(ISBLANK(JP!AL16),"","x")</f>
        <v/>
      </c>
      <c r="AK12" t="str">
        <f>IF(ISBLANK(JP!AM16),"","x")</f>
        <v/>
      </c>
      <c r="AL12" t="str">
        <f>IF(ISBLANK(JP!AN16),"","x")</f>
        <v/>
      </c>
      <c r="AM12" t="str">
        <f>IF(ISBLANK(JP!AO16),"","x")</f>
        <v/>
      </c>
      <c r="AN12" t="str">
        <f>IF(ISBLANK(JP!AP16),"","x")</f>
        <v/>
      </c>
      <c r="AO12" t="str">
        <f>IF(ISBLANK(JP!AR16),"","x")</f>
        <v/>
      </c>
      <c r="AP12" t="str">
        <f>IF(ISBLANK(JP!AS16),"","x")</f>
        <v/>
      </c>
      <c r="AQ12" t="str">
        <f>IF(ISBLANK(JP!AT16),"","x")</f>
        <v/>
      </c>
      <c r="AR12" t="str">
        <f>IF(ISBLANK(JP!AU16),"","x")</f>
        <v/>
      </c>
      <c r="AS12" t="str">
        <f>IF(ISBLANK(JP!AV16),"","x")</f>
        <v/>
      </c>
      <c r="AT12" t="str">
        <f>IF(ISBLANK(JP!AW16),"","x")</f>
        <v/>
      </c>
      <c r="AU12" t="str">
        <f>IF(ISBLANK(JP!AX16),"","x")</f>
        <v/>
      </c>
    </row>
    <row r="13" spans="2:47">
      <c r="B13">
        <f>IF(ISBLANK(JP!AZ17),"",JP!AZ17)</f>
        <v>10042355</v>
      </c>
      <c r="C13" t="str">
        <f>IF(ISBLANK(JP!BA17),"",JP!BA17)</f>
        <v>J&amp;S TRADING</v>
      </c>
      <c r="D13" t="str">
        <f>IF(ISBLANK(JP!BC17),"",JP!BC17)</f>
        <v>51 CIRCUIT ROAD</v>
      </c>
      <c r="E13">
        <f>IF(ISBLANK(JP!BB17),"",JP!BB17)</f>
        <v>1</v>
      </c>
      <c r="F13" t="str">
        <f>IF(ISBLANK(JP!D17),"","x")</f>
        <v/>
      </c>
      <c r="G13" t="str">
        <f>IF(ISBLANK(JP!E17),"","x")</f>
        <v/>
      </c>
      <c r="H13" t="str">
        <f>IF(ISBLANK(JP!F17),"","x")</f>
        <v/>
      </c>
      <c r="I13" t="str">
        <f>IF(ISBLANK(JP!G17),"","x")</f>
        <v/>
      </c>
      <c r="J13" t="str">
        <f>IF(ISBLANK(JP!H17),"","x")</f>
        <v/>
      </c>
      <c r="K13" t="str">
        <f>IF(ISBLANK(JP!I17),"","x")</f>
        <v/>
      </c>
      <c r="L13" t="str">
        <f>IF(ISBLANK(JP!J17),"","x")</f>
        <v/>
      </c>
      <c r="M13" t="str">
        <f>IF(ISBLANK(JP!L17),"","x")</f>
        <v/>
      </c>
      <c r="N13" t="str">
        <f>IF(ISBLANK(JP!M17),"","x")</f>
        <v/>
      </c>
      <c r="O13" t="str">
        <f>IF(ISBLANK(JP!N17),"","x")</f>
        <v/>
      </c>
      <c r="P13" t="str">
        <f>IF(ISBLANK(JP!O17),"","x")</f>
        <v/>
      </c>
      <c r="Q13" t="str">
        <f>IF(ISBLANK(JP!P17),"","x")</f>
        <v/>
      </c>
      <c r="R13" t="str">
        <f>IF(ISBLANK(JP!Q17),"","x")</f>
        <v/>
      </c>
      <c r="S13" t="str">
        <f>IF(ISBLANK(JP!R17),"","x")</f>
        <v/>
      </c>
      <c r="T13" t="str">
        <f>IF(ISBLANK(JP!T17),"","x")</f>
        <v/>
      </c>
      <c r="U13" t="str">
        <f>IF(ISBLANK(JP!U17),"","x")</f>
        <v>x</v>
      </c>
      <c r="V13" t="str">
        <f>IF(ISBLANK(JP!V17),"","x")</f>
        <v/>
      </c>
      <c r="W13" t="str">
        <f>IF(ISBLANK(JP!W17),"","x")</f>
        <v/>
      </c>
      <c r="X13" t="str">
        <f>IF(ISBLANK(JP!X17),"","x")</f>
        <v/>
      </c>
      <c r="Y13" t="str">
        <f>IF(ISBLANK(JP!Y17),"","x")</f>
        <v/>
      </c>
      <c r="Z13" t="str">
        <f>IF(ISBLANK(JP!Z17),"","x")</f>
        <v/>
      </c>
      <c r="AA13" t="str">
        <f>IF(ISBLANK(JP!AB17),"","x")</f>
        <v/>
      </c>
      <c r="AB13" t="str">
        <f>IF(ISBLANK(JP!AC17),"","x")</f>
        <v/>
      </c>
      <c r="AC13" t="str">
        <f>IF(ISBLANK(JP!AD17),"","x")</f>
        <v/>
      </c>
      <c r="AD13" t="str">
        <f>IF(ISBLANK(JP!AE17),"","x")</f>
        <v/>
      </c>
      <c r="AE13" t="str">
        <f>IF(ISBLANK(JP!AF17),"","x")</f>
        <v/>
      </c>
      <c r="AF13" t="str">
        <f>IF(ISBLANK(JP!AG17),"","x")</f>
        <v/>
      </c>
      <c r="AG13" t="str">
        <f>IF(ISBLANK(JP!AH17),"","x")</f>
        <v/>
      </c>
      <c r="AH13" t="str">
        <f>IF(ISBLANK(JP!AJ17),"","x")</f>
        <v/>
      </c>
      <c r="AI13" t="str">
        <f>IF(ISBLANK(JP!AK17),"","x")</f>
        <v/>
      </c>
      <c r="AJ13" t="str">
        <f>IF(ISBLANK(JP!AL17),"","x")</f>
        <v/>
      </c>
      <c r="AK13" t="str">
        <f>IF(ISBLANK(JP!AM17),"","x")</f>
        <v/>
      </c>
      <c r="AL13" t="str">
        <f>IF(ISBLANK(JP!AN17),"","x")</f>
        <v/>
      </c>
      <c r="AM13" t="str">
        <f>IF(ISBLANK(JP!AO17),"","x")</f>
        <v/>
      </c>
      <c r="AN13" t="str">
        <f>IF(ISBLANK(JP!AP17),"","x")</f>
        <v/>
      </c>
      <c r="AO13" t="str">
        <f>IF(ISBLANK(JP!AR17),"","x")</f>
        <v/>
      </c>
      <c r="AP13" t="str">
        <f>IF(ISBLANK(JP!AS17),"","x")</f>
        <v/>
      </c>
      <c r="AQ13" t="str">
        <f>IF(ISBLANK(JP!AT17),"","x")</f>
        <v/>
      </c>
      <c r="AR13" t="str">
        <f>IF(ISBLANK(JP!AU17),"","x")</f>
        <v/>
      </c>
      <c r="AS13" t="str">
        <f>IF(ISBLANK(JP!AV17),"","x")</f>
        <v/>
      </c>
      <c r="AT13" t="str">
        <f>IF(ISBLANK(JP!AW17),"","x")</f>
        <v/>
      </c>
      <c r="AU13" t="str">
        <f>IF(ISBLANK(JP!AX17),"","x")</f>
        <v/>
      </c>
    </row>
    <row r="14" spans="2:47">
      <c r="B14">
        <f>IF(ISBLANK(JP!AZ18),"",JP!AZ18)</f>
        <v>10040938</v>
      </c>
      <c r="C14" t="str">
        <f>IF(ISBLANK(JP!BA18),"",JP!BA18)</f>
        <v>U MART APEX MOON PTE. LTD.</v>
      </c>
      <c r="D14" t="str">
        <f>IF(ISBLANK(JP!BC18),"",JP!BC18)</f>
        <v>64 CIRCUIT ROAD</v>
      </c>
      <c r="E14">
        <f>IF(ISBLANK(JP!BB18),"",JP!BB18)</f>
        <v>1</v>
      </c>
      <c r="F14" t="str">
        <f>IF(ISBLANK(JP!D18),"","x")</f>
        <v/>
      </c>
      <c r="G14" t="str">
        <f>IF(ISBLANK(JP!E18),"","x")</f>
        <v/>
      </c>
      <c r="H14" t="str">
        <f>IF(ISBLANK(JP!F18),"","x")</f>
        <v/>
      </c>
      <c r="I14" t="str">
        <f>IF(ISBLANK(JP!G18),"","x")</f>
        <v/>
      </c>
      <c r="J14" t="str">
        <f>IF(ISBLANK(JP!H18),"","x")</f>
        <v/>
      </c>
      <c r="K14" t="str">
        <f>IF(ISBLANK(JP!I18),"","x")</f>
        <v/>
      </c>
      <c r="L14" t="str">
        <f>IF(ISBLANK(JP!J18),"","x")</f>
        <v/>
      </c>
      <c r="M14" t="str">
        <f>IF(ISBLANK(JP!L18),"","x")</f>
        <v/>
      </c>
      <c r="N14" t="str">
        <f>IF(ISBLANK(JP!M18),"","x")</f>
        <v/>
      </c>
      <c r="O14" t="str">
        <f>IF(ISBLANK(JP!N18),"","x")</f>
        <v/>
      </c>
      <c r="P14" t="str">
        <f>IF(ISBLANK(JP!O18),"","x")</f>
        <v/>
      </c>
      <c r="Q14" t="str">
        <f>IF(ISBLANK(JP!P18),"","x")</f>
        <v/>
      </c>
      <c r="R14" t="str">
        <f>IF(ISBLANK(JP!Q18),"","x")</f>
        <v/>
      </c>
      <c r="S14" t="str">
        <f>IF(ISBLANK(JP!R18),"","x")</f>
        <v/>
      </c>
      <c r="T14" t="str">
        <f>IF(ISBLANK(JP!T18),"","x")</f>
        <v/>
      </c>
      <c r="U14" t="str">
        <f>IF(ISBLANK(JP!U18),"","x")</f>
        <v/>
      </c>
      <c r="V14" t="str">
        <f>IF(ISBLANK(JP!V18),"","x")</f>
        <v>x</v>
      </c>
      <c r="W14" t="str">
        <f>IF(ISBLANK(JP!W18),"","x")</f>
        <v>x</v>
      </c>
      <c r="X14" t="str">
        <f>IF(ISBLANK(JP!X18),"","x")</f>
        <v/>
      </c>
      <c r="Y14" t="str">
        <f>IF(ISBLANK(JP!Y18),"","x")</f>
        <v/>
      </c>
      <c r="Z14" t="str">
        <f>IF(ISBLANK(JP!Z18),"","x")</f>
        <v/>
      </c>
      <c r="AA14" t="str">
        <f>IF(ISBLANK(JP!AB18),"","x")</f>
        <v/>
      </c>
      <c r="AB14" t="str">
        <f>IF(ISBLANK(JP!AC18),"","x")</f>
        <v/>
      </c>
      <c r="AC14" t="str">
        <f>IF(ISBLANK(JP!AD18),"","x")</f>
        <v/>
      </c>
      <c r="AD14" t="str">
        <f>IF(ISBLANK(JP!AE18),"","x")</f>
        <v/>
      </c>
      <c r="AE14" t="str">
        <f>IF(ISBLANK(JP!AF18),"","x")</f>
        <v/>
      </c>
      <c r="AF14" t="str">
        <f>IF(ISBLANK(JP!AG18),"","x")</f>
        <v/>
      </c>
      <c r="AG14" t="str">
        <f>IF(ISBLANK(JP!AH18),"","x")</f>
        <v/>
      </c>
      <c r="AH14" t="str">
        <f>IF(ISBLANK(JP!AJ18),"","x")</f>
        <v/>
      </c>
      <c r="AI14" t="str">
        <f>IF(ISBLANK(JP!AK18),"","x")</f>
        <v/>
      </c>
      <c r="AJ14" t="str">
        <f>IF(ISBLANK(JP!AL18),"","x")</f>
        <v/>
      </c>
      <c r="AK14" t="str">
        <f>IF(ISBLANK(JP!AM18),"","x")</f>
        <v/>
      </c>
      <c r="AL14" t="str">
        <f>IF(ISBLANK(JP!AN18),"","x")</f>
        <v/>
      </c>
      <c r="AM14" t="str">
        <f>IF(ISBLANK(JP!AO18),"","x")</f>
        <v/>
      </c>
      <c r="AN14" t="str">
        <f>IF(ISBLANK(JP!AP18),"","x")</f>
        <v/>
      </c>
      <c r="AO14" t="str">
        <f>IF(ISBLANK(JP!AR18),"","x")</f>
        <v/>
      </c>
      <c r="AP14" t="str">
        <f>IF(ISBLANK(JP!AS18),"","x")</f>
        <v/>
      </c>
      <c r="AQ14" t="str">
        <f>IF(ISBLANK(JP!AT18),"","x")</f>
        <v/>
      </c>
      <c r="AR14" t="str">
        <f>IF(ISBLANK(JP!AU18),"","x")</f>
        <v/>
      </c>
      <c r="AS14" t="str">
        <f>IF(ISBLANK(JP!AV18),"","x")</f>
        <v/>
      </c>
      <c r="AT14" t="str">
        <f>IF(ISBLANK(JP!AW18),"","x")</f>
        <v/>
      </c>
      <c r="AU14" t="str">
        <f>IF(ISBLANK(JP!AX18),"","x")</f>
        <v/>
      </c>
    </row>
    <row r="15" spans="2:47">
      <c r="B15">
        <f>IF(ISBLANK(JP!AZ19),"",JP!AZ19)</f>
        <v>10042780</v>
      </c>
      <c r="C15" t="str">
        <f>IF(ISBLANK(JP!BA19),"",JP!BA19)</f>
        <v>ESWER MINIMART</v>
      </c>
      <c r="D15" t="str">
        <f>IF(ISBLANK(JP!BC19),"",JP!BC19)</f>
        <v>64 CIRCUIT ROAD</v>
      </c>
      <c r="E15">
        <f>IF(ISBLANK(JP!BB19),"",JP!BB19)</f>
        <v>1</v>
      </c>
      <c r="F15" t="str">
        <f>IF(ISBLANK(JP!D19),"","x")</f>
        <v/>
      </c>
      <c r="G15" t="str">
        <f>IF(ISBLANK(JP!E19),"","x")</f>
        <v/>
      </c>
      <c r="H15" t="str">
        <f>IF(ISBLANK(JP!F19),"","x")</f>
        <v/>
      </c>
      <c r="I15" t="str">
        <f>IF(ISBLANK(JP!G19),"","x")</f>
        <v/>
      </c>
      <c r="J15" t="str">
        <f>IF(ISBLANK(JP!H19),"","x")</f>
        <v/>
      </c>
      <c r="K15" t="str">
        <f>IF(ISBLANK(JP!I19),"","x")</f>
        <v/>
      </c>
      <c r="L15" t="str">
        <f>IF(ISBLANK(JP!J19),"","x")</f>
        <v/>
      </c>
      <c r="M15" t="str">
        <f>IF(ISBLANK(JP!L19),"","x")</f>
        <v/>
      </c>
      <c r="N15" t="str">
        <f>IF(ISBLANK(JP!M19),"","x")</f>
        <v/>
      </c>
      <c r="O15" t="str">
        <f>IF(ISBLANK(JP!N19),"","x")</f>
        <v/>
      </c>
      <c r="P15" t="str">
        <f>IF(ISBLANK(JP!O19),"","x")</f>
        <v/>
      </c>
      <c r="Q15" t="str">
        <f>IF(ISBLANK(JP!P19),"","x")</f>
        <v/>
      </c>
      <c r="R15" t="str">
        <f>IF(ISBLANK(JP!Q19),"","x")</f>
        <v/>
      </c>
      <c r="S15" t="str">
        <f>IF(ISBLANK(JP!R19),"","x")</f>
        <v/>
      </c>
      <c r="T15" t="str">
        <f>IF(ISBLANK(JP!T19),"","x")</f>
        <v/>
      </c>
      <c r="U15" t="str">
        <f>IF(ISBLANK(JP!U19),"","x")</f>
        <v/>
      </c>
      <c r="V15" t="str">
        <f>IF(ISBLANK(JP!V19),"","x")</f>
        <v/>
      </c>
      <c r="W15" t="str">
        <f>IF(ISBLANK(JP!W19),"","x")</f>
        <v/>
      </c>
      <c r="X15" t="str">
        <f>IF(ISBLANK(JP!X19),"","x")</f>
        <v>x</v>
      </c>
      <c r="Y15" t="str">
        <f>IF(ISBLANK(JP!Y19),"","x")</f>
        <v/>
      </c>
      <c r="Z15" t="str">
        <f>IF(ISBLANK(JP!Z19),"","x")</f>
        <v/>
      </c>
      <c r="AA15" t="str">
        <f>IF(ISBLANK(JP!AB19),"","x")</f>
        <v/>
      </c>
      <c r="AB15" t="str">
        <f>IF(ISBLANK(JP!AC19),"","x")</f>
        <v/>
      </c>
      <c r="AC15" t="str">
        <f>IF(ISBLANK(JP!AD19),"","x")</f>
        <v/>
      </c>
      <c r="AD15" t="str">
        <f>IF(ISBLANK(JP!AE19),"","x")</f>
        <v/>
      </c>
      <c r="AE15" t="str">
        <f>IF(ISBLANK(JP!AF19),"","x")</f>
        <v/>
      </c>
      <c r="AF15" t="str">
        <f>IF(ISBLANK(JP!AG19),"","x")</f>
        <v/>
      </c>
      <c r="AG15" t="str">
        <f>IF(ISBLANK(JP!AH19),"","x")</f>
        <v/>
      </c>
      <c r="AH15" t="str">
        <f>IF(ISBLANK(JP!AJ19),"","x")</f>
        <v/>
      </c>
      <c r="AI15" t="str">
        <f>IF(ISBLANK(JP!AK19),"","x")</f>
        <v/>
      </c>
      <c r="AJ15" t="str">
        <f>IF(ISBLANK(JP!AL19),"","x")</f>
        <v/>
      </c>
      <c r="AK15" t="str">
        <f>IF(ISBLANK(JP!AM19),"","x")</f>
        <v/>
      </c>
      <c r="AL15" t="str">
        <f>IF(ISBLANK(JP!AN19),"","x")</f>
        <v/>
      </c>
      <c r="AM15" t="str">
        <f>IF(ISBLANK(JP!AO19),"","x")</f>
        <v/>
      </c>
      <c r="AN15" t="str">
        <f>IF(ISBLANK(JP!AP19),"","x")</f>
        <v/>
      </c>
      <c r="AO15" t="str">
        <f>IF(ISBLANK(JP!AR19),"","x")</f>
        <v/>
      </c>
      <c r="AP15" t="str">
        <f>IF(ISBLANK(JP!AS19),"","x")</f>
        <v/>
      </c>
      <c r="AQ15" t="str">
        <f>IF(ISBLANK(JP!AT19),"","x")</f>
        <v/>
      </c>
      <c r="AR15" t="str">
        <f>IF(ISBLANK(JP!AU19),"","x")</f>
        <v/>
      </c>
      <c r="AS15" t="str">
        <f>IF(ISBLANK(JP!AV19),"","x")</f>
        <v/>
      </c>
      <c r="AT15" t="str">
        <f>IF(ISBLANK(JP!AW19),"","x")</f>
        <v/>
      </c>
      <c r="AU15" t="str">
        <f>IF(ISBLANK(JP!AX19),"","x")</f>
        <v/>
      </c>
    </row>
    <row r="16" spans="2:47">
      <c r="B16">
        <f>IF(ISBLANK(JP!AZ20),"",JP!AZ20)</f>
        <v>10044549</v>
      </c>
      <c r="C16" t="str">
        <f>IF(ISBLANK(JP!BA20),"",JP!BA20)</f>
        <v>MURUGAN TRADERS PTE LTD (CIRCUIT)</v>
      </c>
      <c r="D16" t="str">
        <f>IF(ISBLANK(JP!BC20),"",JP!BC20)</f>
        <v>64 CIRCUIT ROAD</v>
      </c>
      <c r="E16">
        <f>IF(ISBLANK(JP!BB20),"",JP!BB20)</f>
        <v>1</v>
      </c>
      <c r="F16" t="str">
        <f>IF(ISBLANK(JP!D20),"","x")</f>
        <v/>
      </c>
      <c r="G16" t="str">
        <f>IF(ISBLANK(JP!E20),"","x")</f>
        <v/>
      </c>
      <c r="H16" t="str">
        <f>IF(ISBLANK(JP!F20),"","x")</f>
        <v/>
      </c>
      <c r="I16" t="str">
        <f>IF(ISBLANK(JP!G20),"","x")</f>
        <v/>
      </c>
      <c r="J16" t="str">
        <f>IF(ISBLANK(JP!H20),"","x")</f>
        <v/>
      </c>
      <c r="K16" t="str">
        <f>IF(ISBLANK(JP!I20),"","x")</f>
        <v/>
      </c>
      <c r="L16" t="str">
        <f>IF(ISBLANK(JP!J20),"","x")</f>
        <v/>
      </c>
      <c r="M16" t="str">
        <f>IF(ISBLANK(JP!L20),"","x")</f>
        <v/>
      </c>
      <c r="N16" t="str">
        <f>IF(ISBLANK(JP!M20),"","x")</f>
        <v/>
      </c>
      <c r="O16" t="str">
        <f>IF(ISBLANK(JP!N20),"","x")</f>
        <v/>
      </c>
      <c r="P16" t="str">
        <f>IF(ISBLANK(JP!O20),"","x")</f>
        <v/>
      </c>
      <c r="Q16" t="str">
        <f>IF(ISBLANK(JP!P20),"","x")</f>
        <v/>
      </c>
      <c r="R16" t="str">
        <f>IF(ISBLANK(JP!Q20),"","x")</f>
        <v/>
      </c>
      <c r="S16" t="str">
        <f>IF(ISBLANK(JP!R20),"","x")</f>
        <v/>
      </c>
      <c r="T16" t="str">
        <f>IF(ISBLANK(JP!T20),"","x")</f>
        <v/>
      </c>
      <c r="U16" t="str">
        <f>IF(ISBLANK(JP!U20),"","x")</f>
        <v/>
      </c>
      <c r="V16" t="str">
        <f>IF(ISBLANK(JP!V20),"","x")</f>
        <v/>
      </c>
      <c r="W16" t="str">
        <f>IF(ISBLANK(JP!W20),"","x")</f>
        <v/>
      </c>
      <c r="X16" t="str">
        <f>IF(ISBLANK(JP!X20),"","x")</f>
        <v/>
      </c>
      <c r="Y16" t="str">
        <f>IF(ISBLANK(JP!Y20),"","x")</f>
        <v>x</v>
      </c>
      <c r="Z16" t="str">
        <f>IF(ISBLANK(JP!Z20),"","x")</f>
        <v/>
      </c>
      <c r="AA16" t="str">
        <f>IF(ISBLANK(JP!AB20),"","x")</f>
        <v/>
      </c>
      <c r="AB16" t="str">
        <f>IF(ISBLANK(JP!AC20),"","x")</f>
        <v/>
      </c>
      <c r="AC16" t="str">
        <f>IF(ISBLANK(JP!AD20),"","x")</f>
        <v/>
      </c>
      <c r="AD16" t="str">
        <f>IF(ISBLANK(JP!AE20),"","x")</f>
        <v/>
      </c>
      <c r="AE16" t="str">
        <f>IF(ISBLANK(JP!AF20),"","x")</f>
        <v/>
      </c>
      <c r="AF16" t="str">
        <f>IF(ISBLANK(JP!AG20),"","x")</f>
        <v/>
      </c>
      <c r="AG16" t="str">
        <f>IF(ISBLANK(JP!AH20),"","x")</f>
        <v/>
      </c>
      <c r="AH16" t="str">
        <f>IF(ISBLANK(JP!AJ20),"","x")</f>
        <v/>
      </c>
      <c r="AI16" t="str">
        <f>IF(ISBLANK(JP!AK20),"","x")</f>
        <v/>
      </c>
      <c r="AJ16" t="str">
        <f>IF(ISBLANK(JP!AL20),"","x")</f>
        <v/>
      </c>
      <c r="AK16" t="str">
        <f>IF(ISBLANK(JP!AM20),"","x")</f>
        <v/>
      </c>
      <c r="AL16" t="str">
        <f>IF(ISBLANK(JP!AN20),"","x")</f>
        <v/>
      </c>
      <c r="AM16" t="str">
        <f>IF(ISBLANK(JP!AO20),"","x")</f>
        <v/>
      </c>
      <c r="AN16" t="str">
        <f>IF(ISBLANK(JP!AP20),"","x")</f>
        <v/>
      </c>
      <c r="AO16" t="str">
        <f>IF(ISBLANK(JP!AR20),"","x")</f>
        <v/>
      </c>
      <c r="AP16" t="str">
        <f>IF(ISBLANK(JP!AS20),"","x")</f>
        <v/>
      </c>
      <c r="AQ16" t="str">
        <f>IF(ISBLANK(JP!AT20),"","x")</f>
        <v/>
      </c>
      <c r="AR16" t="str">
        <f>IF(ISBLANK(JP!AU20),"","x")</f>
        <v/>
      </c>
      <c r="AS16" t="str">
        <f>IF(ISBLANK(JP!AV20),"","x")</f>
        <v/>
      </c>
      <c r="AT16" t="str">
        <f>IF(ISBLANK(JP!AW20),"","x")</f>
        <v/>
      </c>
      <c r="AU16" t="str">
        <f>IF(ISBLANK(JP!AX20),"","x")</f>
        <v/>
      </c>
    </row>
    <row r="17" spans="2:47">
      <c r="B17">
        <f>IF(ISBLANK(JP!AZ21),"",JP!AZ21)</f>
        <v>10046046</v>
      </c>
      <c r="C17" t="str">
        <f>IF(ISBLANK(JP!BA21),"",JP!BA21)</f>
        <v>SUN VS</v>
      </c>
      <c r="D17" t="str">
        <f>IF(ISBLANK(JP!BC21),"",JP!BC21)</f>
        <v>64 CIRCUIT ROAD</v>
      </c>
      <c r="E17">
        <f>IF(ISBLANK(JP!BB21),"",JP!BB21)</f>
        <v>1</v>
      </c>
      <c r="F17" t="str">
        <f>IF(ISBLANK(JP!D21),"","x")</f>
        <v/>
      </c>
      <c r="G17" t="str">
        <f>IF(ISBLANK(JP!E21),"","x")</f>
        <v/>
      </c>
      <c r="H17" t="str">
        <f>IF(ISBLANK(JP!F21),"","x")</f>
        <v/>
      </c>
      <c r="I17" t="str">
        <f>IF(ISBLANK(JP!G21),"","x")</f>
        <v/>
      </c>
      <c r="J17" t="str">
        <f>IF(ISBLANK(JP!H21),"","x")</f>
        <v/>
      </c>
      <c r="K17" t="str">
        <f>IF(ISBLANK(JP!I21),"","x")</f>
        <v/>
      </c>
      <c r="L17" t="str">
        <f>IF(ISBLANK(JP!J21),"","x")</f>
        <v/>
      </c>
      <c r="M17" t="str">
        <f>IF(ISBLANK(JP!L21),"","x")</f>
        <v/>
      </c>
      <c r="N17" t="str">
        <f>IF(ISBLANK(JP!M21),"","x")</f>
        <v/>
      </c>
      <c r="O17" t="str">
        <f>IF(ISBLANK(JP!N21),"","x")</f>
        <v/>
      </c>
      <c r="P17" t="str">
        <f>IF(ISBLANK(JP!O21),"","x")</f>
        <v/>
      </c>
      <c r="Q17" t="str">
        <f>IF(ISBLANK(JP!P21),"","x")</f>
        <v/>
      </c>
      <c r="R17" t="str">
        <f>IF(ISBLANK(JP!Q21),"","x")</f>
        <v/>
      </c>
      <c r="S17" t="str">
        <f>IF(ISBLANK(JP!R21),"","x")</f>
        <v/>
      </c>
      <c r="T17" t="str">
        <f>IF(ISBLANK(JP!T21),"","x")</f>
        <v/>
      </c>
      <c r="U17" t="str">
        <f>IF(ISBLANK(JP!U21),"","x")</f>
        <v/>
      </c>
      <c r="V17" t="str">
        <f>IF(ISBLANK(JP!V21),"","x")</f>
        <v/>
      </c>
      <c r="W17" t="str">
        <f>IF(ISBLANK(JP!W21),"","x")</f>
        <v/>
      </c>
      <c r="X17" t="str">
        <f>IF(ISBLANK(JP!X21),"","x")</f>
        <v/>
      </c>
      <c r="Y17" t="str">
        <f>IF(ISBLANK(JP!Y21),"","x")</f>
        <v/>
      </c>
      <c r="Z17" t="str">
        <f>IF(ISBLANK(JP!Z21),"","x")</f>
        <v/>
      </c>
      <c r="AA17" t="str">
        <f>IF(ISBLANK(JP!AB21),"","x")</f>
        <v/>
      </c>
      <c r="AB17" t="str">
        <f>IF(ISBLANK(JP!AC21),"","x")</f>
        <v>x</v>
      </c>
      <c r="AC17" t="str">
        <f>IF(ISBLANK(JP!AD21),"","x")</f>
        <v/>
      </c>
      <c r="AD17" t="str">
        <f>IF(ISBLANK(JP!AE21),"","x")</f>
        <v/>
      </c>
      <c r="AE17" t="str">
        <f>IF(ISBLANK(JP!AF21),"","x")</f>
        <v/>
      </c>
      <c r="AF17" t="str">
        <f>IF(ISBLANK(JP!AG21),"","x")</f>
        <v/>
      </c>
      <c r="AG17" t="str">
        <f>IF(ISBLANK(JP!AH21),"","x")</f>
        <v/>
      </c>
      <c r="AH17" t="str">
        <f>IF(ISBLANK(JP!AJ21),"","x")</f>
        <v/>
      </c>
      <c r="AI17" t="str">
        <f>IF(ISBLANK(JP!AK21),"","x")</f>
        <v/>
      </c>
      <c r="AJ17" t="str">
        <f>IF(ISBLANK(JP!AL21),"","x")</f>
        <v/>
      </c>
      <c r="AK17" t="str">
        <f>IF(ISBLANK(JP!AM21),"","x")</f>
        <v/>
      </c>
      <c r="AL17" t="str">
        <f>IF(ISBLANK(JP!AN21),"","x")</f>
        <v/>
      </c>
      <c r="AM17" t="str">
        <f>IF(ISBLANK(JP!AO21),"","x")</f>
        <v/>
      </c>
      <c r="AN17" t="str">
        <f>IF(ISBLANK(JP!AP21),"","x")</f>
        <v/>
      </c>
      <c r="AO17" t="str">
        <f>IF(ISBLANK(JP!AR21),"","x")</f>
        <v/>
      </c>
      <c r="AP17" t="str">
        <f>IF(ISBLANK(JP!AS21),"","x")</f>
        <v/>
      </c>
      <c r="AQ17" t="str">
        <f>IF(ISBLANK(JP!AT21),"","x")</f>
        <v/>
      </c>
      <c r="AR17" t="str">
        <f>IF(ISBLANK(JP!AU21),"","x")</f>
        <v/>
      </c>
      <c r="AS17" t="str">
        <f>IF(ISBLANK(JP!AV21),"","x")</f>
        <v/>
      </c>
      <c r="AT17" t="str">
        <f>IF(ISBLANK(JP!AW21),"","x")</f>
        <v/>
      </c>
      <c r="AU17" t="str">
        <f>IF(ISBLANK(JP!AX21),"","x")</f>
        <v/>
      </c>
    </row>
    <row r="18" spans="2:47">
      <c r="B18">
        <f>IF(ISBLANK(JP!AZ22),"",JP!AZ22)</f>
        <v>10045082</v>
      </c>
      <c r="C18" t="str">
        <f>IF(ISBLANK(JP!BA22),"",JP!BA22)</f>
        <v>BEST ONE MINIMART</v>
      </c>
      <c r="D18" t="str">
        <f>IF(ISBLANK(JP!BC22),"",JP!BC22)</f>
        <v>65 CIRCUIT ROAD</v>
      </c>
      <c r="E18">
        <f>IF(ISBLANK(JP!BB22),"",JP!BB22)</f>
        <v>1</v>
      </c>
      <c r="F18" t="str">
        <f>IF(ISBLANK(JP!D22),"","x")</f>
        <v/>
      </c>
      <c r="G18" t="str">
        <f>IF(ISBLANK(JP!E22),"","x")</f>
        <v/>
      </c>
      <c r="H18" t="str">
        <f>IF(ISBLANK(JP!F22),"","x")</f>
        <v/>
      </c>
      <c r="I18" t="str">
        <f>IF(ISBLANK(JP!G22),"","x")</f>
        <v/>
      </c>
      <c r="J18" t="str">
        <f>IF(ISBLANK(JP!H22),"","x")</f>
        <v/>
      </c>
      <c r="K18" t="str">
        <f>IF(ISBLANK(JP!I22),"","x")</f>
        <v/>
      </c>
      <c r="L18" t="str">
        <f>IF(ISBLANK(JP!J22),"","x")</f>
        <v/>
      </c>
      <c r="M18" t="str">
        <f>IF(ISBLANK(JP!L22),"","x")</f>
        <v/>
      </c>
      <c r="N18" t="str">
        <f>IF(ISBLANK(JP!M22),"","x")</f>
        <v/>
      </c>
      <c r="O18" t="str">
        <f>IF(ISBLANK(JP!N22),"","x")</f>
        <v/>
      </c>
      <c r="P18" t="str">
        <f>IF(ISBLANK(JP!O22),"","x")</f>
        <v/>
      </c>
      <c r="Q18" t="str">
        <f>IF(ISBLANK(JP!P22),"","x")</f>
        <v/>
      </c>
      <c r="R18" t="str">
        <f>IF(ISBLANK(JP!Q22),"","x")</f>
        <v/>
      </c>
      <c r="S18" t="str">
        <f>IF(ISBLANK(JP!R22),"","x")</f>
        <v/>
      </c>
      <c r="T18" t="str">
        <f>IF(ISBLANK(JP!T22),"","x")</f>
        <v/>
      </c>
      <c r="U18" t="str">
        <f>IF(ISBLANK(JP!U22),"","x")</f>
        <v/>
      </c>
      <c r="V18" t="str">
        <f>IF(ISBLANK(JP!V22),"","x")</f>
        <v/>
      </c>
      <c r="W18" t="str">
        <f>IF(ISBLANK(JP!W22),"","x")</f>
        <v/>
      </c>
      <c r="X18" t="str">
        <f>IF(ISBLANK(JP!X22),"","x")</f>
        <v/>
      </c>
      <c r="Y18" t="str">
        <f>IF(ISBLANK(JP!Y22),"","x")</f>
        <v/>
      </c>
      <c r="Z18" t="str">
        <f>IF(ISBLANK(JP!Z22),"","x")</f>
        <v/>
      </c>
      <c r="AA18" t="str">
        <f>IF(ISBLANK(JP!AB22),"","x")</f>
        <v/>
      </c>
      <c r="AB18" t="str">
        <f>IF(ISBLANK(JP!AC22),"","x")</f>
        <v>x</v>
      </c>
      <c r="AC18" t="str">
        <f>IF(ISBLANK(JP!AD22),"","x")</f>
        <v>x</v>
      </c>
      <c r="AD18" t="str">
        <f>IF(ISBLANK(JP!AE22),"","x")</f>
        <v>x</v>
      </c>
      <c r="AE18" t="str">
        <f>IF(ISBLANK(JP!AF22),"","x")</f>
        <v/>
      </c>
      <c r="AF18" t="str">
        <f>IF(ISBLANK(JP!AG22),"","x")</f>
        <v/>
      </c>
      <c r="AG18" t="str">
        <f>IF(ISBLANK(JP!AH22),"","x")</f>
        <v/>
      </c>
      <c r="AH18" t="str">
        <f>IF(ISBLANK(JP!AJ22),"","x")</f>
        <v/>
      </c>
      <c r="AI18" t="str">
        <f>IF(ISBLANK(JP!AK22),"","x")</f>
        <v/>
      </c>
      <c r="AJ18" t="str">
        <f>IF(ISBLANK(JP!AL22),"","x")</f>
        <v/>
      </c>
      <c r="AK18" t="str">
        <f>IF(ISBLANK(JP!AM22),"","x")</f>
        <v/>
      </c>
      <c r="AL18" t="str">
        <f>IF(ISBLANK(JP!AN22),"","x")</f>
        <v/>
      </c>
      <c r="AM18" t="str">
        <f>IF(ISBLANK(JP!AO22),"","x")</f>
        <v/>
      </c>
      <c r="AN18" t="str">
        <f>IF(ISBLANK(JP!AP22),"","x")</f>
        <v/>
      </c>
      <c r="AO18" t="str">
        <f>IF(ISBLANK(JP!AR22),"","x")</f>
        <v/>
      </c>
      <c r="AP18" t="str">
        <f>IF(ISBLANK(JP!AS22),"","x")</f>
        <v/>
      </c>
      <c r="AQ18" t="str">
        <f>IF(ISBLANK(JP!AT22),"","x")</f>
        <v/>
      </c>
      <c r="AR18" t="str">
        <f>IF(ISBLANK(JP!AU22),"","x")</f>
        <v/>
      </c>
      <c r="AS18" t="str">
        <f>IF(ISBLANK(JP!AV22),"","x")</f>
        <v/>
      </c>
      <c r="AT18" t="str">
        <f>IF(ISBLANK(JP!AW22),"","x")</f>
        <v/>
      </c>
      <c r="AU18" t="str">
        <f>IF(ISBLANK(JP!AX22),"","x")</f>
        <v/>
      </c>
    </row>
    <row r="19" spans="2:47">
      <c r="B19">
        <f>IF(ISBLANK(JP!AZ23),"",JP!AZ23)</f>
        <v>10042714</v>
      </c>
      <c r="C19" t="str">
        <f>IF(ISBLANK(JP!BA23),"",JP!BA23)</f>
        <v>*SRI KUMARAN TRADING</v>
      </c>
      <c r="D19" t="str">
        <f>IF(ISBLANK(JP!BC23),"",JP!BC23)</f>
        <v>71 CIRCUIT ROAD</v>
      </c>
      <c r="E19">
        <f>IF(ISBLANK(JP!BB23),"",JP!BB23)</f>
        <v>1</v>
      </c>
      <c r="F19" t="str">
        <f>IF(ISBLANK(JP!D23),"","x")</f>
        <v/>
      </c>
      <c r="G19" t="str">
        <f>IF(ISBLANK(JP!E23),"","x")</f>
        <v/>
      </c>
      <c r="H19" t="str">
        <f>IF(ISBLANK(JP!F23),"","x")</f>
        <v/>
      </c>
      <c r="I19" t="str">
        <f>IF(ISBLANK(JP!G23),"","x")</f>
        <v/>
      </c>
      <c r="J19" t="str">
        <f>IF(ISBLANK(JP!H23),"","x")</f>
        <v/>
      </c>
      <c r="K19" t="str">
        <f>IF(ISBLANK(JP!I23),"","x")</f>
        <v/>
      </c>
      <c r="L19" t="str">
        <f>IF(ISBLANK(JP!J23),"","x")</f>
        <v/>
      </c>
      <c r="M19" t="str">
        <f>IF(ISBLANK(JP!L23),"","x")</f>
        <v/>
      </c>
      <c r="N19" t="str">
        <f>IF(ISBLANK(JP!M23),"","x")</f>
        <v/>
      </c>
      <c r="O19" t="str">
        <f>IF(ISBLANK(JP!N23),"","x")</f>
        <v/>
      </c>
      <c r="P19" t="str">
        <f>IF(ISBLANK(JP!O23),"","x")</f>
        <v/>
      </c>
      <c r="Q19" t="str">
        <f>IF(ISBLANK(JP!P23),"","x")</f>
        <v/>
      </c>
      <c r="R19" t="str">
        <f>IF(ISBLANK(JP!Q23),"","x")</f>
        <v/>
      </c>
      <c r="S19" t="str">
        <f>IF(ISBLANK(JP!R23),"","x")</f>
        <v/>
      </c>
      <c r="T19" t="str">
        <f>IF(ISBLANK(JP!T23),"","x")</f>
        <v/>
      </c>
      <c r="U19" t="str">
        <f>IF(ISBLANK(JP!U23),"","x")</f>
        <v/>
      </c>
      <c r="V19" t="str">
        <f>IF(ISBLANK(JP!V23),"","x")</f>
        <v/>
      </c>
      <c r="W19" t="str">
        <f>IF(ISBLANK(JP!W23),"","x")</f>
        <v/>
      </c>
      <c r="X19" t="str">
        <f>IF(ISBLANK(JP!X23),"","x")</f>
        <v/>
      </c>
      <c r="Y19" t="str">
        <f>IF(ISBLANK(JP!Y23),"","x")</f>
        <v/>
      </c>
      <c r="Z19" t="str">
        <f>IF(ISBLANK(JP!Z23),"","x")</f>
        <v/>
      </c>
      <c r="AA19" t="str">
        <f>IF(ISBLANK(JP!AB23),"","x")</f>
        <v/>
      </c>
      <c r="AB19" t="str">
        <f>IF(ISBLANK(JP!AC23),"","x")</f>
        <v/>
      </c>
      <c r="AC19" t="str">
        <f>IF(ISBLANK(JP!AD23),"","x")</f>
        <v/>
      </c>
      <c r="AD19" t="str">
        <f>IF(ISBLANK(JP!AE23),"","x")</f>
        <v>x</v>
      </c>
      <c r="AE19" t="str">
        <f>IF(ISBLANK(JP!AF23),"","x")</f>
        <v/>
      </c>
      <c r="AF19" t="str">
        <f>IF(ISBLANK(JP!AG23),"","x")</f>
        <v/>
      </c>
      <c r="AG19" t="str">
        <f>IF(ISBLANK(JP!AH23),"","x")</f>
        <v/>
      </c>
      <c r="AH19" t="str">
        <f>IF(ISBLANK(JP!AJ23),"","x")</f>
        <v/>
      </c>
      <c r="AI19" t="str">
        <f>IF(ISBLANK(JP!AK23),"","x")</f>
        <v/>
      </c>
      <c r="AJ19" t="str">
        <f>IF(ISBLANK(JP!AL23),"","x")</f>
        <v/>
      </c>
      <c r="AK19" t="str">
        <f>IF(ISBLANK(JP!AM23),"","x")</f>
        <v/>
      </c>
      <c r="AL19" t="str">
        <f>IF(ISBLANK(JP!AN23),"","x")</f>
        <v/>
      </c>
      <c r="AM19" t="str">
        <f>IF(ISBLANK(JP!AO23),"","x")</f>
        <v/>
      </c>
      <c r="AN19" t="str">
        <f>IF(ISBLANK(JP!AP23),"","x")</f>
        <v/>
      </c>
      <c r="AO19" t="str">
        <f>IF(ISBLANK(JP!AR23),"","x")</f>
        <v/>
      </c>
      <c r="AP19" t="str">
        <f>IF(ISBLANK(JP!AS23),"","x")</f>
        <v/>
      </c>
      <c r="AQ19" t="str">
        <f>IF(ISBLANK(JP!AT23),"","x")</f>
        <v/>
      </c>
      <c r="AR19" t="str">
        <f>IF(ISBLANK(JP!AU23),"","x")</f>
        <v/>
      </c>
      <c r="AS19" t="str">
        <f>IF(ISBLANK(JP!AV23),"","x")</f>
        <v/>
      </c>
      <c r="AT19" t="str">
        <f>IF(ISBLANK(JP!AW23),"","x")</f>
        <v/>
      </c>
      <c r="AU19" t="str">
        <f>IF(ISBLANK(JP!AX23),"","x")</f>
        <v/>
      </c>
    </row>
    <row r="20" spans="2:47">
      <c r="B20">
        <f>IF(ISBLANK(JP!AZ24),"",JP!AZ24)</f>
        <v>10043488</v>
      </c>
      <c r="C20" t="str">
        <f>IF(ISBLANK(JP!BA24),"",JP!BA24)</f>
        <v>V-MART</v>
      </c>
      <c r="D20" t="str">
        <f>IF(ISBLANK(JP!BC24),"",JP!BC24)</f>
        <v>72 CIRCUIT ROAD</v>
      </c>
      <c r="E20">
        <f>IF(ISBLANK(JP!BB24),"",JP!BB24)</f>
        <v>1</v>
      </c>
      <c r="F20" t="str">
        <f>IF(ISBLANK(JP!D24),"","x")</f>
        <v/>
      </c>
      <c r="G20" t="str">
        <f>IF(ISBLANK(JP!E24),"","x")</f>
        <v/>
      </c>
      <c r="H20" t="str">
        <f>IF(ISBLANK(JP!F24),"","x")</f>
        <v/>
      </c>
      <c r="I20" t="str">
        <f>IF(ISBLANK(JP!G24),"","x")</f>
        <v/>
      </c>
      <c r="J20" t="str">
        <f>IF(ISBLANK(JP!H24),"","x")</f>
        <v/>
      </c>
      <c r="K20" t="str">
        <f>IF(ISBLANK(JP!I24),"","x")</f>
        <v/>
      </c>
      <c r="L20" t="str">
        <f>IF(ISBLANK(JP!J24),"","x")</f>
        <v/>
      </c>
      <c r="M20" t="str">
        <f>IF(ISBLANK(JP!L24),"","x")</f>
        <v/>
      </c>
      <c r="N20" t="str">
        <f>IF(ISBLANK(JP!M24),"","x")</f>
        <v/>
      </c>
      <c r="O20" t="str">
        <f>IF(ISBLANK(JP!N24),"","x")</f>
        <v/>
      </c>
      <c r="P20" t="str">
        <f>IF(ISBLANK(JP!O24),"","x")</f>
        <v/>
      </c>
      <c r="Q20" t="str">
        <f>IF(ISBLANK(JP!P24),"","x")</f>
        <v/>
      </c>
      <c r="R20" t="str">
        <f>IF(ISBLANK(JP!Q24),"","x")</f>
        <v/>
      </c>
      <c r="S20" t="str">
        <f>IF(ISBLANK(JP!R24),"","x")</f>
        <v/>
      </c>
      <c r="T20" t="str">
        <f>IF(ISBLANK(JP!T24),"","x")</f>
        <v/>
      </c>
      <c r="U20" t="str">
        <f>IF(ISBLANK(JP!U24),"","x")</f>
        <v/>
      </c>
      <c r="V20" t="str">
        <f>IF(ISBLANK(JP!V24),"","x")</f>
        <v/>
      </c>
      <c r="W20" t="str">
        <f>IF(ISBLANK(JP!W24),"","x")</f>
        <v/>
      </c>
      <c r="X20" t="str">
        <f>IF(ISBLANK(JP!X24),"","x")</f>
        <v/>
      </c>
      <c r="Y20" t="str">
        <f>IF(ISBLANK(JP!Y24),"","x")</f>
        <v/>
      </c>
      <c r="Z20" t="str">
        <f>IF(ISBLANK(JP!Z24),"","x")</f>
        <v/>
      </c>
      <c r="AA20" t="str">
        <f>IF(ISBLANK(JP!AB24),"","x")</f>
        <v/>
      </c>
      <c r="AB20" t="str">
        <f>IF(ISBLANK(JP!AC24),"","x")</f>
        <v/>
      </c>
      <c r="AC20" t="str">
        <f>IF(ISBLANK(JP!AD24),"","x")</f>
        <v/>
      </c>
      <c r="AD20" t="str">
        <f>IF(ISBLANK(JP!AE24),"","x")</f>
        <v>x</v>
      </c>
      <c r="AE20" t="str">
        <f>IF(ISBLANK(JP!AF24),"","x")</f>
        <v/>
      </c>
      <c r="AF20" t="str">
        <f>IF(ISBLANK(JP!AG24),"","x")</f>
        <v/>
      </c>
      <c r="AG20" t="str">
        <f>IF(ISBLANK(JP!AH24),"","x")</f>
        <v/>
      </c>
      <c r="AH20" t="str">
        <f>IF(ISBLANK(JP!AJ24),"","x")</f>
        <v/>
      </c>
      <c r="AI20" t="str">
        <f>IF(ISBLANK(JP!AK24),"","x")</f>
        <v/>
      </c>
      <c r="AJ20" t="str">
        <f>IF(ISBLANK(JP!AL24),"","x")</f>
        <v/>
      </c>
      <c r="AK20" t="str">
        <f>IF(ISBLANK(JP!AM24),"","x")</f>
        <v/>
      </c>
      <c r="AL20" t="str">
        <f>IF(ISBLANK(JP!AN24),"","x")</f>
        <v/>
      </c>
      <c r="AM20" t="str">
        <f>IF(ISBLANK(JP!AO24),"","x")</f>
        <v/>
      </c>
      <c r="AN20" t="str">
        <f>IF(ISBLANK(JP!AP24),"","x")</f>
        <v/>
      </c>
      <c r="AO20" t="str">
        <f>IF(ISBLANK(JP!AR24),"","x")</f>
        <v/>
      </c>
      <c r="AP20" t="str">
        <f>IF(ISBLANK(JP!AS24),"","x")</f>
        <v/>
      </c>
      <c r="AQ20" t="str">
        <f>IF(ISBLANK(JP!AT24),"","x")</f>
        <v/>
      </c>
      <c r="AR20" t="str">
        <f>IF(ISBLANK(JP!AU24),"","x")</f>
        <v/>
      </c>
      <c r="AS20" t="str">
        <f>IF(ISBLANK(JP!AV24),"","x")</f>
        <v/>
      </c>
      <c r="AT20" t="str">
        <f>IF(ISBLANK(JP!AW24),"","x")</f>
        <v/>
      </c>
      <c r="AU20" t="str">
        <f>IF(ISBLANK(JP!AX24),"","x")</f>
        <v/>
      </c>
    </row>
    <row r="21" spans="2:47">
      <c r="B21">
        <f>IF(ISBLANK(JP!AZ25),"",JP!AZ25)</f>
        <v>10014007</v>
      </c>
      <c r="C21" t="str">
        <f>IF(ISBLANK(JP!BA25),"",JP!BA25)</f>
        <v>LI FENG YUAN</v>
      </c>
      <c r="D21" t="str">
        <f>IF(ISBLANK(JP!BC25),"",JP!BC25)</f>
        <v>78 CIRCUIT ROAD</v>
      </c>
      <c r="E21">
        <f>IF(ISBLANK(JP!BB25),"",JP!BB25)</f>
        <v>1</v>
      </c>
      <c r="F21" t="str">
        <f>IF(ISBLANK(JP!D25),"","x")</f>
        <v/>
      </c>
      <c r="G21" t="str">
        <f>IF(ISBLANK(JP!E25),"","x")</f>
        <v/>
      </c>
      <c r="H21" t="str">
        <f>IF(ISBLANK(JP!F25),"","x")</f>
        <v/>
      </c>
      <c r="I21" t="str">
        <f>IF(ISBLANK(JP!G25),"","x")</f>
        <v/>
      </c>
      <c r="J21" t="str">
        <f>IF(ISBLANK(JP!H25),"","x")</f>
        <v/>
      </c>
      <c r="K21" t="str">
        <f>IF(ISBLANK(JP!I25),"","x")</f>
        <v/>
      </c>
      <c r="L21" t="str">
        <f>IF(ISBLANK(JP!J25),"","x")</f>
        <v/>
      </c>
      <c r="M21" t="str">
        <f>IF(ISBLANK(JP!L25),"","x")</f>
        <v/>
      </c>
      <c r="N21" t="str">
        <f>IF(ISBLANK(JP!M25),"","x")</f>
        <v/>
      </c>
      <c r="O21" t="str">
        <f>IF(ISBLANK(JP!N25),"","x")</f>
        <v/>
      </c>
      <c r="P21" t="str">
        <f>IF(ISBLANK(JP!O25),"","x")</f>
        <v/>
      </c>
      <c r="Q21" t="str">
        <f>IF(ISBLANK(JP!P25),"","x")</f>
        <v/>
      </c>
      <c r="R21" t="str">
        <f>IF(ISBLANK(JP!Q25),"","x")</f>
        <v/>
      </c>
      <c r="S21" t="str">
        <f>IF(ISBLANK(JP!R25),"","x")</f>
        <v/>
      </c>
      <c r="T21" t="str">
        <f>IF(ISBLANK(JP!T25),"","x")</f>
        <v/>
      </c>
      <c r="U21" t="str">
        <f>IF(ISBLANK(JP!U25),"","x")</f>
        <v/>
      </c>
      <c r="V21" t="str">
        <f>IF(ISBLANK(JP!V25),"","x")</f>
        <v/>
      </c>
      <c r="W21" t="str">
        <f>IF(ISBLANK(JP!W25),"","x")</f>
        <v/>
      </c>
      <c r="X21" t="str">
        <f>IF(ISBLANK(JP!X25),"","x")</f>
        <v/>
      </c>
      <c r="Y21" t="str">
        <f>IF(ISBLANK(JP!Y25),"","x")</f>
        <v/>
      </c>
      <c r="Z21" t="str">
        <f>IF(ISBLANK(JP!Z25),"","x")</f>
        <v/>
      </c>
      <c r="AA21" t="str">
        <f>IF(ISBLANK(JP!AB25),"","x")</f>
        <v/>
      </c>
      <c r="AB21" t="str">
        <f>IF(ISBLANK(JP!AC25),"","x")</f>
        <v/>
      </c>
      <c r="AC21" t="str">
        <f>IF(ISBLANK(JP!AD25),"","x")</f>
        <v/>
      </c>
      <c r="AD21" t="str">
        <f>IF(ISBLANK(JP!AE25),"","x")</f>
        <v/>
      </c>
      <c r="AE21" t="str">
        <f>IF(ISBLANK(JP!AF25),"","x")</f>
        <v>x</v>
      </c>
      <c r="AF21" t="str">
        <f>IF(ISBLANK(JP!AG25),"","x")</f>
        <v/>
      </c>
      <c r="AG21" t="str">
        <f>IF(ISBLANK(JP!AH25),"","x")</f>
        <v/>
      </c>
      <c r="AH21" t="str">
        <f>IF(ISBLANK(JP!AJ25),"","x")</f>
        <v/>
      </c>
      <c r="AI21" t="str">
        <f>IF(ISBLANK(JP!AK25),"","x")</f>
        <v/>
      </c>
      <c r="AJ21" t="str">
        <f>IF(ISBLANK(JP!AL25),"","x")</f>
        <v/>
      </c>
      <c r="AK21" t="str">
        <f>IF(ISBLANK(JP!AM25),"","x")</f>
        <v/>
      </c>
      <c r="AL21" t="str">
        <f>IF(ISBLANK(JP!AN25),"","x")</f>
        <v/>
      </c>
      <c r="AM21" t="str">
        <f>IF(ISBLANK(JP!AO25),"","x")</f>
        <v/>
      </c>
      <c r="AN21" t="str">
        <f>IF(ISBLANK(JP!AP25),"","x")</f>
        <v/>
      </c>
      <c r="AO21" t="str">
        <f>IF(ISBLANK(JP!AR25),"","x")</f>
        <v/>
      </c>
      <c r="AP21" t="str">
        <f>IF(ISBLANK(JP!AS25),"","x")</f>
        <v/>
      </c>
      <c r="AQ21" t="str">
        <f>IF(ISBLANK(JP!AT25),"","x")</f>
        <v/>
      </c>
      <c r="AR21" t="str">
        <f>IF(ISBLANK(JP!AU25),"","x")</f>
        <v/>
      </c>
      <c r="AS21" t="str">
        <f>IF(ISBLANK(JP!AV25),"","x")</f>
        <v/>
      </c>
      <c r="AT21" t="str">
        <f>IF(ISBLANK(JP!AW25),"","x")</f>
        <v/>
      </c>
      <c r="AU21" t="str">
        <f>IF(ISBLANK(JP!AX25),"","x")</f>
        <v/>
      </c>
    </row>
    <row r="22" spans="2:47">
      <c r="B22">
        <f>IF(ISBLANK(JP!AZ26),"",JP!AZ26)</f>
        <v>10044309</v>
      </c>
      <c r="C22" t="str">
        <f>IF(ISBLANK(JP!BA26),"",JP!BA26)</f>
        <v>SRI VENKATEZHWARA MINIMART</v>
      </c>
      <c r="D22" t="str">
        <f>IF(ISBLANK(JP!BC26),"",JP!BC26)</f>
        <v>78 CIRCUIT ROAD</v>
      </c>
      <c r="E22">
        <f>IF(ISBLANK(JP!BB26),"",JP!BB26)</f>
        <v>1</v>
      </c>
      <c r="F22" t="str">
        <f>IF(ISBLANK(JP!D26),"","x")</f>
        <v/>
      </c>
      <c r="G22" t="str">
        <f>IF(ISBLANK(JP!E26),"","x")</f>
        <v/>
      </c>
      <c r="H22" t="str">
        <f>IF(ISBLANK(JP!F26),"","x")</f>
        <v/>
      </c>
      <c r="I22" t="str">
        <f>IF(ISBLANK(JP!G26),"","x")</f>
        <v/>
      </c>
      <c r="J22" t="str">
        <f>IF(ISBLANK(JP!H26),"","x")</f>
        <v/>
      </c>
      <c r="K22" t="str">
        <f>IF(ISBLANK(JP!I26),"","x")</f>
        <v/>
      </c>
      <c r="L22" t="str">
        <f>IF(ISBLANK(JP!J26),"","x")</f>
        <v/>
      </c>
      <c r="M22" t="str">
        <f>IF(ISBLANK(JP!L26),"","x")</f>
        <v/>
      </c>
      <c r="N22" t="str">
        <f>IF(ISBLANK(JP!M26),"","x")</f>
        <v/>
      </c>
      <c r="O22" t="str">
        <f>IF(ISBLANK(JP!N26),"","x")</f>
        <v/>
      </c>
      <c r="P22" t="str">
        <f>IF(ISBLANK(JP!O26),"","x")</f>
        <v/>
      </c>
      <c r="Q22" t="str">
        <f>IF(ISBLANK(JP!P26),"","x")</f>
        <v/>
      </c>
      <c r="R22" t="str">
        <f>IF(ISBLANK(JP!Q26),"","x")</f>
        <v/>
      </c>
      <c r="S22" t="str">
        <f>IF(ISBLANK(JP!R26),"","x")</f>
        <v/>
      </c>
      <c r="T22" t="str">
        <f>IF(ISBLANK(JP!T26),"","x")</f>
        <v/>
      </c>
      <c r="U22" t="str">
        <f>IF(ISBLANK(JP!U26),"","x")</f>
        <v/>
      </c>
      <c r="V22" t="str">
        <f>IF(ISBLANK(JP!V26),"","x")</f>
        <v/>
      </c>
      <c r="W22" t="str">
        <f>IF(ISBLANK(JP!W26),"","x")</f>
        <v/>
      </c>
      <c r="X22" t="str">
        <f>IF(ISBLANK(JP!X26),"","x")</f>
        <v/>
      </c>
      <c r="Y22" t="str">
        <f>IF(ISBLANK(JP!Y26),"","x")</f>
        <v/>
      </c>
      <c r="Z22" t="str">
        <f>IF(ISBLANK(JP!Z26),"","x")</f>
        <v/>
      </c>
      <c r="AA22" t="str">
        <f>IF(ISBLANK(JP!AB26),"","x")</f>
        <v/>
      </c>
      <c r="AB22" t="str">
        <f>IF(ISBLANK(JP!AC26),"","x")</f>
        <v/>
      </c>
      <c r="AC22" t="str">
        <f>IF(ISBLANK(JP!AD26),"","x")</f>
        <v/>
      </c>
      <c r="AD22" t="str">
        <f>IF(ISBLANK(JP!AE26),"","x")</f>
        <v/>
      </c>
      <c r="AE22" t="str">
        <f>IF(ISBLANK(JP!AF26),"","x")</f>
        <v/>
      </c>
      <c r="AF22" t="str">
        <f>IF(ISBLANK(JP!AG26),"","x")</f>
        <v>x</v>
      </c>
      <c r="AG22" t="str">
        <f>IF(ISBLANK(JP!AH26),"","x")</f>
        <v/>
      </c>
      <c r="AH22" t="str">
        <f>IF(ISBLANK(JP!AJ26),"","x")</f>
        <v/>
      </c>
      <c r="AI22" t="str">
        <f>IF(ISBLANK(JP!AK26),"","x")</f>
        <v/>
      </c>
      <c r="AJ22" t="str">
        <f>IF(ISBLANK(JP!AL26),"","x")</f>
        <v/>
      </c>
      <c r="AK22" t="str">
        <f>IF(ISBLANK(JP!AM26),"","x")</f>
        <v/>
      </c>
      <c r="AL22" t="str">
        <f>IF(ISBLANK(JP!AN26),"","x")</f>
        <v/>
      </c>
      <c r="AM22" t="str">
        <f>IF(ISBLANK(JP!AO26),"","x")</f>
        <v/>
      </c>
      <c r="AN22" t="str">
        <f>IF(ISBLANK(JP!AP26),"","x")</f>
        <v/>
      </c>
      <c r="AO22" t="str">
        <f>IF(ISBLANK(JP!AR26),"","x")</f>
        <v/>
      </c>
      <c r="AP22" t="str">
        <f>IF(ISBLANK(JP!AS26),"","x")</f>
        <v/>
      </c>
      <c r="AQ22" t="str">
        <f>IF(ISBLANK(JP!AT26),"","x")</f>
        <v/>
      </c>
      <c r="AR22" t="str">
        <f>IF(ISBLANK(JP!AU26),"","x")</f>
        <v/>
      </c>
      <c r="AS22" t="str">
        <f>IF(ISBLANK(JP!AV26),"","x")</f>
        <v/>
      </c>
      <c r="AT22" t="str">
        <f>IF(ISBLANK(JP!AW26),"","x")</f>
        <v/>
      </c>
      <c r="AU22" t="str">
        <f>IF(ISBLANK(JP!AX26),"","x")</f>
        <v/>
      </c>
    </row>
    <row r="23" spans="2:47">
      <c r="B23">
        <f>IF(ISBLANK(JP!AZ27),"",JP!AZ27)</f>
        <v>10045755</v>
      </c>
      <c r="C23" t="str">
        <f>IF(ISBLANK(JP!BA27),"",JP!BA27)</f>
        <v>SRI AYYAN MART</v>
      </c>
      <c r="D23" t="str">
        <f>IF(ISBLANK(JP!BC27),"",JP!BC27)</f>
        <v>87 CIRCUIT ROAD</v>
      </c>
      <c r="E23">
        <f>IF(ISBLANK(JP!BB27),"",JP!BB27)</f>
        <v>1</v>
      </c>
      <c r="F23" t="str">
        <f>IF(ISBLANK(JP!D27),"","x")</f>
        <v/>
      </c>
      <c r="G23" t="str">
        <f>IF(ISBLANK(JP!E27),"","x")</f>
        <v/>
      </c>
      <c r="H23" t="str">
        <f>IF(ISBLANK(JP!F27),"","x")</f>
        <v/>
      </c>
      <c r="I23" t="str">
        <f>IF(ISBLANK(JP!G27),"","x")</f>
        <v/>
      </c>
      <c r="J23" t="str">
        <f>IF(ISBLANK(JP!H27),"","x")</f>
        <v/>
      </c>
      <c r="K23" t="str">
        <f>IF(ISBLANK(JP!I27),"","x")</f>
        <v/>
      </c>
      <c r="L23" t="str">
        <f>IF(ISBLANK(JP!J27),"","x")</f>
        <v/>
      </c>
      <c r="M23" t="str">
        <f>IF(ISBLANK(JP!L27),"","x")</f>
        <v/>
      </c>
      <c r="N23" t="str">
        <f>IF(ISBLANK(JP!M27),"","x")</f>
        <v/>
      </c>
      <c r="O23" t="str">
        <f>IF(ISBLANK(JP!N27),"","x")</f>
        <v/>
      </c>
      <c r="P23" t="str">
        <f>IF(ISBLANK(JP!O27),"","x")</f>
        <v/>
      </c>
      <c r="Q23" t="str">
        <f>IF(ISBLANK(JP!P27),"","x")</f>
        <v/>
      </c>
      <c r="R23" t="str">
        <f>IF(ISBLANK(JP!Q27),"","x")</f>
        <v/>
      </c>
      <c r="S23" t="str">
        <f>IF(ISBLANK(JP!R27),"","x")</f>
        <v/>
      </c>
      <c r="T23" t="str">
        <f>IF(ISBLANK(JP!T27),"","x")</f>
        <v/>
      </c>
      <c r="U23" t="str">
        <f>IF(ISBLANK(JP!U27),"","x")</f>
        <v/>
      </c>
      <c r="V23" t="str">
        <f>IF(ISBLANK(JP!V27),"","x")</f>
        <v/>
      </c>
      <c r="W23" t="str">
        <f>IF(ISBLANK(JP!W27),"","x")</f>
        <v/>
      </c>
      <c r="X23" t="str">
        <f>IF(ISBLANK(JP!X27),"","x")</f>
        <v/>
      </c>
      <c r="Y23" t="str">
        <f>IF(ISBLANK(JP!Y27),"","x")</f>
        <v/>
      </c>
      <c r="Z23" t="str">
        <f>IF(ISBLANK(JP!Z27),"","x")</f>
        <v/>
      </c>
      <c r="AA23" t="str">
        <f>IF(ISBLANK(JP!AB27),"","x")</f>
        <v/>
      </c>
      <c r="AB23" t="str">
        <f>IF(ISBLANK(JP!AC27),"","x")</f>
        <v/>
      </c>
      <c r="AC23" t="str">
        <f>IF(ISBLANK(JP!AD27),"","x")</f>
        <v/>
      </c>
      <c r="AD23" t="str">
        <f>IF(ISBLANK(JP!AE27),"","x")</f>
        <v/>
      </c>
      <c r="AE23" t="str">
        <f>IF(ISBLANK(JP!AF27),"","x")</f>
        <v/>
      </c>
      <c r="AF23" t="str">
        <f>IF(ISBLANK(JP!AG27),"","x")</f>
        <v/>
      </c>
      <c r="AG23" t="str">
        <f>IF(ISBLANK(JP!AH27),"","x")</f>
        <v/>
      </c>
      <c r="AH23" t="str">
        <f>IF(ISBLANK(JP!AJ27),"","x")</f>
        <v/>
      </c>
      <c r="AI23" t="str">
        <f>IF(ISBLANK(JP!AK27),"","x")</f>
        <v>x</v>
      </c>
      <c r="AJ23" t="str">
        <f>IF(ISBLANK(JP!AL27),"","x")</f>
        <v/>
      </c>
      <c r="AK23" t="str">
        <f>IF(ISBLANK(JP!AM27),"","x")</f>
        <v/>
      </c>
      <c r="AL23" t="str">
        <f>IF(ISBLANK(JP!AN27),"","x")</f>
        <v/>
      </c>
      <c r="AM23" t="str">
        <f>IF(ISBLANK(JP!AO27),"","x")</f>
        <v/>
      </c>
      <c r="AN23" t="str">
        <f>IF(ISBLANK(JP!AP27),"","x")</f>
        <v/>
      </c>
      <c r="AO23" t="str">
        <f>IF(ISBLANK(JP!AR27),"","x")</f>
        <v/>
      </c>
      <c r="AP23" t="str">
        <f>IF(ISBLANK(JP!AS27),"","x")</f>
        <v/>
      </c>
      <c r="AQ23" t="str">
        <f>IF(ISBLANK(JP!AT27),"","x")</f>
        <v/>
      </c>
      <c r="AR23" t="str">
        <f>IF(ISBLANK(JP!AU27),"","x")</f>
        <v/>
      </c>
      <c r="AS23" t="str">
        <f>IF(ISBLANK(JP!AV27),"","x")</f>
        <v/>
      </c>
      <c r="AT23" t="str">
        <f>IF(ISBLANK(JP!AW27),"","x")</f>
        <v/>
      </c>
      <c r="AU23" t="str">
        <f>IF(ISBLANK(JP!AX27),"","x")</f>
        <v/>
      </c>
    </row>
    <row r="24" spans="2:47">
      <c r="B24">
        <f>IF(ISBLANK(JP!AZ28),"",JP!AZ28)</f>
        <v>10043615</v>
      </c>
      <c r="C24" t="str">
        <f>IF(ISBLANK(JP!BA28),"",JP!BA28)</f>
        <v>BEST MART @ 88</v>
      </c>
      <c r="D24" t="str">
        <f>IF(ISBLANK(JP!BC28),"",JP!BC28)</f>
        <v>88 CIRCUIT ROAD</v>
      </c>
      <c r="E24">
        <f>IF(ISBLANK(JP!BB28),"",JP!BB28)</f>
        <v>1</v>
      </c>
      <c r="F24" t="str">
        <f>IF(ISBLANK(JP!D28),"","x")</f>
        <v/>
      </c>
      <c r="G24" t="str">
        <f>IF(ISBLANK(JP!E28),"","x")</f>
        <v/>
      </c>
      <c r="H24" t="str">
        <f>IF(ISBLANK(JP!F28),"","x")</f>
        <v/>
      </c>
      <c r="I24" t="str">
        <f>IF(ISBLANK(JP!G28),"","x")</f>
        <v/>
      </c>
      <c r="J24" t="str">
        <f>IF(ISBLANK(JP!H28),"","x")</f>
        <v/>
      </c>
      <c r="K24" t="str">
        <f>IF(ISBLANK(JP!I28),"","x")</f>
        <v/>
      </c>
      <c r="L24" t="str">
        <f>IF(ISBLANK(JP!J28),"","x")</f>
        <v/>
      </c>
      <c r="M24" t="str">
        <f>IF(ISBLANK(JP!L28),"","x")</f>
        <v/>
      </c>
      <c r="N24" t="str">
        <f>IF(ISBLANK(JP!M28),"","x")</f>
        <v/>
      </c>
      <c r="O24" t="str">
        <f>IF(ISBLANK(JP!N28),"","x")</f>
        <v/>
      </c>
      <c r="P24" t="str">
        <f>IF(ISBLANK(JP!O28),"","x")</f>
        <v/>
      </c>
      <c r="Q24" t="str">
        <f>IF(ISBLANK(JP!P28),"","x")</f>
        <v/>
      </c>
      <c r="R24" t="str">
        <f>IF(ISBLANK(JP!Q28),"","x")</f>
        <v/>
      </c>
      <c r="S24" t="str">
        <f>IF(ISBLANK(JP!R28),"","x")</f>
        <v/>
      </c>
      <c r="T24" t="str">
        <f>IF(ISBLANK(JP!T28),"","x")</f>
        <v/>
      </c>
      <c r="U24" t="str">
        <f>IF(ISBLANK(JP!U28),"","x")</f>
        <v/>
      </c>
      <c r="V24" t="str">
        <f>IF(ISBLANK(JP!V28),"","x")</f>
        <v/>
      </c>
      <c r="W24" t="str">
        <f>IF(ISBLANK(JP!W28),"","x")</f>
        <v/>
      </c>
      <c r="X24" t="str">
        <f>IF(ISBLANK(JP!X28),"","x")</f>
        <v/>
      </c>
      <c r="Y24" t="str">
        <f>IF(ISBLANK(JP!Y28),"","x")</f>
        <v/>
      </c>
      <c r="Z24" t="str">
        <f>IF(ISBLANK(JP!Z28),"","x")</f>
        <v/>
      </c>
      <c r="AA24" t="str">
        <f>IF(ISBLANK(JP!AB28),"","x")</f>
        <v/>
      </c>
      <c r="AB24" t="str">
        <f>IF(ISBLANK(JP!AC28),"","x")</f>
        <v/>
      </c>
      <c r="AC24" t="str">
        <f>IF(ISBLANK(JP!AD28),"","x")</f>
        <v/>
      </c>
      <c r="AD24" t="str">
        <f>IF(ISBLANK(JP!AE28),"","x")</f>
        <v/>
      </c>
      <c r="AE24" t="str">
        <f>IF(ISBLANK(JP!AF28),"","x")</f>
        <v/>
      </c>
      <c r="AF24" t="str">
        <f>IF(ISBLANK(JP!AG28),"","x")</f>
        <v/>
      </c>
      <c r="AG24" t="str">
        <f>IF(ISBLANK(JP!AH28),"","x")</f>
        <v/>
      </c>
      <c r="AH24" t="str">
        <f>IF(ISBLANK(JP!AJ28),"","x")</f>
        <v/>
      </c>
      <c r="AI24" t="str">
        <f>IF(ISBLANK(JP!AK28),"","x")</f>
        <v/>
      </c>
      <c r="AJ24" t="str">
        <f>IF(ISBLANK(JP!AL28),"","x")</f>
        <v>x</v>
      </c>
      <c r="AK24" t="str">
        <f>IF(ISBLANK(JP!AM28),"","x")</f>
        <v/>
      </c>
      <c r="AL24" t="str">
        <f>IF(ISBLANK(JP!AN28),"","x")</f>
        <v/>
      </c>
      <c r="AM24" t="str">
        <f>IF(ISBLANK(JP!AO28),"","x")</f>
        <v/>
      </c>
      <c r="AN24" t="str">
        <f>IF(ISBLANK(JP!AP28),"","x")</f>
        <v/>
      </c>
      <c r="AO24" t="str">
        <f>IF(ISBLANK(JP!AR28),"","x")</f>
        <v/>
      </c>
      <c r="AP24" t="str">
        <f>IF(ISBLANK(JP!AS28),"","x")</f>
        <v/>
      </c>
      <c r="AQ24" t="str">
        <f>IF(ISBLANK(JP!AT28),"","x")</f>
        <v/>
      </c>
      <c r="AR24" t="str">
        <f>IF(ISBLANK(JP!AU28),"","x")</f>
        <v/>
      </c>
      <c r="AS24" t="str">
        <f>IF(ISBLANK(JP!AV28),"","x")</f>
        <v/>
      </c>
      <c r="AT24" t="str">
        <f>IF(ISBLANK(JP!AW28),"","x")</f>
        <v/>
      </c>
      <c r="AU24" t="str">
        <f>IF(ISBLANK(JP!AX28),"","x")</f>
        <v/>
      </c>
    </row>
    <row r="25" spans="2:47">
      <c r="B25">
        <f>IF(ISBLANK(JP!AZ29),"",JP!AZ29)</f>
        <v>10009421</v>
      </c>
      <c r="C25" t="str">
        <f>IF(ISBLANK(JP!BA29),"",JP!BA29)</f>
        <v>CHUA KIA JOO (EUNOS)</v>
      </c>
      <c r="D25" t="str">
        <f>IF(ISBLANK(JP!BC29),"",JP!BC29)</f>
        <v>6 EUNOS CRESCENT</v>
      </c>
      <c r="E25">
        <f>IF(ISBLANK(JP!BB29),"",JP!BB29)</f>
        <v>1</v>
      </c>
      <c r="F25" t="str">
        <f>IF(ISBLANK(JP!D29),"","x")</f>
        <v/>
      </c>
      <c r="G25" t="str">
        <f>IF(ISBLANK(JP!E29),"","x")</f>
        <v/>
      </c>
      <c r="H25" t="str">
        <f>IF(ISBLANK(JP!F29),"","x")</f>
        <v/>
      </c>
      <c r="I25" t="str">
        <f>IF(ISBLANK(JP!G29),"","x")</f>
        <v/>
      </c>
      <c r="J25" t="str">
        <f>IF(ISBLANK(JP!H29),"","x")</f>
        <v/>
      </c>
      <c r="K25" t="str">
        <f>IF(ISBLANK(JP!I29),"","x")</f>
        <v/>
      </c>
      <c r="L25" t="str">
        <f>IF(ISBLANK(JP!J29),"","x")</f>
        <v/>
      </c>
      <c r="M25" t="str">
        <f>IF(ISBLANK(JP!L29),"","x")</f>
        <v/>
      </c>
      <c r="N25" t="str">
        <f>IF(ISBLANK(JP!M29),"","x")</f>
        <v/>
      </c>
      <c r="O25" t="str">
        <f>IF(ISBLANK(JP!N29),"","x")</f>
        <v/>
      </c>
      <c r="P25" t="str">
        <f>IF(ISBLANK(JP!O29),"","x")</f>
        <v/>
      </c>
      <c r="Q25" t="str">
        <f>IF(ISBLANK(JP!P29),"","x")</f>
        <v/>
      </c>
      <c r="R25" t="str">
        <f>IF(ISBLANK(JP!Q29),"","x")</f>
        <v/>
      </c>
      <c r="S25" t="str">
        <f>IF(ISBLANK(JP!R29),"","x")</f>
        <v/>
      </c>
      <c r="T25" t="str">
        <f>IF(ISBLANK(JP!T29),"","x")</f>
        <v/>
      </c>
      <c r="U25" t="str">
        <f>IF(ISBLANK(JP!U29),"","x")</f>
        <v/>
      </c>
      <c r="V25" t="str">
        <f>IF(ISBLANK(JP!V29),"","x")</f>
        <v/>
      </c>
      <c r="W25" t="str">
        <f>IF(ISBLANK(JP!W29),"","x")</f>
        <v/>
      </c>
      <c r="X25" t="str">
        <f>IF(ISBLANK(JP!X29),"","x")</f>
        <v/>
      </c>
      <c r="Y25" t="str">
        <f>IF(ISBLANK(JP!Y29),"","x")</f>
        <v/>
      </c>
      <c r="Z25" t="str">
        <f>IF(ISBLANK(JP!Z29),"","x")</f>
        <v/>
      </c>
      <c r="AA25" t="str">
        <f>IF(ISBLANK(JP!AB29),"","x")</f>
        <v/>
      </c>
      <c r="AB25" t="str">
        <f>IF(ISBLANK(JP!AC29),"","x")</f>
        <v/>
      </c>
      <c r="AC25" t="str">
        <f>IF(ISBLANK(JP!AD29),"","x")</f>
        <v/>
      </c>
      <c r="AD25" t="str">
        <f>IF(ISBLANK(JP!AE29),"","x")</f>
        <v/>
      </c>
      <c r="AE25" t="str">
        <f>IF(ISBLANK(JP!AF29),"","x")</f>
        <v/>
      </c>
      <c r="AF25" t="str">
        <f>IF(ISBLANK(JP!AG29),"","x")</f>
        <v/>
      </c>
      <c r="AG25" t="str">
        <f>IF(ISBLANK(JP!AH29),"","x")</f>
        <v/>
      </c>
      <c r="AH25" t="str">
        <f>IF(ISBLANK(JP!AJ29),"","x")</f>
        <v/>
      </c>
      <c r="AI25" t="str">
        <f>IF(ISBLANK(JP!AK29),"","x")</f>
        <v/>
      </c>
      <c r="AJ25" t="str">
        <f>IF(ISBLANK(JP!AL29),"","x")</f>
        <v/>
      </c>
      <c r="AK25" t="str">
        <f>IF(ISBLANK(JP!AM29),"","x")</f>
        <v>x</v>
      </c>
      <c r="AL25" t="str">
        <f>IF(ISBLANK(JP!AN29),"","x")</f>
        <v>x</v>
      </c>
      <c r="AM25" t="str">
        <f>IF(ISBLANK(JP!AO29),"","x")</f>
        <v/>
      </c>
      <c r="AN25" t="str">
        <f>IF(ISBLANK(JP!AP29),"","x")</f>
        <v/>
      </c>
      <c r="AO25" t="str">
        <f>IF(ISBLANK(JP!AR29),"","x")</f>
        <v/>
      </c>
      <c r="AP25" t="str">
        <f>IF(ISBLANK(JP!AS29),"","x")</f>
        <v/>
      </c>
      <c r="AQ25" t="str">
        <f>IF(ISBLANK(JP!AT29),"","x")</f>
        <v/>
      </c>
      <c r="AR25" t="str">
        <f>IF(ISBLANK(JP!AU29),"","x")</f>
        <v/>
      </c>
      <c r="AS25" t="str">
        <f>IF(ISBLANK(JP!AV29),"","x")</f>
        <v/>
      </c>
      <c r="AT25" t="str">
        <f>IF(ISBLANK(JP!AW29),"","x")</f>
        <v/>
      </c>
      <c r="AU25" t="str">
        <f>IF(ISBLANK(JP!AX29),"","x")</f>
        <v/>
      </c>
    </row>
    <row r="26" spans="2:47">
      <c r="B26">
        <f>IF(ISBLANK(JP!AZ30),"",JP!AZ30)</f>
        <v>10025636</v>
      </c>
      <c r="C26" t="str">
        <f>IF(ISBLANK(JP!BA30),"",JP!BA30)</f>
        <v>LOW PRICE CENTRE</v>
      </c>
      <c r="D26" t="str">
        <f>IF(ISBLANK(JP!BC30),"",JP!BC30)</f>
        <v>6 EUNOS CRESCENT</v>
      </c>
      <c r="E26">
        <f>IF(ISBLANK(JP!BB30),"",JP!BB30)</f>
        <v>1</v>
      </c>
      <c r="F26" t="str">
        <f>IF(ISBLANK(JP!D30),"","x")</f>
        <v/>
      </c>
      <c r="G26" t="str">
        <f>IF(ISBLANK(JP!E30),"","x")</f>
        <v/>
      </c>
      <c r="H26" t="str">
        <f>IF(ISBLANK(JP!F30),"","x")</f>
        <v/>
      </c>
      <c r="I26" t="str">
        <f>IF(ISBLANK(JP!G30),"","x")</f>
        <v/>
      </c>
      <c r="J26" t="str">
        <f>IF(ISBLANK(JP!H30),"","x")</f>
        <v/>
      </c>
      <c r="K26" t="str">
        <f>IF(ISBLANK(JP!I30),"","x")</f>
        <v/>
      </c>
      <c r="L26" t="str">
        <f>IF(ISBLANK(JP!J30),"","x")</f>
        <v/>
      </c>
      <c r="M26" t="str">
        <f>IF(ISBLANK(JP!L30),"","x")</f>
        <v/>
      </c>
      <c r="N26" t="str">
        <f>IF(ISBLANK(JP!M30),"","x")</f>
        <v/>
      </c>
      <c r="O26" t="str">
        <f>IF(ISBLANK(JP!N30),"","x")</f>
        <v/>
      </c>
      <c r="P26" t="str">
        <f>IF(ISBLANK(JP!O30),"","x")</f>
        <v/>
      </c>
      <c r="Q26" t="str">
        <f>IF(ISBLANK(JP!P30),"","x")</f>
        <v/>
      </c>
      <c r="R26" t="str">
        <f>IF(ISBLANK(JP!Q30),"","x")</f>
        <v/>
      </c>
      <c r="S26" t="str">
        <f>IF(ISBLANK(JP!R30),"","x")</f>
        <v/>
      </c>
      <c r="T26" t="str">
        <f>IF(ISBLANK(JP!T30),"","x")</f>
        <v/>
      </c>
      <c r="U26" t="str">
        <f>IF(ISBLANK(JP!U30),"","x")</f>
        <v/>
      </c>
      <c r="V26" t="str">
        <f>IF(ISBLANK(JP!V30),"","x")</f>
        <v/>
      </c>
      <c r="W26" t="str">
        <f>IF(ISBLANK(JP!W30),"","x")</f>
        <v/>
      </c>
      <c r="X26" t="str">
        <f>IF(ISBLANK(JP!X30),"","x")</f>
        <v/>
      </c>
      <c r="Y26" t="str">
        <f>IF(ISBLANK(JP!Y30),"","x")</f>
        <v/>
      </c>
      <c r="Z26" t="str">
        <f>IF(ISBLANK(JP!Z30),"","x")</f>
        <v/>
      </c>
      <c r="AA26" t="str">
        <f>IF(ISBLANK(JP!AB30),"","x")</f>
        <v/>
      </c>
      <c r="AB26" t="str">
        <f>IF(ISBLANK(JP!AC30),"","x")</f>
        <v/>
      </c>
      <c r="AC26" t="str">
        <f>IF(ISBLANK(JP!AD30),"","x")</f>
        <v/>
      </c>
      <c r="AD26" t="str">
        <f>IF(ISBLANK(JP!AE30),"","x")</f>
        <v/>
      </c>
      <c r="AE26" t="str">
        <f>IF(ISBLANK(JP!AF30),"","x")</f>
        <v/>
      </c>
      <c r="AF26" t="str">
        <f>IF(ISBLANK(JP!AG30),"","x")</f>
        <v/>
      </c>
      <c r="AG26" t="str">
        <f>IF(ISBLANK(JP!AH30),"","x")</f>
        <v/>
      </c>
      <c r="AH26" t="str">
        <f>IF(ISBLANK(JP!AJ30),"","x")</f>
        <v/>
      </c>
      <c r="AI26" t="str">
        <f>IF(ISBLANK(JP!AK30),"","x")</f>
        <v/>
      </c>
      <c r="AJ26" t="str">
        <f>IF(ISBLANK(JP!AL30),"","x")</f>
        <v/>
      </c>
      <c r="AK26" t="str">
        <f>IF(ISBLANK(JP!AM30),"","x")</f>
        <v/>
      </c>
      <c r="AL26" t="str">
        <f>IF(ISBLANK(JP!AN30),"","x")</f>
        <v>x</v>
      </c>
      <c r="AM26" t="str">
        <f>IF(ISBLANK(JP!AO30),"","x")</f>
        <v>x</v>
      </c>
      <c r="AN26" t="str">
        <f>IF(ISBLANK(JP!AP30),"","x")</f>
        <v/>
      </c>
      <c r="AO26" t="str">
        <f>IF(ISBLANK(JP!AR30),"","x")</f>
        <v/>
      </c>
      <c r="AP26" t="str">
        <f>IF(ISBLANK(JP!AS30),"","x")</f>
        <v/>
      </c>
      <c r="AQ26" t="str">
        <f>IF(ISBLANK(JP!AT30),"","x")</f>
        <v/>
      </c>
      <c r="AR26" t="str">
        <f>IF(ISBLANK(JP!AU30),"","x")</f>
        <v/>
      </c>
      <c r="AS26" t="str">
        <f>IF(ISBLANK(JP!AV30),"","x")</f>
        <v/>
      </c>
      <c r="AT26" t="str">
        <f>IF(ISBLANK(JP!AW30),"","x")</f>
        <v/>
      </c>
      <c r="AU26" t="str">
        <f>IF(ISBLANK(JP!AX30),"","x")</f>
        <v/>
      </c>
    </row>
    <row r="27" spans="2:47">
      <c r="B27">
        <f>IF(ISBLANK(JP!AZ31),"",JP!AZ31)</f>
        <v>10044213</v>
      </c>
      <c r="C27" t="str">
        <f>IF(ISBLANK(JP!BA31),"",JP!BA31)</f>
        <v>SMILES (EUNOS)</v>
      </c>
      <c r="D27" t="str">
        <f>IF(ISBLANK(JP!BC31),"",JP!BC31)</f>
        <v>6 EUNOS CRESCENT</v>
      </c>
      <c r="E27">
        <f>IF(ISBLANK(JP!BB31),"",JP!BB31)</f>
        <v>1</v>
      </c>
      <c r="F27" t="str">
        <f>IF(ISBLANK(JP!D31),"","x")</f>
        <v/>
      </c>
      <c r="G27" t="str">
        <f>IF(ISBLANK(JP!E31),"","x")</f>
        <v/>
      </c>
      <c r="H27" t="str">
        <f>IF(ISBLANK(JP!F31),"","x")</f>
        <v/>
      </c>
      <c r="I27" t="str">
        <f>IF(ISBLANK(JP!G31),"","x")</f>
        <v/>
      </c>
      <c r="J27" t="str">
        <f>IF(ISBLANK(JP!H31),"","x")</f>
        <v/>
      </c>
      <c r="K27" t="str">
        <f>IF(ISBLANK(JP!I31),"","x")</f>
        <v/>
      </c>
      <c r="L27" t="str">
        <f>IF(ISBLANK(JP!J31),"","x")</f>
        <v/>
      </c>
      <c r="M27" t="str">
        <f>IF(ISBLANK(JP!L31),"","x")</f>
        <v/>
      </c>
      <c r="N27" t="str">
        <f>IF(ISBLANK(JP!M31),"","x")</f>
        <v/>
      </c>
      <c r="O27" t="str">
        <f>IF(ISBLANK(JP!N31),"","x")</f>
        <v/>
      </c>
      <c r="P27" t="str">
        <f>IF(ISBLANK(JP!O31),"","x")</f>
        <v/>
      </c>
      <c r="Q27" t="str">
        <f>IF(ISBLANK(JP!P31),"","x")</f>
        <v/>
      </c>
      <c r="R27" t="str">
        <f>IF(ISBLANK(JP!Q31),"","x")</f>
        <v/>
      </c>
      <c r="S27" t="str">
        <f>IF(ISBLANK(JP!R31),"","x")</f>
        <v/>
      </c>
      <c r="T27" t="str">
        <f>IF(ISBLANK(JP!T31),"","x")</f>
        <v/>
      </c>
      <c r="U27" t="str">
        <f>IF(ISBLANK(JP!U31),"","x")</f>
        <v/>
      </c>
      <c r="V27" t="str">
        <f>IF(ISBLANK(JP!V31),"","x")</f>
        <v/>
      </c>
      <c r="W27" t="str">
        <f>IF(ISBLANK(JP!W31),"","x")</f>
        <v/>
      </c>
      <c r="X27" t="str">
        <f>IF(ISBLANK(JP!X31),"","x")</f>
        <v/>
      </c>
      <c r="Y27" t="str">
        <f>IF(ISBLANK(JP!Y31),"","x")</f>
        <v/>
      </c>
      <c r="Z27" t="str">
        <f>IF(ISBLANK(JP!Z31),"","x")</f>
        <v/>
      </c>
      <c r="AA27" t="str">
        <f>IF(ISBLANK(JP!AB31),"","x")</f>
        <v/>
      </c>
      <c r="AB27" t="str">
        <f>IF(ISBLANK(JP!AC31),"","x")</f>
        <v/>
      </c>
      <c r="AC27" t="str">
        <f>IF(ISBLANK(JP!AD31),"","x")</f>
        <v/>
      </c>
      <c r="AD27" t="str">
        <f>IF(ISBLANK(JP!AE31),"","x")</f>
        <v/>
      </c>
      <c r="AE27" t="str">
        <f>IF(ISBLANK(JP!AF31),"","x")</f>
        <v/>
      </c>
      <c r="AF27" t="str">
        <f>IF(ISBLANK(JP!AG31),"","x")</f>
        <v/>
      </c>
      <c r="AG27" t="str">
        <f>IF(ISBLANK(JP!AH31),"","x")</f>
        <v/>
      </c>
      <c r="AH27" t="str">
        <f>IF(ISBLANK(JP!AJ31),"","x")</f>
        <v/>
      </c>
      <c r="AI27" t="str">
        <f>IF(ISBLANK(JP!AK31),"","x")</f>
        <v/>
      </c>
      <c r="AJ27" t="str">
        <f>IF(ISBLANK(JP!AL31),"","x")</f>
        <v/>
      </c>
      <c r="AK27" t="str">
        <f>IF(ISBLANK(JP!AM31),"","x")</f>
        <v>x</v>
      </c>
      <c r="AL27" t="str">
        <f>IF(ISBLANK(JP!AN31),"","x")</f>
        <v/>
      </c>
      <c r="AM27" t="str">
        <f>IF(ISBLANK(JP!AO31),"","x")</f>
        <v/>
      </c>
      <c r="AN27" t="str">
        <f>IF(ISBLANK(JP!AP31),"","x")</f>
        <v/>
      </c>
      <c r="AO27" t="str">
        <f>IF(ISBLANK(JP!AR31),"","x")</f>
        <v/>
      </c>
      <c r="AP27" t="str">
        <f>IF(ISBLANK(JP!AS31),"","x")</f>
        <v/>
      </c>
      <c r="AQ27" t="str">
        <f>IF(ISBLANK(JP!AT31),"","x")</f>
        <v/>
      </c>
      <c r="AR27" t="str">
        <f>IF(ISBLANK(JP!AU31),"","x")</f>
        <v/>
      </c>
      <c r="AS27" t="str">
        <f>IF(ISBLANK(JP!AV31),"","x")</f>
        <v/>
      </c>
      <c r="AT27" t="str">
        <f>IF(ISBLANK(JP!AW31),"","x")</f>
        <v/>
      </c>
      <c r="AU27" t="str">
        <f>IF(ISBLANK(JP!AX31),"","x")</f>
        <v/>
      </c>
    </row>
    <row r="28" spans="2:47">
      <c r="B28">
        <f>IF(ISBLANK(JP!AZ32),"",JP!AZ32)</f>
        <v>10034518</v>
      </c>
      <c r="C28" t="str">
        <f>IF(ISBLANK(JP!BA32),"",JP!BA32)</f>
        <v>USHA S MARKETING PTE. LTD. (EUNOS)</v>
      </c>
      <c r="D28" t="str">
        <f>IF(ISBLANK(JP!BC32),"",JP!BC32)</f>
        <v>20 EUNOS CRESCENT</v>
      </c>
      <c r="E28">
        <f>IF(ISBLANK(JP!BB32),"",JP!BB32)</f>
        <v>1</v>
      </c>
      <c r="F28" t="str">
        <f>IF(ISBLANK(JP!D32),"","x")</f>
        <v/>
      </c>
      <c r="G28" t="str">
        <f>IF(ISBLANK(JP!E32),"","x")</f>
        <v/>
      </c>
      <c r="H28" t="str">
        <f>IF(ISBLANK(JP!F32),"","x")</f>
        <v/>
      </c>
      <c r="I28" t="str">
        <f>IF(ISBLANK(JP!G32),"","x")</f>
        <v/>
      </c>
      <c r="J28" t="str">
        <f>IF(ISBLANK(JP!H32),"","x")</f>
        <v/>
      </c>
      <c r="K28" t="str">
        <f>IF(ISBLANK(JP!I32),"","x")</f>
        <v/>
      </c>
      <c r="L28" t="str">
        <f>IF(ISBLANK(JP!J32),"","x")</f>
        <v/>
      </c>
      <c r="M28" t="str">
        <f>IF(ISBLANK(JP!L32),"","x")</f>
        <v/>
      </c>
      <c r="N28" t="str">
        <f>IF(ISBLANK(JP!M32),"","x")</f>
        <v/>
      </c>
      <c r="O28" t="str">
        <f>IF(ISBLANK(JP!N32),"","x")</f>
        <v/>
      </c>
      <c r="P28" t="str">
        <f>IF(ISBLANK(JP!O32),"","x")</f>
        <v/>
      </c>
      <c r="Q28" t="str">
        <f>IF(ISBLANK(JP!P32),"","x")</f>
        <v/>
      </c>
      <c r="R28" t="str">
        <f>IF(ISBLANK(JP!Q32),"","x")</f>
        <v/>
      </c>
      <c r="S28" t="str">
        <f>IF(ISBLANK(JP!R32),"","x")</f>
        <v/>
      </c>
      <c r="T28" t="str">
        <f>IF(ISBLANK(JP!T32),"","x")</f>
        <v/>
      </c>
      <c r="U28" t="str">
        <f>IF(ISBLANK(JP!U32),"","x")</f>
        <v/>
      </c>
      <c r="V28" t="str">
        <f>IF(ISBLANK(JP!V32),"","x")</f>
        <v/>
      </c>
      <c r="W28" t="str">
        <f>IF(ISBLANK(JP!W32),"","x")</f>
        <v/>
      </c>
      <c r="X28" t="str">
        <f>IF(ISBLANK(JP!X32),"","x")</f>
        <v/>
      </c>
      <c r="Y28" t="str">
        <f>IF(ISBLANK(JP!Y32),"","x")</f>
        <v/>
      </c>
      <c r="Z28" t="str">
        <f>IF(ISBLANK(JP!Z32),"","x")</f>
        <v/>
      </c>
      <c r="AA28" t="str">
        <f>IF(ISBLANK(JP!AB32),"","x")</f>
        <v/>
      </c>
      <c r="AB28" t="str">
        <f>IF(ISBLANK(JP!AC32),"","x")</f>
        <v/>
      </c>
      <c r="AC28" t="str">
        <f>IF(ISBLANK(JP!AD32),"","x")</f>
        <v/>
      </c>
      <c r="AD28" t="str">
        <f>IF(ISBLANK(JP!AE32),"","x")</f>
        <v/>
      </c>
      <c r="AE28" t="str">
        <f>IF(ISBLANK(JP!AF32),"","x")</f>
        <v/>
      </c>
      <c r="AF28" t="str">
        <f>IF(ISBLANK(JP!AG32),"","x")</f>
        <v/>
      </c>
      <c r="AG28" t="str">
        <f>IF(ISBLANK(JP!AH32),"","x")</f>
        <v/>
      </c>
      <c r="AH28" t="str">
        <f>IF(ISBLANK(JP!AJ32),"","x")</f>
        <v/>
      </c>
      <c r="AI28" t="str">
        <f>IF(ISBLANK(JP!AK32),"","x")</f>
        <v>x</v>
      </c>
      <c r="AJ28" t="str">
        <f>IF(ISBLANK(JP!AL32),"","x")</f>
        <v>x</v>
      </c>
      <c r="AK28" t="str">
        <f>IF(ISBLANK(JP!AM32),"","x")</f>
        <v/>
      </c>
      <c r="AL28" t="str">
        <f>IF(ISBLANK(JP!AN32),"","x")</f>
        <v/>
      </c>
      <c r="AM28" t="str">
        <f>IF(ISBLANK(JP!AO32),"","x")</f>
        <v/>
      </c>
      <c r="AN28" t="str">
        <f>IF(ISBLANK(JP!AP32),"","x")</f>
        <v/>
      </c>
      <c r="AO28" t="str">
        <f>IF(ISBLANK(JP!AR32),"","x")</f>
        <v/>
      </c>
      <c r="AP28" t="str">
        <f>IF(ISBLANK(JP!AS32),"","x")</f>
        <v/>
      </c>
      <c r="AQ28" t="str">
        <f>IF(ISBLANK(JP!AT32),"","x")</f>
        <v/>
      </c>
      <c r="AR28" t="str">
        <f>IF(ISBLANK(JP!AU32),"","x")</f>
        <v/>
      </c>
      <c r="AS28" t="str">
        <f>IF(ISBLANK(JP!AV32),"","x")</f>
        <v/>
      </c>
      <c r="AT28" t="str">
        <f>IF(ISBLANK(JP!AW32),"","x")</f>
        <v/>
      </c>
      <c r="AU28" t="str">
        <f>IF(ISBLANK(JP!AX32),"","x")</f>
        <v/>
      </c>
    </row>
    <row r="29" spans="2:47">
      <c r="B29">
        <f>IF(ISBLANK(JP!AZ33),"",JP!AZ33)</f>
        <v>10013516</v>
      </c>
      <c r="C29" t="str">
        <f>IF(ISBLANK(JP!BA33),"",JP!BA33)</f>
        <v>YEN INVESTMENT (UBI)</v>
      </c>
      <c r="D29" t="str">
        <f>IF(ISBLANK(JP!BC33),"",JP!BC33)</f>
        <v>301 UBI AVENUE 1</v>
      </c>
      <c r="E29">
        <f>IF(ISBLANK(JP!BB33),"",JP!BB33)</f>
        <v>1</v>
      </c>
      <c r="F29" t="str">
        <f>IF(ISBLANK(JP!D33),"","x")</f>
        <v/>
      </c>
      <c r="G29" t="str">
        <f>IF(ISBLANK(JP!E33),"","x")</f>
        <v/>
      </c>
      <c r="H29" t="str">
        <f>IF(ISBLANK(JP!F33),"","x")</f>
        <v/>
      </c>
      <c r="I29" t="str">
        <f>IF(ISBLANK(JP!G33),"","x")</f>
        <v/>
      </c>
      <c r="J29" t="str">
        <f>IF(ISBLANK(JP!H33),"","x")</f>
        <v/>
      </c>
      <c r="K29" t="str">
        <f>IF(ISBLANK(JP!I33),"","x")</f>
        <v/>
      </c>
      <c r="L29" t="str">
        <f>IF(ISBLANK(JP!J33),"","x")</f>
        <v/>
      </c>
      <c r="M29" t="str">
        <f>IF(ISBLANK(JP!L33),"","x")</f>
        <v/>
      </c>
      <c r="N29" t="str">
        <f>IF(ISBLANK(JP!M33),"","x")</f>
        <v/>
      </c>
      <c r="O29" t="str">
        <f>IF(ISBLANK(JP!N33),"","x")</f>
        <v/>
      </c>
      <c r="P29" t="str">
        <f>IF(ISBLANK(JP!O33),"","x")</f>
        <v/>
      </c>
      <c r="Q29" t="str">
        <f>IF(ISBLANK(JP!P33),"","x")</f>
        <v/>
      </c>
      <c r="R29" t="str">
        <f>IF(ISBLANK(JP!Q33),"","x")</f>
        <v/>
      </c>
      <c r="S29" t="str">
        <f>IF(ISBLANK(JP!R33),"","x")</f>
        <v/>
      </c>
      <c r="T29" t="str">
        <f>IF(ISBLANK(JP!T33),"","x")</f>
        <v/>
      </c>
      <c r="U29" t="str">
        <f>IF(ISBLANK(JP!U33),"","x")</f>
        <v/>
      </c>
      <c r="V29" t="str">
        <f>IF(ISBLANK(JP!V33),"","x")</f>
        <v/>
      </c>
      <c r="W29" t="str">
        <f>IF(ISBLANK(JP!W33),"","x")</f>
        <v/>
      </c>
      <c r="X29" t="str">
        <f>IF(ISBLANK(JP!X33),"","x")</f>
        <v/>
      </c>
      <c r="Y29" t="str">
        <f>IF(ISBLANK(JP!Y33),"","x")</f>
        <v/>
      </c>
      <c r="Z29" t="str">
        <f>IF(ISBLANK(JP!Z33),"","x")</f>
        <v/>
      </c>
      <c r="AA29" t="str">
        <f>IF(ISBLANK(JP!AB33),"","x")</f>
        <v/>
      </c>
      <c r="AB29" t="str">
        <f>IF(ISBLANK(JP!AC33),"","x")</f>
        <v/>
      </c>
      <c r="AC29" t="str">
        <f>IF(ISBLANK(JP!AD33),"","x")</f>
        <v/>
      </c>
      <c r="AD29" t="str">
        <f>IF(ISBLANK(JP!AE33),"","x")</f>
        <v/>
      </c>
      <c r="AE29" t="str">
        <f>IF(ISBLANK(JP!AF33),"","x")</f>
        <v/>
      </c>
      <c r="AF29" t="str">
        <f>IF(ISBLANK(JP!AG33),"","x")</f>
        <v/>
      </c>
      <c r="AG29" t="str">
        <f>IF(ISBLANK(JP!AH33),"","x")</f>
        <v/>
      </c>
      <c r="AH29" t="str">
        <f>IF(ISBLANK(JP!AJ33),"","x")</f>
        <v/>
      </c>
      <c r="AI29" t="str">
        <f>IF(ISBLANK(JP!AK33),"","x")</f>
        <v>x</v>
      </c>
      <c r="AJ29" t="str">
        <f>IF(ISBLANK(JP!AL33),"","x")</f>
        <v/>
      </c>
      <c r="AK29" t="str">
        <f>IF(ISBLANK(JP!AM33),"","x")</f>
        <v/>
      </c>
      <c r="AL29" t="str">
        <f>IF(ISBLANK(JP!AN33),"","x")</f>
        <v/>
      </c>
      <c r="AM29" t="str">
        <f>IF(ISBLANK(JP!AO33),"","x")</f>
        <v/>
      </c>
      <c r="AN29" t="str">
        <f>IF(ISBLANK(JP!AP33),"","x")</f>
        <v/>
      </c>
      <c r="AO29" t="str">
        <f>IF(ISBLANK(JP!AR33),"","x")</f>
        <v/>
      </c>
      <c r="AP29" t="str">
        <f>IF(ISBLANK(JP!AS33),"","x")</f>
        <v/>
      </c>
      <c r="AQ29" t="str">
        <f>IF(ISBLANK(JP!AT33),"","x")</f>
        <v/>
      </c>
      <c r="AR29" t="str">
        <f>IF(ISBLANK(JP!AU33),"","x")</f>
        <v/>
      </c>
      <c r="AS29" t="str">
        <f>IF(ISBLANK(JP!AV33),"","x")</f>
        <v/>
      </c>
      <c r="AT29" t="str">
        <f>IF(ISBLANK(JP!AW33),"","x")</f>
        <v/>
      </c>
      <c r="AU29" t="str">
        <f>IF(ISBLANK(JP!AX33),"","x")</f>
        <v/>
      </c>
    </row>
    <row r="30" spans="2:47">
      <c r="B30">
        <f>IF(ISBLANK(JP!AZ34),"",JP!AZ34)</f>
        <v>10042185</v>
      </c>
      <c r="C30" t="str">
        <f>IF(ISBLANK(JP!BA34),"",JP!BA34)</f>
        <v>HAPPY SHOPPY PTE. LTD (UBI)</v>
      </c>
      <c r="D30" t="str">
        <f>IF(ISBLANK(JP!BC34),"",JP!BC34)</f>
        <v>301 UBI AVENUE 1</v>
      </c>
      <c r="E30">
        <f>IF(ISBLANK(JP!BB34),"",JP!BB34)</f>
        <v>1</v>
      </c>
      <c r="F30" t="str">
        <f>IF(ISBLANK(JP!D34),"","x")</f>
        <v/>
      </c>
      <c r="G30" t="str">
        <f>IF(ISBLANK(JP!E34),"","x")</f>
        <v/>
      </c>
      <c r="H30" t="str">
        <f>IF(ISBLANK(JP!F34),"","x")</f>
        <v/>
      </c>
      <c r="I30" t="str">
        <f>IF(ISBLANK(JP!G34),"","x")</f>
        <v/>
      </c>
      <c r="J30" t="str">
        <f>IF(ISBLANK(JP!H34),"","x")</f>
        <v/>
      </c>
      <c r="K30" t="str">
        <f>IF(ISBLANK(JP!I34),"","x")</f>
        <v/>
      </c>
      <c r="L30" t="str">
        <f>IF(ISBLANK(JP!J34),"","x")</f>
        <v/>
      </c>
      <c r="M30" t="str">
        <f>IF(ISBLANK(JP!L34),"","x")</f>
        <v/>
      </c>
      <c r="N30" t="str">
        <f>IF(ISBLANK(JP!M34),"","x")</f>
        <v/>
      </c>
      <c r="O30" t="str">
        <f>IF(ISBLANK(JP!N34),"","x")</f>
        <v/>
      </c>
      <c r="P30" t="str">
        <f>IF(ISBLANK(JP!O34),"","x")</f>
        <v/>
      </c>
      <c r="Q30" t="str">
        <f>IF(ISBLANK(JP!P34),"","x")</f>
        <v/>
      </c>
      <c r="R30" t="str">
        <f>IF(ISBLANK(JP!Q34),"","x")</f>
        <v/>
      </c>
      <c r="S30" t="str">
        <f>IF(ISBLANK(JP!R34),"","x")</f>
        <v/>
      </c>
      <c r="T30" t="str">
        <f>IF(ISBLANK(JP!T34),"","x")</f>
        <v/>
      </c>
      <c r="U30" t="str">
        <f>IF(ISBLANK(JP!U34),"","x")</f>
        <v/>
      </c>
      <c r="V30" t="str">
        <f>IF(ISBLANK(JP!V34),"","x")</f>
        <v/>
      </c>
      <c r="W30" t="str">
        <f>IF(ISBLANK(JP!W34),"","x")</f>
        <v/>
      </c>
      <c r="X30" t="str">
        <f>IF(ISBLANK(JP!X34),"","x")</f>
        <v/>
      </c>
      <c r="Y30" t="str">
        <f>IF(ISBLANK(JP!Y34),"","x")</f>
        <v/>
      </c>
      <c r="Z30" t="str">
        <f>IF(ISBLANK(JP!Z34),"","x")</f>
        <v/>
      </c>
      <c r="AA30" t="str">
        <f>IF(ISBLANK(JP!AB34),"","x")</f>
        <v/>
      </c>
      <c r="AB30" t="str">
        <f>IF(ISBLANK(JP!AC34),"","x")</f>
        <v/>
      </c>
      <c r="AC30" t="str">
        <f>IF(ISBLANK(JP!AD34),"","x")</f>
        <v/>
      </c>
      <c r="AD30" t="str">
        <f>IF(ISBLANK(JP!AE34),"","x")</f>
        <v/>
      </c>
      <c r="AE30" t="str">
        <f>IF(ISBLANK(JP!AF34),"","x")</f>
        <v/>
      </c>
      <c r="AF30" t="str">
        <f>IF(ISBLANK(JP!AG34),"","x")</f>
        <v/>
      </c>
      <c r="AG30" t="str">
        <f>IF(ISBLANK(JP!AH34),"","x")</f>
        <v/>
      </c>
      <c r="AH30" t="str">
        <f>IF(ISBLANK(JP!AJ34),"","x")</f>
        <v/>
      </c>
      <c r="AI30" t="str">
        <f>IF(ISBLANK(JP!AK34),"","x")</f>
        <v>x</v>
      </c>
      <c r="AJ30" t="str">
        <f>IF(ISBLANK(JP!AL34),"","x")</f>
        <v/>
      </c>
      <c r="AK30" t="str">
        <f>IF(ISBLANK(JP!AM34),"","x")</f>
        <v/>
      </c>
      <c r="AL30" t="str">
        <f>IF(ISBLANK(JP!AN34),"","x")</f>
        <v>x</v>
      </c>
      <c r="AM30" t="str">
        <f>IF(ISBLANK(JP!AO34),"","x")</f>
        <v/>
      </c>
      <c r="AN30" t="str">
        <f>IF(ISBLANK(JP!AP34),"","x")</f>
        <v/>
      </c>
      <c r="AO30" t="str">
        <f>IF(ISBLANK(JP!AR34),"","x")</f>
        <v/>
      </c>
      <c r="AP30" t="str">
        <f>IF(ISBLANK(JP!AS34),"","x")</f>
        <v/>
      </c>
      <c r="AQ30" t="str">
        <f>IF(ISBLANK(JP!AT34),"","x")</f>
        <v/>
      </c>
      <c r="AR30" t="str">
        <f>IF(ISBLANK(JP!AU34),"","x")</f>
        <v/>
      </c>
      <c r="AS30" t="str">
        <f>IF(ISBLANK(JP!AV34),"","x")</f>
        <v/>
      </c>
      <c r="AT30" t="str">
        <f>IF(ISBLANK(JP!AW34),"","x")</f>
        <v/>
      </c>
      <c r="AU30" t="str">
        <f>IF(ISBLANK(JP!AX34),"","x")</f>
        <v/>
      </c>
    </row>
    <row r="31" spans="2:47">
      <c r="B31">
        <f>IF(ISBLANK(JP!AZ35),"",JP!AZ35)</f>
        <v>10045878</v>
      </c>
      <c r="C31" t="str">
        <f>IF(ISBLANK(JP!BA35),"",JP!BA35)</f>
        <v>CHENNAI TRADING &amp; SUPERMART PTE LTD(UBI)</v>
      </c>
      <c r="D31" t="str">
        <f>IF(ISBLANK(JP!BC35),"",JP!BC35)</f>
        <v>301 UBI AVENUE 1</v>
      </c>
      <c r="E31">
        <f>IF(ISBLANK(JP!BB35),"",JP!BB35)</f>
        <v>1</v>
      </c>
      <c r="F31" t="str">
        <f>IF(ISBLANK(JP!D35),"","x")</f>
        <v/>
      </c>
      <c r="G31" t="str">
        <f>IF(ISBLANK(JP!E35),"","x")</f>
        <v/>
      </c>
      <c r="H31" t="str">
        <f>IF(ISBLANK(JP!F35),"","x")</f>
        <v/>
      </c>
      <c r="I31" t="str">
        <f>IF(ISBLANK(JP!G35),"","x")</f>
        <v/>
      </c>
      <c r="J31" t="str">
        <f>IF(ISBLANK(JP!H35),"","x")</f>
        <v/>
      </c>
      <c r="K31" t="str">
        <f>IF(ISBLANK(JP!I35),"","x")</f>
        <v/>
      </c>
      <c r="L31" t="str">
        <f>IF(ISBLANK(JP!J35),"","x")</f>
        <v/>
      </c>
      <c r="M31" t="str">
        <f>IF(ISBLANK(JP!L35),"","x")</f>
        <v/>
      </c>
      <c r="N31" t="str">
        <f>IF(ISBLANK(JP!M35),"","x")</f>
        <v/>
      </c>
      <c r="O31" t="str">
        <f>IF(ISBLANK(JP!N35),"","x")</f>
        <v/>
      </c>
      <c r="P31" t="str">
        <f>IF(ISBLANK(JP!O35),"","x")</f>
        <v/>
      </c>
      <c r="Q31" t="str">
        <f>IF(ISBLANK(JP!P35),"","x")</f>
        <v/>
      </c>
      <c r="R31" t="str">
        <f>IF(ISBLANK(JP!Q35),"","x")</f>
        <v/>
      </c>
      <c r="S31" t="str">
        <f>IF(ISBLANK(JP!R35),"","x")</f>
        <v/>
      </c>
      <c r="T31" t="str">
        <f>IF(ISBLANK(JP!T35),"","x")</f>
        <v/>
      </c>
      <c r="U31" t="str">
        <f>IF(ISBLANK(JP!U35),"","x")</f>
        <v/>
      </c>
      <c r="V31" t="str">
        <f>IF(ISBLANK(JP!V35),"","x")</f>
        <v/>
      </c>
      <c r="W31" t="str">
        <f>IF(ISBLANK(JP!W35),"","x")</f>
        <v/>
      </c>
      <c r="X31" t="str">
        <f>IF(ISBLANK(JP!X35),"","x")</f>
        <v/>
      </c>
      <c r="Y31" t="str">
        <f>IF(ISBLANK(JP!Y35),"","x")</f>
        <v/>
      </c>
      <c r="Z31" t="str">
        <f>IF(ISBLANK(JP!Z35),"","x")</f>
        <v/>
      </c>
      <c r="AA31" t="str">
        <f>IF(ISBLANK(JP!AB35),"","x")</f>
        <v/>
      </c>
      <c r="AB31" t="str">
        <f>IF(ISBLANK(JP!AC35),"","x")</f>
        <v/>
      </c>
      <c r="AC31" t="str">
        <f>IF(ISBLANK(JP!AD35),"","x")</f>
        <v/>
      </c>
      <c r="AD31" t="str">
        <f>IF(ISBLANK(JP!AE35),"","x")</f>
        <v/>
      </c>
      <c r="AE31" t="str">
        <f>IF(ISBLANK(JP!AF35),"","x")</f>
        <v>x</v>
      </c>
      <c r="AF31" t="str">
        <f>IF(ISBLANK(JP!AG35),"","x")</f>
        <v/>
      </c>
      <c r="AG31" t="str">
        <f>IF(ISBLANK(JP!AH35),"","x")</f>
        <v/>
      </c>
      <c r="AH31" t="str">
        <f>IF(ISBLANK(JP!AJ35),"","x")</f>
        <v/>
      </c>
      <c r="AI31" t="str">
        <f>IF(ISBLANK(JP!AK35),"","x")</f>
        <v/>
      </c>
      <c r="AJ31" t="str">
        <f>IF(ISBLANK(JP!AL35),"","x")</f>
        <v/>
      </c>
      <c r="AK31" t="str">
        <f>IF(ISBLANK(JP!AM35),"","x")</f>
        <v/>
      </c>
      <c r="AL31" t="str">
        <f>IF(ISBLANK(JP!AN35),"","x")</f>
        <v>x</v>
      </c>
      <c r="AM31" t="str">
        <f>IF(ISBLANK(JP!AO35),"","x")</f>
        <v/>
      </c>
      <c r="AN31" t="str">
        <f>IF(ISBLANK(JP!AP35),"","x")</f>
        <v/>
      </c>
      <c r="AO31" t="str">
        <f>IF(ISBLANK(JP!AR35),"","x")</f>
        <v/>
      </c>
      <c r="AP31" t="str">
        <f>IF(ISBLANK(JP!AS35),"","x")</f>
        <v/>
      </c>
      <c r="AQ31" t="str">
        <f>IF(ISBLANK(JP!AT35),"","x")</f>
        <v/>
      </c>
      <c r="AR31" t="str">
        <f>IF(ISBLANK(JP!AU35),"","x")</f>
        <v/>
      </c>
      <c r="AS31" t="str">
        <f>IF(ISBLANK(JP!AV35),"","x")</f>
        <v/>
      </c>
      <c r="AT31" t="str">
        <f>IF(ISBLANK(JP!AW35),"","x")</f>
        <v/>
      </c>
      <c r="AU31" t="str">
        <f>IF(ISBLANK(JP!AX35),"","x")</f>
        <v/>
      </c>
    </row>
    <row r="32" spans="2:47">
      <c r="B32">
        <f>IF(ISBLANK(JP!AZ36),"",JP!AZ36)</f>
        <v>10046113</v>
      </c>
      <c r="C32" t="str">
        <f>IF(ISBLANK(JP!BA36),"",JP!BA36)</f>
        <v>PRAVEEN IMPEX PTE. LTD.</v>
      </c>
      <c r="D32" t="str">
        <f>IF(ISBLANK(JP!BC36),"",JP!BC36)</f>
        <v>301 UBI AVENUE 1</v>
      </c>
      <c r="E32">
        <f>IF(ISBLANK(JP!BB36),"",JP!BB36)</f>
        <v>1</v>
      </c>
      <c r="F32" t="str">
        <f>IF(ISBLANK(JP!D36),"","x")</f>
        <v/>
      </c>
      <c r="G32" t="str">
        <f>IF(ISBLANK(JP!E36),"","x")</f>
        <v/>
      </c>
      <c r="H32" t="str">
        <f>IF(ISBLANK(JP!F36),"","x")</f>
        <v/>
      </c>
      <c r="I32" t="str">
        <f>IF(ISBLANK(JP!G36),"","x")</f>
        <v/>
      </c>
      <c r="J32" t="str">
        <f>IF(ISBLANK(JP!H36),"","x")</f>
        <v/>
      </c>
      <c r="K32" t="str">
        <f>IF(ISBLANK(JP!I36),"","x")</f>
        <v/>
      </c>
      <c r="L32" t="str">
        <f>IF(ISBLANK(JP!J36),"","x")</f>
        <v/>
      </c>
      <c r="M32" t="str">
        <f>IF(ISBLANK(JP!L36),"","x")</f>
        <v/>
      </c>
      <c r="N32" t="str">
        <f>IF(ISBLANK(JP!M36),"","x")</f>
        <v/>
      </c>
      <c r="O32" t="str">
        <f>IF(ISBLANK(JP!N36),"","x")</f>
        <v/>
      </c>
      <c r="P32" t="str">
        <f>IF(ISBLANK(JP!O36),"","x")</f>
        <v/>
      </c>
      <c r="Q32" t="str">
        <f>IF(ISBLANK(JP!P36),"","x")</f>
        <v/>
      </c>
      <c r="R32" t="str">
        <f>IF(ISBLANK(JP!Q36),"","x")</f>
        <v/>
      </c>
      <c r="S32" t="str">
        <f>IF(ISBLANK(JP!R36),"","x")</f>
        <v/>
      </c>
      <c r="T32" t="str">
        <f>IF(ISBLANK(JP!T36),"","x")</f>
        <v/>
      </c>
      <c r="U32" t="str">
        <f>IF(ISBLANK(JP!U36),"","x")</f>
        <v/>
      </c>
      <c r="V32" t="str">
        <f>IF(ISBLANK(JP!V36),"","x")</f>
        <v/>
      </c>
      <c r="W32" t="str">
        <f>IF(ISBLANK(JP!W36),"","x")</f>
        <v/>
      </c>
      <c r="X32" t="str">
        <f>IF(ISBLANK(JP!X36),"","x")</f>
        <v/>
      </c>
      <c r="Y32" t="str">
        <f>IF(ISBLANK(JP!Y36),"","x")</f>
        <v/>
      </c>
      <c r="Z32" t="str">
        <f>IF(ISBLANK(JP!Z36),"","x")</f>
        <v/>
      </c>
      <c r="AA32" t="str">
        <f>IF(ISBLANK(JP!AB36),"","x")</f>
        <v/>
      </c>
      <c r="AB32" t="str">
        <f>IF(ISBLANK(JP!AC36),"","x")</f>
        <v/>
      </c>
      <c r="AC32" t="str">
        <f>IF(ISBLANK(JP!AD36),"","x")</f>
        <v/>
      </c>
      <c r="AD32" t="str">
        <f>IF(ISBLANK(JP!AE36),"","x")</f>
        <v>x</v>
      </c>
      <c r="AE32" t="str">
        <f>IF(ISBLANK(JP!AF36),"","x")</f>
        <v/>
      </c>
      <c r="AF32" t="str">
        <f>IF(ISBLANK(JP!AG36),"","x")</f>
        <v/>
      </c>
      <c r="AG32" t="str">
        <f>IF(ISBLANK(JP!AH36),"","x")</f>
        <v/>
      </c>
      <c r="AH32" t="str">
        <f>IF(ISBLANK(JP!AJ36),"","x")</f>
        <v/>
      </c>
      <c r="AI32" t="str">
        <f>IF(ISBLANK(JP!AK36),"","x")</f>
        <v/>
      </c>
      <c r="AJ32" t="str">
        <f>IF(ISBLANK(JP!AL36),"","x")</f>
        <v/>
      </c>
      <c r="AK32" t="str">
        <f>IF(ISBLANK(JP!AM36),"","x")</f>
        <v/>
      </c>
      <c r="AL32" t="str">
        <f>IF(ISBLANK(JP!AN36),"","x")</f>
        <v/>
      </c>
      <c r="AM32" t="str">
        <f>IF(ISBLANK(JP!AO36),"","x")</f>
        <v/>
      </c>
      <c r="AN32" t="str">
        <f>IF(ISBLANK(JP!AP36),"","x")</f>
        <v/>
      </c>
      <c r="AO32" t="str">
        <f>IF(ISBLANK(JP!AR36),"","x")</f>
        <v/>
      </c>
      <c r="AP32" t="str">
        <f>IF(ISBLANK(JP!AS36),"","x")</f>
        <v/>
      </c>
      <c r="AQ32" t="str">
        <f>IF(ISBLANK(JP!AT36),"","x")</f>
        <v/>
      </c>
      <c r="AR32" t="str">
        <f>IF(ISBLANK(JP!AU36),"","x")</f>
        <v/>
      </c>
      <c r="AS32" t="str">
        <f>IF(ISBLANK(JP!AV36),"","x")</f>
        <v/>
      </c>
      <c r="AT32" t="str">
        <f>IF(ISBLANK(JP!AW36),"","x")</f>
        <v/>
      </c>
      <c r="AU32" t="str">
        <f>IF(ISBLANK(JP!AX36),"","x")</f>
        <v/>
      </c>
    </row>
    <row r="33" spans="2:47">
      <c r="B33">
        <f>IF(ISBLANK(JP!AZ37),"",JP!AZ37)</f>
        <v>10039693</v>
      </c>
      <c r="C33" t="str">
        <f>IF(ISBLANK(JP!BA37),"",JP!BA37)</f>
        <v>AKSHAYA MINIMART PTE. LTD.</v>
      </c>
      <c r="D33" t="str">
        <f>IF(ISBLANK(JP!BC37),"",JP!BC37)</f>
        <v>302 UBI AVENUE 1</v>
      </c>
      <c r="E33">
        <f>IF(ISBLANK(JP!BB37),"",JP!BB37)</f>
        <v>1</v>
      </c>
      <c r="F33" t="str">
        <f>IF(ISBLANK(JP!D37),"","x")</f>
        <v/>
      </c>
      <c r="G33" t="str">
        <f>IF(ISBLANK(JP!E37),"","x")</f>
        <v/>
      </c>
      <c r="H33" t="str">
        <f>IF(ISBLANK(JP!F37),"","x")</f>
        <v/>
      </c>
      <c r="I33" t="str">
        <f>IF(ISBLANK(JP!G37),"","x")</f>
        <v/>
      </c>
      <c r="J33" t="str">
        <f>IF(ISBLANK(JP!H37),"","x")</f>
        <v/>
      </c>
      <c r="K33" t="str">
        <f>IF(ISBLANK(JP!I37),"","x")</f>
        <v/>
      </c>
      <c r="L33" t="str">
        <f>IF(ISBLANK(JP!J37),"","x")</f>
        <v/>
      </c>
      <c r="M33" t="str">
        <f>IF(ISBLANK(JP!L37),"","x")</f>
        <v/>
      </c>
      <c r="N33" t="str">
        <f>IF(ISBLANK(JP!M37),"","x")</f>
        <v/>
      </c>
      <c r="O33" t="str">
        <f>IF(ISBLANK(JP!N37),"","x")</f>
        <v/>
      </c>
      <c r="P33" t="str">
        <f>IF(ISBLANK(JP!O37),"","x")</f>
        <v/>
      </c>
      <c r="Q33" t="str">
        <f>IF(ISBLANK(JP!P37),"","x")</f>
        <v/>
      </c>
      <c r="R33" t="str">
        <f>IF(ISBLANK(JP!Q37),"","x")</f>
        <v/>
      </c>
      <c r="S33" t="str">
        <f>IF(ISBLANK(JP!R37),"","x")</f>
        <v/>
      </c>
      <c r="T33" t="str">
        <f>IF(ISBLANK(JP!T37),"","x")</f>
        <v/>
      </c>
      <c r="U33" t="str">
        <f>IF(ISBLANK(JP!U37),"","x")</f>
        <v/>
      </c>
      <c r="V33" t="str">
        <f>IF(ISBLANK(JP!V37),"","x")</f>
        <v/>
      </c>
      <c r="W33" t="str">
        <f>IF(ISBLANK(JP!W37),"","x")</f>
        <v/>
      </c>
      <c r="X33" t="str">
        <f>IF(ISBLANK(JP!X37),"","x")</f>
        <v/>
      </c>
      <c r="Y33" t="str">
        <f>IF(ISBLANK(JP!Y37),"","x")</f>
        <v/>
      </c>
      <c r="Z33" t="str">
        <f>IF(ISBLANK(JP!Z37),"","x")</f>
        <v/>
      </c>
      <c r="AA33" t="str">
        <f>IF(ISBLANK(JP!AB37),"","x")</f>
        <v/>
      </c>
      <c r="AB33" t="str">
        <f>IF(ISBLANK(JP!AC37),"","x")</f>
        <v>x</v>
      </c>
      <c r="AC33" t="str">
        <f>IF(ISBLANK(JP!AD37),"","x")</f>
        <v/>
      </c>
      <c r="AD33" t="str">
        <f>IF(ISBLANK(JP!AE37),"","x")</f>
        <v/>
      </c>
      <c r="AE33" t="str">
        <f>IF(ISBLANK(JP!AF37),"","x")</f>
        <v/>
      </c>
      <c r="AF33" t="str">
        <f>IF(ISBLANK(JP!AG37),"","x")</f>
        <v/>
      </c>
      <c r="AG33" t="str">
        <f>IF(ISBLANK(JP!AH37),"","x")</f>
        <v/>
      </c>
      <c r="AH33" t="str">
        <f>IF(ISBLANK(JP!AJ37),"","x")</f>
        <v/>
      </c>
      <c r="AI33" t="str">
        <f>IF(ISBLANK(JP!AK37),"","x")</f>
        <v/>
      </c>
      <c r="AJ33" t="str">
        <f>IF(ISBLANK(JP!AL37),"","x")</f>
        <v/>
      </c>
      <c r="AK33" t="str">
        <f>IF(ISBLANK(JP!AM37),"","x")</f>
        <v/>
      </c>
      <c r="AL33" t="str">
        <f>IF(ISBLANK(JP!AN37),"","x")</f>
        <v/>
      </c>
      <c r="AM33" t="str">
        <f>IF(ISBLANK(JP!AO37),"","x")</f>
        <v/>
      </c>
      <c r="AN33" t="str">
        <f>IF(ISBLANK(JP!AP37),"","x")</f>
        <v/>
      </c>
      <c r="AO33" t="str">
        <f>IF(ISBLANK(JP!AR37),"","x")</f>
        <v/>
      </c>
      <c r="AP33" t="str">
        <f>IF(ISBLANK(JP!AS37),"","x")</f>
        <v/>
      </c>
      <c r="AQ33" t="str">
        <f>IF(ISBLANK(JP!AT37),"","x")</f>
        <v/>
      </c>
      <c r="AR33" t="str">
        <f>IF(ISBLANK(JP!AU37),"","x")</f>
        <v/>
      </c>
      <c r="AS33" t="str">
        <f>IF(ISBLANK(JP!AV37),"","x")</f>
        <v/>
      </c>
      <c r="AT33" t="str">
        <f>IF(ISBLANK(JP!AW37),"","x")</f>
        <v/>
      </c>
      <c r="AU33" t="str">
        <f>IF(ISBLANK(JP!AX37),"","x")</f>
        <v/>
      </c>
    </row>
    <row r="34" spans="2:47">
      <c r="B34">
        <f>IF(ISBLANK(JP!AZ38),"",JP!AZ38)</f>
        <v>10044217</v>
      </c>
      <c r="C34" t="str">
        <f>IF(ISBLANK(JP!BA38),"",JP!BA38)</f>
        <v>GOOD PRICE CENTRE (UBI)</v>
      </c>
      <c r="D34" t="str">
        <f>IF(ISBLANK(JP!BC38),"",JP!BC38)</f>
        <v>302 UBI AVENUE 1</v>
      </c>
      <c r="E34">
        <f>IF(ISBLANK(JP!BB38),"",JP!BB38)</f>
        <v>1</v>
      </c>
      <c r="F34" t="str">
        <f>IF(ISBLANK(JP!D38),"","x")</f>
        <v/>
      </c>
      <c r="G34" t="str">
        <f>IF(ISBLANK(JP!E38),"","x")</f>
        <v/>
      </c>
      <c r="H34" t="str">
        <f>IF(ISBLANK(JP!F38),"","x")</f>
        <v/>
      </c>
      <c r="I34" t="str">
        <f>IF(ISBLANK(JP!G38),"","x")</f>
        <v/>
      </c>
      <c r="J34" t="str">
        <f>IF(ISBLANK(JP!H38),"","x")</f>
        <v/>
      </c>
      <c r="K34" t="str">
        <f>IF(ISBLANK(JP!I38),"","x")</f>
        <v/>
      </c>
      <c r="L34" t="str">
        <f>IF(ISBLANK(JP!J38),"","x")</f>
        <v/>
      </c>
      <c r="M34" t="str">
        <f>IF(ISBLANK(JP!L38),"","x")</f>
        <v/>
      </c>
      <c r="N34" t="str">
        <f>IF(ISBLANK(JP!M38),"","x")</f>
        <v/>
      </c>
      <c r="O34" t="str">
        <f>IF(ISBLANK(JP!N38),"","x")</f>
        <v/>
      </c>
      <c r="P34" t="str">
        <f>IF(ISBLANK(JP!O38),"","x")</f>
        <v/>
      </c>
      <c r="Q34" t="str">
        <f>IF(ISBLANK(JP!P38),"","x")</f>
        <v/>
      </c>
      <c r="R34" t="str">
        <f>IF(ISBLANK(JP!Q38),"","x")</f>
        <v/>
      </c>
      <c r="S34" t="str">
        <f>IF(ISBLANK(JP!R38),"","x")</f>
        <v/>
      </c>
      <c r="T34" t="str">
        <f>IF(ISBLANK(JP!T38),"","x")</f>
        <v/>
      </c>
      <c r="U34" t="str">
        <f>IF(ISBLANK(JP!U38),"","x")</f>
        <v/>
      </c>
      <c r="V34" t="str">
        <f>IF(ISBLANK(JP!V38),"","x")</f>
        <v/>
      </c>
      <c r="W34" t="str">
        <f>IF(ISBLANK(JP!W38),"","x")</f>
        <v/>
      </c>
      <c r="X34" t="str">
        <f>IF(ISBLANK(JP!X38),"","x")</f>
        <v/>
      </c>
      <c r="Y34" t="str">
        <f>IF(ISBLANK(JP!Y38),"","x")</f>
        <v>x</v>
      </c>
      <c r="Z34" t="str">
        <f>IF(ISBLANK(JP!Z38),"","x")</f>
        <v/>
      </c>
      <c r="AA34" t="str">
        <f>IF(ISBLANK(JP!AB38),"","x")</f>
        <v/>
      </c>
      <c r="AB34" t="str">
        <f>IF(ISBLANK(JP!AC38),"","x")</f>
        <v/>
      </c>
      <c r="AC34" t="str">
        <f>IF(ISBLANK(JP!AD38),"","x")</f>
        <v/>
      </c>
      <c r="AD34" t="str">
        <f>IF(ISBLANK(JP!AE38),"","x")</f>
        <v/>
      </c>
      <c r="AE34" t="str">
        <f>IF(ISBLANK(JP!AF38),"","x")</f>
        <v/>
      </c>
      <c r="AF34" t="str">
        <f>IF(ISBLANK(JP!AG38),"","x")</f>
        <v/>
      </c>
      <c r="AG34" t="str">
        <f>IF(ISBLANK(JP!AH38),"","x")</f>
        <v/>
      </c>
      <c r="AH34" t="str">
        <f>IF(ISBLANK(JP!AJ38),"","x")</f>
        <v/>
      </c>
      <c r="AI34" t="str">
        <f>IF(ISBLANK(JP!AK38),"","x")</f>
        <v/>
      </c>
      <c r="AJ34" t="str">
        <f>IF(ISBLANK(JP!AL38),"","x")</f>
        <v/>
      </c>
      <c r="AK34" t="str">
        <f>IF(ISBLANK(JP!AM38),"","x")</f>
        <v/>
      </c>
      <c r="AL34" t="str">
        <f>IF(ISBLANK(JP!AN38),"","x")</f>
        <v/>
      </c>
      <c r="AM34" t="str">
        <f>IF(ISBLANK(JP!AO38),"","x")</f>
        <v/>
      </c>
      <c r="AN34" t="str">
        <f>IF(ISBLANK(JP!AP38),"","x")</f>
        <v/>
      </c>
      <c r="AO34" t="str">
        <f>IF(ISBLANK(JP!AR38),"","x")</f>
        <v/>
      </c>
      <c r="AP34" t="str">
        <f>IF(ISBLANK(JP!AS38),"","x")</f>
        <v/>
      </c>
      <c r="AQ34" t="str">
        <f>IF(ISBLANK(JP!AT38),"","x")</f>
        <v/>
      </c>
      <c r="AR34" t="str">
        <f>IF(ISBLANK(JP!AU38),"","x")</f>
        <v/>
      </c>
      <c r="AS34" t="str">
        <f>IF(ISBLANK(JP!AV38),"","x")</f>
        <v/>
      </c>
      <c r="AT34" t="str">
        <f>IF(ISBLANK(JP!AW38),"","x")</f>
        <v/>
      </c>
      <c r="AU34" t="str">
        <f>IF(ISBLANK(JP!AX38),"","x")</f>
        <v/>
      </c>
    </row>
    <row r="35" spans="2:47">
      <c r="B35">
        <f>IF(ISBLANK(JP!AZ39),"",JP!AZ39)</f>
        <v>10043250</v>
      </c>
      <c r="C35" t="str">
        <f>IF(ISBLANK(JP!BA39),"",JP!BA39)</f>
        <v>POWER VALUE TRADING PTE. LTD.</v>
      </c>
      <c r="D35" t="str">
        <f>IF(ISBLANK(JP!BC39),"",JP!BC39)</f>
        <v>304 UBI AVENUE 1</v>
      </c>
      <c r="E35">
        <f>IF(ISBLANK(JP!BB39),"",JP!BB39)</f>
        <v>1</v>
      </c>
      <c r="F35" t="str">
        <f>IF(ISBLANK(JP!D39),"","x")</f>
        <v/>
      </c>
      <c r="G35" t="str">
        <f>IF(ISBLANK(JP!E39),"","x")</f>
        <v/>
      </c>
      <c r="H35" t="str">
        <f>IF(ISBLANK(JP!F39),"","x")</f>
        <v/>
      </c>
      <c r="I35" t="str">
        <f>IF(ISBLANK(JP!G39),"","x")</f>
        <v/>
      </c>
      <c r="J35" t="str">
        <f>IF(ISBLANK(JP!H39),"","x")</f>
        <v/>
      </c>
      <c r="K35" t="str">
        <f>IF(ISBLANK(JP!I39),"","x")</f>
        <v/>
      </c>
      <c r="L35" t="str">
        <f>IF(ISBLANK(JP!J39),"","x")</f>
        <v/>
      </c>
      <c r="M35" t="str">
        <f>IF(ISBLANK(JP!L39),"","x")</f>
        <v/>
      </c>
      <c r="N35" t="str">
        <f>IF(ISBLANK(JP!M39),"","x")</f>
        <v/>
      </c>
      <c r="O35" t="str">
        <f>IF(ISBLANK(JP!N39),"","x")</f>
        <v/>
      </c>
      <c r="P35" t="str">
        <f>IF(ISBLANK(JP!O39),"","x")</f>
        <v/>
      </c>
      <c r="Q35" t="str">
        <f>IF(ISBLANK(JP!P39),"","x")</f>
        <v/>
      </c>
      <c r="R35" t="str">
        <f>IF(ISBLANK(JP!Q39),"","x")</f>
        <v/>
      </c>
      <c r="S35" t="str">
        <f>IF(ISBLANK(JP!R39),"","x")</f>
        <v/>
      </c>
      <c r="T35" t="str">
        <f>IF(ISBLANK(JP!T39),"","x")</f>
        <v/>
      </c>
      <c r="U35" t="str">
        <f>IF(ISBLANK(JP!U39),"","x")</f>
        <v/>
      </c>
      <c r="V35" t="str">
        <f>IF(ISBLANK(JP!V39),"","x")</f>
        <v/>
      </c>
      <c r="W35" t="str">
        <f>IF(ISBLANK(JP!W39),"","x")</f>
        <v>x</v>
      </c>
      <c r="X35" t="str">
        <f>IF(ISBLANK(JP!X39),"","x")</f>
        <v/>
      </c>
      <c r="Y35" t="str">
        <f>IF(ISBLANK(JP!Y39),"","x")</f>
        <v/>
      </c>
      <c r="Z35" t="str">
        <f>IF(ISBLANK(JP!Z39),"","x")</f>
        <v/>
      </c>
      <c r="AA35" t="str">
        <f>IF(ISBLANK(JP!AB39),"","x")</f>
        <v/>
      </c>
      <c r="AB35" t="str">
        <f>IF(ISBLANK(JP!AC39),"","x")</f>
        <v/>
      </c>
      <c r="AC35" t="str">
        <f>IF(ISBLANK(JP!AD39),"","x")</f>
        <v/>
      </c>
      <c r="AD35" t="str">
        <f>IF(ISBLANK(JP!AE39),"","x")</f>
        <v/>
      </c>
      <c r="AE35" t="str">
        <f>IF(ISBLANK(JP!AF39),"","x")</f>
        <v/>
      </c>
      <c r="AF35" t="str">
        <f>IF(ISBLANK(JP!AG39),"","x")</f>
        <v/>
      </c>
      <c r="AG35" t="str">
        <f>IF(ISBLANK(JP!AH39),"","x")</f>
        <v/>
      </c>
      <c r="AH35" t="str">
        <f>IF(ISBLANK(JP!AJ39),"","x")</f>
        <v/>
      </c>
      <c r="AI35" t="str">
        <f>IF(ISBLANK(JP!AK39),"","x")</f>
        <v/>
      </c>
      <c r="AJ35" t="str">
        <f>IF(ISBLANK(JP!AL39),"","x")</f>
        <v/>
      </c>
      <c r="AK35" t="str">
        <f>IF(ISBLANK(JP!AM39),"","x")</f>
        <v/>
      </c>
      <c r="AL35" t="str">
        <f>IF(ISBLANK(JP!AN39),"","x")</f>
        <v/>
      </c>
      <c r="AM35" t="str">
        <f>IF(ISBLANK(JP!AO39),"","x")</f>
        <v/>
      </c>
      <c r="AN35" t="str">
        <f>IF(ISBLANK(JP!AP39),"","x")</f>
        <v/>
      </c>
      <c r="AO35" t="str">
        <f>IF(ISBLANK(JP!AR39),"","x")</f>
        <v/>
      </c>
      <c r="AP35" t="str">
        <f>IF(ISBLANK(JP!AS39),"","x")</f>
        <v/>
      </c>
      <c r="AQ35" t="str">
        <f>IF(ISBLANK(JP!AT39),"","x")</f>
        <v/>
      </c>
      <c r="AR35" t="str">
        <f>IF(ISBLANK(JP!AU39),"","x")</f>
        <v/>
      </c>
      <c r="AS35" t="str">
        <f>IF(ISBLANK(JP!AV39),"","x")</f>
        <v/>
      </c>
      <c r="AT35" t="str">
        <f>IF(ISBLANK(JP!AW39),"","x")</f>
        <v/>
      </c>
      <c r="AU35" t="str">
        <f>IF(ISBLANK(JP!AX39),"","x")</f>
        <v/>
      </c>
    </row>
    <row r="36" spans="2:47">
      <c r="B36">
        <f>IF(ISBLANK(JP!AZ40),"",JP!AZ40)</f>
        <v>10042156</v>
      </c>
      <c r="C36" t="str">
        <f>IF(ISBLANK(JP!BA40),"",JP!BA40)</f>
        <v>TRAVELLING ART SINGAPORE PTE. LTD.</v>
      </c>
      <c r="D36" t="str">
        <f>IF(ISBLANK(JP!BC40),"",JP!BC40)</f>
        <v>305 UBI AVENUE 1</v>
      </c>
      <c r="E36">
        <f>IF(ISBLANK(JP!BB40),"",JP!BB40)</f>
        <v>1</v>
      </c>
      <c r="F36" t="str">
        <f>IF(ISBLANK(JP!D40),"","x")</f>
        <v/>
      </c>
      <c r="G36" t="str">
        <f>IF(ISBLANK(JP!E40),"","x")</f>
        <v/>
      </c>
      <c r="H36" t="str">
        <f>IF(ISBLANK(JP!F40),"","x")</f>
        <v/>
      </c>
      <c r="I36" t="str">
        <f>IF(ISBLANK(JP!G40),"","x")</f>
        <v/>
      </c>
      <c r="J36" t="str">
        <f>IF(ISBLANK(JP!H40),"","x")</f>
        <v/>
      </c>
      <c r="K36" t="str">
        <f>IF(ISBLANK(JP!I40),"","x")</f>
        <v/>
      </c>
      <c r="L36" t="str">
        <f>IF(ISBLANK(JP!J40),"","x")</f>
        <v/>
      </c>
      <c r="M36" t="str">
        <f>IF(ISBLANK(JP!L40),"","x")</f>
        <v/>
      </c>
      <c r="N36" t="str">
        <f>IF(ISBLANK(JP!M40),"","x")</f>
        <v/>
      </c>
      <c r="O36" t="str">
        <f>IF(ISBLANK(JP!N40),"","x")</f>
        <v/>
      </c>
      <c r="P36" t="str">
        <f>IF(ISBLANK(JP!O40),"","x")</f>
        <v/>
      </c>
      <c r="Q36" t="str">
        <f>IF(ISBLANK(JP!P40),"","x")</f>
        <v/>
      </c>
      <c r="R36" t="str">
        <f>IF(ISBLANK(JP!Q40),"","x")</f>
        <v/>
      </c>
      <c r="S36" t="str">
        <f>IF(ISBLANK(JP!R40),"","x")</f>
        <v/>
      </c>
      <c r="T36" t="str">
        <f>IF(ISBLANK(JP!T40),"","x")</f>
        <v/>
      </c>
      <c r="U36" t="str">
        <f>IF(ISBLANK(JP!U40),"","x")</f>
        <v>x</v>
      </c>
      <c r="V36" t="str">
        <f>IF(ISBLANK(JP!V40),"","x")</f>
        <v/>
      </c>
      <c r="W36" t="str">
        <f>IF(ISBLANK(JP!W40),"","x")</f>
        <v/>
      </c>
      <c r="X36" t="str">
        <f>IF(ISBLANK(JP!X40),"","x")</f>
        <v/>
      </c>
      <c r="Y36" t="str">
        <f>IF(ISBLANK(JP!Y40),"","x")</f>
        <v/>
      </c>
      <c r="Z36" t="str">
        <f>IF(ISBLANK(JP!Z40),"","x")</f>
        <v/>
      </c>
      <c r="AA36" t="str">
        <f>IF(ISBLANK(JP!AB40),"","x")</f>
        <v/>
      </c>
      <c r="AB36" t="str">
        <f>IF(ISBLANK(JP!AC40),"","x")</f>
        <v/>
      </c>
      <c r="AC36" t="str">
        <f>IF(ISBLANK(JP!AD40),"","x")</f>
        <v/>
      </c>
      <c r="AD36" t="str">
        <f>IF(ISBLANK(JP!AE40),"","x")</f>
        <v/>
      </c>
      <c r="AE36" t="str">
        <f>IF(ISBLANK(JP!AF40),"","x")</f>
        <v/>
      </c>
      <c r="AF36" t="str">
        <f>IF(ISBLANK(JP!AG40),"","x")</f>
        <v/>
      </c>
      <c r="AG36" t="str">
        <f>IF(ISBLANK(JP!AH40),"","x")</f>
        <v/>
      </c>
      <c r="AH36" t="str">
        <f>IF(ISBLANK(JP!AJ40),"","x")</f>
        <v/>
      </c>
      <c r="AI36" t="str">
        <f>IF(ISBLANK(JP!AK40),"","x")</f>
        <v/>
      </c>
      <c r="AJ36" t="str">
        <f>IF(ISBLANK(JP!AL40),"","x")</f>
        <v/>
      </c>
      <c r="AK36" t="str">
        <f>IF(ISBLANK(JP!AM40),"","x")</f>
        <v/>
      </c>
      <c r="AL36" t="str">
        <f>IF(ISBLANK(JP!AN40),"","x")</f>
        <v/>
      </c>
      <c r="AM36" t="str">
        <f>IF(ISBLANK(JP!AO40),"","x")</f>
        <v/>
      </c>
      <c r="AN36" t="str">
        <f>IF(ISBLANK(JP!AP40),"","x")</f>
        <v/>
      </c>
      <c r="AO36" t="str">
        <f>IF(ISBLANK(JP!AR40),"","x")</f>
        <v/>
      </c>
      <c r="AP36" t="str">
        <f>IF(ISBLANK(JP!AS40),"","x")</f>
        <v/>
      </c>
      <c r="AQ36" t="str">
        <f>IF(ISBLANK(JP!AT40),"","x")</f>
        <v/>
      </c>
      <c r="AR36" t="str">
        <f>IF(ISBLANK(JP!AU40),"","x")</f>
        <v/>
      </c>
      <c r="AS36" t="str">
        <f>IF(ISBLANK(JP!AV40),"","x")</f>
        <v/>
      </c>
      <c r="AT36" t="str">
        <f>IF(ISBLANK(JP!AW40),"","x")</f>
        <v/>
      </c>
      <c r="AU36" t="str">
        <f>IF(ISBLANK(JP!AX40),"","x")</f>
        <v/>
      </c>
    </row>
    <row r="37" spans="2:47">
      <c r="B37">
        <f>IF(ISBLANK(JP!AZ41),"",JP!AZ41)</f>
        <v>10043353</v>
      </c>
      <c r="C37" t="str">
        <f>IF(ISBLANK(JP!BA41),"",JP!BA41)</f>
        <v>BON MARCHE MINIMART</v>
      </c>
      <c r="D37" t="str">
        <f>IF(ISBLANK(JP!BC41),"",JP!BC41)</f>
        <v>306 UBI AVENUE 1</v>
      </c>
      <c r="E37">
        <f>IF(ISBLANK(JP!BB41),"",JP!BB41)</f>
        <v>1</v>
      </c>
      <c r="F37" t="str">
        <f>IF(ISBLANK(JP!D41),"","x")</f>
        <v/>
      </c>
      <c r="G37" t="str">
        <f>IF(ISBLANK(JP!E41),"","x")</f>
        <v/>
      </c>
      <c r="H37" t="str">
        <f>IF(ISBLANK(JP!F41),"","x")</f>
        <v/>
      </c>
      <c r="I37" t="str">
        <f>IF(ISBLANK(JP!G41),"","x")</f>
        <v/>
      </c>
      <c r="J37" t="str">
        <f>IF(ISBLANK(JP!H41),"","x")</f>
        <v/>
      </c>
      <c r="K37" t="str">
        <f>IF(ISBLANK(JP!I41),"","x")</f>
        <v/>
      </c>
      <c r="L37" t="str">
        <f>IF(ISBLANK(JP!J41),"","x")</f>
        <v/>
      </c>
      <c r="M37" t="str">
        <f>IF(ISBLANK(JP!L41),"","x")</f>
        <v/>
      </c>
      <c r="N37" t="str">
        <f>IF(ISBLANK(JP!M41),"","x")</f>
        <v/>
      </c>
      <c r="O37" t="str">
        <f>IF(ISBLANK(JP!N41),"","x")</f>
        <v/>
      </c>
      <c r="P37" t="str">
        <f>IF(ISBLANK(JP!O41),"","x")</f>
        <v/>
      </c>
      <c r="Q37" t="str">
        <f>IF(ISBLANK(JP!P41),"","x")</f>
        <v/>
      </c>
      <c r="R37" t="str">
        <f>IF(ISBLANK(JP!Q41),"","x")</f>
        <v/>
      </c>
      <c r="S37" t="str">
        <f>IF(ISBLANK(JP!R41),"","x")</f>
        <v/>
      </c>
      <c r="T37" t="str">
        <f>IF(ISBLANK(JP!T41),"","x")</f>
        <v>x</v>
      </c>
      <c r="U37" t="str">
        <f>IF(ISBLANK(JP!U41),"","x")</f>
        <v/>
      </c>
      <c r="V37" t="str">
        <f>IF(ISBLANK(JP!V41),"","x")</f>
        <v/>
      </c>
      <c r="W37" t="str">
        <f>IF(ISBLANK(JP!W41),"","x")</f>
        <v/>
      </c>
      <c r="X37" t="str">
        <f>IF(ISBLANK(JP!X41),"","x")</f>
        <v/>
      </c>
      <c r="Y37" t="str">
        <f>IF(ISBLANK(JP!Y41),"","x")</f>
        <v/>
      </c>
      <c r="Z37" t="str">
        <f>IF(ISBLANK(JP!Z41),"","x")</f>
        <v/>
      </c>
      <c r="AA37" t="str">
        <f>IF(ISBLANK(JP!AB41),"","x")</f>
        <v/>
      </c>
      <c r="AB37" t="str">
        <f>IF(ISBLANK(JP!AC41),"","x")</f>
        <v/>
      </c>
      <c r="AC37" t="str">
        <f>IF(ISBLANK(JP!AD41),"","x")</f>
        <v/>
      </c>
      <c r="AD37" t="str">
        <f>IF(ISBLANK(JP!AE41),"","x")</f>
        <v/>
      </c>
      <c r="AE37" t="str">
        <f>IF(ISBLANK(JP!AF41),"","x")</f>
        <v/>
      </c>
      <c r="AF37" t="str">
        <f>IF(ISBLANK(JP!AG41),"","x")</f>
        <v/>
      </c>
      <c r="AG37" t="str">
        <f>IF(ISBLANK(JP!AH41),"","x")</f>
        <v/>
      </c>
      <c r="AH37" t="str">
        <f>IF(ISBLANK(JP!AJ41),"","x")</f>
        <v/>
      </c>
      <c r="AI37" t="str">
        <f>IF(ISBLANK(JP!AK41),"","x")</f>
        <v/>
      </c>
      <c r="AJ37" t="str">
        <f>IF(ISBLANK(JP!AL41),"","x")</f>
        <v/>
      </c>
      <c r="AK37" t="str">
        <f>IF(ISBLANK(JP!AM41),"","x")</f>
        <v/>
      </c>
      <c r="AL37" t="str">
        <f>IF(ISBLANK(JP!AN41),"","x")</f>
        <v/>
      </c>
      <c r="AM37" t="str">
        <f>IF(ISBLANK(JP!AO41),"","x")</f>
        <v/>
      </c>
      <c r="AN37" t="str">
        <f>IF(ISBLANK(JP!AP41),"","x")</f>
        <v/>
      </c>
      <c r="AO37" t="str">
        <f>IF(ISBLANK(JP!AR41),"","x")</f>
        <v/>
      </c>
      <c r="AP37" t="str">
        <f>IF(ISBLANK(JP!AS41),"","x")</f>
        <v/>
      </c>
      <c r="AQ37" t="str">
        <f>IF(ISBLANK(JP!AT41),"","x")</f>
        <v/>
      </c>
      <c r="AR37" t="str">
        <f>IF(ISBLANK(JP!AU41),"","x")</f>
        <v/>
      </c>
      <c r="AS37" t="str">
        <f>IF(ISBLANK(JP!AV41),"","x")</f>
        <v/>
      </c>
      <c r="AT37" t="str">
        <f>IF(ISBLANK(JP!AW41),"","x")</f>
        <v/>
      </c>
      <c r="AU37" t="str">
        <f>IF(ISBLANK(JP!AX41),"","x")</f>
        <v/>
      </c>
    </row>
    <row r="38" spans="2:47">
      <c r="B38">
        <f>IF(ISBLANK(JP!AZ42),"",JP!AZ42)</f>
        <v>10038696</v>
      </c>
      <c r="C38" t="str">
        <f>IF(ISBLANK(JP!BA42),"",JP!BA42)</f>
        <v>EVERYDAY MARKET UBI PTE. LTD.</v>
      </c>
      <c r="D38" t="str">
        <f>IF(ISBLANK(JP!BC42),"",JP!BC42)</f>
        <v>325 UBI AVENUE 1</v>
      </c>
      <c r="E38">
        <f>IF(ISBLANK(JP!BB42),"",JP!BB42)</f>
        <v>1</v>
      </c>
      <c r="F38" t="str">
        <f>IF(ISBLANK(JP!D42),"","x")</f>
        <v/>
      </c>
      <c r="G38" t="str">
        <f>IF(ISBLANK(JP!E42),"","x")</f>
        <v/>
      </c>
      <c r="H38" t="str">
        <f>IF(ISBLANK(JP!F42),"","x")</f>
        <v/>
      </c>
      <c r="I38" t="str">
        <f>IF(ISBLANK(JP!G42),"","x")</f>
        <v/>
      </c>
      <c r="J38" t="str">
        <f>IF(ISBLANK(JP!H42),"","x")</f>
        <v/>
      </c>
      <c r="K38" t="str">
        <f>IF(ISBLANK(JP!I42),"","x")</f>
        <v/>
      </c>
      <c r="L38" t="str">
        <f>IF(ISBLANK(JP!J42),"","x")</f>
        <v/>
      </c>
      <c r="M38" t="str">
        <f>IF(ISBLANK(JP!L42),"","x")</f>
        <v/>
      </c>
      <c r="N38" t="str">
        <f>IF(ISBLANK(JP!M42),"","x")</f>
        <v/>
      </c>
      <c r="O38" t="str">
        <f>IF(ISBLANK(JP!N42),"","x")</f>
        <v/>
      </c>
      <c r="P38" t="str">
        <f>IF(ISBLANK(JP!O42),"","x")</f>
        <v/>
      </c>
      <c r="Q38" t="str">
        <f>IF(ISBLANK(JP!P42),"","x")</f>
        <v/>
      </c>
      <c r="R38" t="str">
        <f>IF(ISBLANK(JP!Q42),"","x")</f>
        <v/>
      </c>
      <c r="S38" t="str">
        <f>IF(ISBLANK(JP!R42),"","x")</f>
        <v>x</v>
      </c>
      <c r="T38" t="str">
        <f>IF(ISBLANK(JP!T42),"","x")</f>
        <v/>
      </c>
      <c r="U38" t="str">
        <f>IF(ISBLANK(JP!U42),"","x")</f>
        <v/>
      </c>
      <c r="V38" t="str">
        <f>IF(ISBLANK(JP!V42),"","x")</f>
        <v/>
      </c>
      <c r="W38" t="str">
        <f>IF(ISBLANK(JP!W42),"","x")</f>
        <v/>
      </c>
      <c r="X38" t="str">
        <f>IF(ISBLANK(JP!X42),"","x")</f>
        <v/>
      </c>
      <c r="Y38" t="str">
        <f>IF(ISBLANK(JP!Y42),"","x")</f>
        <v/>
      </c>
      <c r="Z38" t="str">
        <f>IF(ISBLANK(JP!Z42),"","x")</f>
        <v/>
      </c>
      <c r="AA38" t="str">
        <f>IF(ISBLANK(JP!AB42),"","x")</f>
        <v/>
      </c>
      <c r="AB38" t="str">
        <f>IF(ISBLANK(JP!AC42),"","x")</f>
        <v/>
      </c>
      <c r="AC38" t="str">
        <f>IF(ISBLANK(JP!AD42),"","x")</f>
        <v/>
      </c>
      <c r="AD38" t="str">
        <f>IF(ISBLANK(JP!AE42),"","x")</f>
        <v/>
      </c>
      <c r="AE38" t="str">
        <f>IF(ISBLANK(JP!AF42),"","x")</f>
        <v/>
      </c>
      <c r="AF38" t="str">
        <f>IF(ISBLANK(JP!AG42),"","x")</f>
        <v/>
      </c>
      <c r="AG38" t="str">
        <f>IF(ISBLANK(JP!AH42),"","x")</f>
        <v/>
      </c>
      <c r="AH38" t="str">
        <f>IF(ISBLANK(JP!AJ42),"","x")</f>
        <v/>
      </c>
      <c r="AI38" t="str">
        <f>IF(ISBLANK(JP!AK42),"","x")</f>
        <v/>
      </c>
      <c r="AJ38" t="str">
        <f>IF(ISBLANK(JP!AL42),"","x")</f>
        <v/>
      </c>
      <c r="AK38" t="str">
        <f>IF(ISBLANK(JP!AM42),"","x")</f>
        <v/>
      </c>
      <c r="AL38" t="str">
        <f>IF(ISBLANK(JP!AN42),"","x")</f>
        <v/>
      </c>
      <c r="AM38" t="str">
        <f>IF(ISBLANK(JP!AO42),"","x")</f>
        <v/>
      </c>
      <c r="AN38" t="str">
        <f>IF(ISBLANK(JP!AP42),"","x")</f>
        <v/>
      </c>
      <c r="AO38" t="str">
        <f>IF(ISBLANK(JP!AR42),"","x")</f>
        <v/>
      </c>
      <c r="AP38" t="str">
        <f>IF(ISBLANK(JP!AS42),"","x")</f>
        <v/>
      </c>
      <c r="AQ38" t="str">
        <f>IF(ISBLANK(JP!AT42),"","x")</f>
        <v/>
      </c>
      <c r="AR38" t="str">
        <f>IF(ISBLANK(JP!AU42),"","x")</f>
        <v/>
      </c>
      <c r="AS38" t="str">
        <f>IF(ISBLANK(JP!AV42),"","x")</f>
        <v/>
      </c>
      <c r="AT38" t="str">
        <f>IF(ISBLANK(JP!AW42),"","x")</f>
        <v/>
      </c>
      <c r="AU38" t="str">
        <f>IF(ISBLANK(JP!AX42),"","x")</f>
        <v/>
      </c>
    </row>
    <row r="39" spans="2:47">
      <c r="B39">
        <f>IF(ISBLANK(JP!AZ43),"",JP!AZ43)</f>
        <v>10045652</v>
      </c>
      <c r="C39" t="str">
        <f>IF(ISBLANK(JP!BA43),"",JP!BA43)</f>
        <v>A-STAR CASH &amp; CARRY 3</v>
      </c>
      <c r="D39" t="str">
        <f>IF(ISBLANK(JP!BC43),"",JP!BC43)</f>
        <v>325 UBI AVENUE 1</v>
      </c>
      <c r="E39">
        <f>IF(ISBLANK(JP!BB43),"",JP!BB43)</f>
        <v>1</v>
      </c>
      <c r="F39" t="str">
        <f>IF(ISBLANK(JP!D43),"","x")</f>
        <v/>
      </c>
      <c r="G39" t="str">
        <f>IF(ISBLANK(JP!E43),"","x")</f>
        <v/>
      </c>
      <c r="H39" t="str">
        <f>IF(ISBLANK(JP!F43),"","x")</f>
        <v/>
      </c>
      <c r="I39" t="str">
        <f>IF(ISBLANK(JP!G43),"","x")</f>
        <v/>
      </c>
      <c r="J39" t="str">
        <f>IF(ISBLANK(JP!H43),"","x")</f>
        <v/>
      </c>
      <c r="K39" t="str">
        <f>IF(ISBLANK(JP!I43),"","x")</f>
        <v/>
      </c>
      <c r="L39" t="str">
        <f>IF(ISBLANK(JP!J43),"","x")</f>
        <v/>
      </c>
      <c r="M39" t="str">
        <f>IF(ISBLANK(JP!L43),"","x")</f>
        <v/>
      </c>
      <c r="N39" t="str">
        <f>IF(ISBLANK(JP!M43),"","x")</f>
        <v/>
      </c>
      <c r="O39" t="str">
        <f>IF(ISBLANK(JP!N43),"","x")</f>
        <v/>
      </c>
      <c r="P39" t="str">
        <f>IF(ISBLANK(JP!O43),"","x")</f>
        <v/>
      </c>
      <c r="Q39" t="str">
        <f>IF(ISBLANK(JP!P43),"","x")</f>
        <v/>
      </c>
      <c r="R39" t="str">
        <f>IF(ISBLANK(JP!Q43),"","x")</f>
        <v>x</v>
      </c>
      <c r="S39" t="str">
        <f>IF(ISBLANK(JP!R43),"","x")</f>
        <v/>
      </c>
      <c r="T39" t="str">
        <f>IF(ISBLANK(JP!T43),"","x")</f>
        <v/>
      </c>
      <c r="U39" t="str">
        <f>IF(ISBLANK(JP!U43),"","x")</f>
        <v/>
      </c>
      <c r="V39" t="str">
        <f>IF(ISBLANK(JP!V43),"","x")</f>
        <v/>
      </c>
      <c r="W39" t="str">
        <f>IF(ISBLANK(JP!W43),"","x")</f>
        <v/>
      </c>
      <c r="X39" t="str">
        <f>IF(ISBLANK(JP!X43),"","x")</f>
        <v/>
      </c>
      <c r="Y39" t="str">
        <f>IF(ISBLANK(JP!Y43),"","x")</f>
        <v/>
      </c>
      <c r="Z39" t="str">
        <f>IF(ISBLANK(JP!Z43),"","x")</f>
        <v/>
      </c>
      <c r="AA39" t="str">
        <f>IF(ISBLANK(JP!AB43),"","x")</f>
        <v/>
      </c>
      <c r="AB39" t="str">
        <f>IF(ISBLANK(JP!AC43),"","x")</f>
        <v/>
      </c>
      <c r="AC39" t="str">
        <f>IF(ISBLANK(JP!AD43),"","x")</f>
        <v/>
      </c>
      <c r="AD39" t="str">
        <f>IF(ISBLANK(JP!AE43),"","x")</f>
        <v/>
      </c>
      <c r="AE39" t="str">
        <f>IF(ISBLANK(JP!AF43),"","x")</f>
        <v/>
      </c>
      <c r="AF39" t="str">
        <f>IF(ISBLANK(JP!AG43),"","x")</f>
        <v/>
      </c>
      <c r="AG39" t="str">
        <f>IF(ISBLANK(JP!AH43),"","x")</f>
        <v/>
      </c>
      <c r="AH39" t="str">
        <f>IF(ISBLANK(JP!AJ43),"","x")</f>
        <v/>
      </c>
      <c r="AI39" t="str">
        <f>IF(ISBLANK(JP!AK43),"","x")</f>
        <v/>
      </c>
      <c r="AJ39" t="str">
        <f>IF(ISBLANK(JP!AL43),"","x")</f>
        <v/>
      </c>
      <c r="AK39" t="str">
        <f>IF(ISBLANK(JP!AM43),"","x")</f>
        <v/>
      </c>
      <c r="AL39" t="str">
        <f>IF(ISBLANK(JP!AN43),"","x")</f>
        <v/>
      </c>
      <c r="AM39" t="str">
        <f>IF(ISBLANK(JP!AO43),"","x")</f>
        <v/>
      </c>
      <c r="AN39" t="str">
        <f>IF(ISBLANK(JP!AP43),"","x")</f>
        <v/>
      </c>
      <c r="AO39" t="str">
        <f>IF(ISBLANK(JP!AR43),"","x")</f>
        <v/>
      </c>
      <c r="AP39" t="str">
        <f>IF(ISBLANK(JP!AS43),"","x")</f>
        <v/>
      </c>
      <c r="AQ39" t="str">
        <f>IF(ISBLANK(JP!AT43),"","x")</f>
        <v/>
      </c>
      <c r="AR39" t="str">
        <f>IF(ISBLANK(JP!AU43),"","x")</f>
        <v/>
      </c>
      <c r="AS39" t="str">
        <f>IF(ISBLANK(JP!AV43),"","x")</f>
        <v/>
      </c>
      <c r="AT39" t="str">
        <f>IF(ISBLANK(JP!AW43),"","x")</f>
        <v/>
      </c>
      <c r="AU39" t="str">
        <f>IF(ISBLANK(JP!AX43),"","x")</f>
        <v/>
      </c>
    </row>
    <row r="40" spans="2:47">
      <c r="B40">
        <f>IF(ISBLANK(JP!AZ44),"",JP!AZ44)</f>
        <v>10042230</v>
      </c>
      <c r="C40" t="str">
        <f>IF(ISBLANK(JP!BA44),"",JP!BA44)</f>
        <v>SHENG MINIMART</v>
      </c>
      <c r="D40" t="str">
        <f>IF(ISBLANK(JP!BC44),"",JP!BC44)</f>
        <v>342 UBI AVENUE 1</v>
      </c>
      <c r="E40">
        <f>IF(ISBLANK(JP!BB44),"",JP!BB44)</f>
        <v>1</v>
      </c>
      <c r="F40" t="str">
        <f>IF(ISBLANK(JP!D44),"","x")</f>
        <v/>
      </c>
      <c r="G40" t="str">
        <f>IF(ISBLANK(JP!E44),"","x")</f>
        <v/>
      </c>
      <c r="H40" t="str">
        <f>IF(ISBLANK(JP!F44),"","x")</f>
        <v/>
      </c>
      <c r="I40" t="str">
        <f>IF(ISBLANK(JP!G44),"","x")</f>
        <v/>
      </c>
      <c r="J40" t="str">
        <f>IF(ISBLANK(JP!H44),"","x")</f>
        <v/>
      </c>
      <c r="K40" t="str">
        <f>IF(ISBLANK(JP!I44),"","x")</f>
        <v/>
      </c>
      <c r="L40" t="str">
        <f>IF(ISBLANK(JP!J44),"","x")</f>
        <v/>
      </c>
      <c r="M40" t="str">
        <f>IF(ISBLANK(JP!L44),"","x")</f>
        <v/>
      </c>
      <c r="N40" t="str">
        <f>IF(ISBLANK(JP!M44),"","x")</f>
        <v/>
      </c>
      <c r="O40" t="str">
        <f>IF(ISBLANK(JP!N44),"","x")</f>
        <v/>
      </c>
      <c r="P40" t="str">
        <f>IF(ISBLANK(JP!O44),"","x")</f>
        <v/>
      </c>
      <c r="Q40" t="str">
        <f>IF(ISBLANK(JP!P44),"","x")</f>
        <v>x</v>
      </c>
      <c r="R40" t="str">
        <f>IF(ISBLANK(JP!Q44),"","x")</f>
        <v/>
      </c>
      <c r="S40" t="str">
        <f>IF(ISBLANK(JP!R44),"","x")</f>
        <v/>
      </c>
      <c r="T40" t="str">
        <f>IF(ISBLANK(JP!T44),"","x")</f>
        <v/>
      </c>
      <c r="U40" t="str">
        <f>IF(ISBLANK(JP!U44),"","x")</f>
        <v/>
      </c>
      <c r="V40" t="str">
        <f>IF(ISBLANK(JP!V44),"","x")</f>
        <v/>
      </c>
      <c r="W40" t="str">
        <f>IF(ISBLANK(JP!W44),"","x")</f>
        <v/>
      </c>
      <c r="X40" t="str">
        <f>IF(ISBLANK(JP!X44),"","x")</f>
        <v/>
      </c>
      <c r="Y40" t="str">
        <f>IF(ISBLANK(JP!Y44),"","x")</f>
        <v/>
      </c>
      <c r="Z40" t="str">
        <f>IF(ISBLANK(JP!Z44),"","x")</f>
        <v/>
      </c>
      <c r="AA40" t="str">
        <f>IF(ISBLANK(JP!AB44),"","x")</f>
        <v/>
      </c>
      <c r="AB40" t="str">
        <f>IF(ISBLANK(JP!AC44),"","x")</f>
        <v/>
      </c>
      <c r="AC40" t="str">
        <f>IF(ISBLANK(JP!AD44),"","x")</f>
        <v/>
      </c>
      <c r="AD40" t="str">
        <f>IF(ISBLANK(JP!AE44),"","x")</f>
        <v/>
      </c>
      <c r="AE40" t="str">
        <f>IF(ISBLANK(JP!AF44),"","x")</f>
        <v/>
      </c>
      <c r="AF40" t="str">
        <f>IF(ISBLANK(JP!AG44),"","x")</f>
        <v/>
      </c>
      <c r="AG40" t="str">
        <f>IF(ISBLANK(JP!AH44),"","x")</f>
        <v/>
      </c>
      <c r="AH40" t="str">
        <f>IF(ISBLANK(JP!AJ44),"","x")</f>
        <v/>
      </c>
      <c r="AI40" t="str">
        <f>IF(ISBLANK(JP!AK44),"","x")</f>
        <v/>
      </c>
      <c r="AJ40" t="str">
        <f>IF(ISBLANK(JP!AL44),"","x")</f>
        <v/>
      </c>
      <c r="AK40" t="str">
        <f>IF(ISBLANK(JP!AM44),"","x")</f>
        <v/>
      </c>
      <c r="AL40" t="str">
        <f>IF(ISBLANK(JP!AN44),"","x")</f>
        <v/>
      </c>
      <c r="AM40" t="str">
        <f>IF(ISBLANK(JP!AO44),"","x")</f>
        <v/>
      </c>
      <c r="AN40" t="str">
        <f>IF(ISBLANK(JP!AP44),"","x")</f>
        <v/>
      </c>
      <c r="AO40" t="str">
        <f>IF(ISBLANK(JP!AR44),"","x")</f>
        <v/>
      </c>
      <c r="AP40" t="str">
        <f>IF(ISBLANK(JP!AS44),"","x")</f>
        <v/>
      </c>
      <c r="AQ40" t="str">
        <f>IF(ISBLANK(JP!AT44),"","x")</f>
        <v/>
      </c>
      <c r="AR40" t="str">
        <f>IF(ISBLANK(JP!AU44),"","x")</f>
        <v/>
      </c>
      <c r="AS40" t="str">
        <f>IF(ISBLANK(JP!AV44),"","x")</f>
        <v/>
      </c>
      <c r="AT40" t="str">
        <f>IF(ISBLANK(JP!AW44),"","x")</f>
        <v/>
      </c>
      <c r="AU40" t="str">
        <f>IF(ISBLANK(JP!AX44),"","x")</f>
        <v/>
      </c>
    </row>
    <row r="41" spans="2:47">
      <c r="B41">
        <f>IF(ISBLANK(JP!AZ45),"",JP!AZ45)</f>
        <v>10003939</v>
      </c>
      <c r="C41" t="str">
        <f>IF(ISBLANK(JP!BA45),"",JP!BA45)</f>
        <v>NEO GUAN HUAT</v>
      </c>
      <c r="D41" t="str">
        <f>IF(ISBLANK(JP!BC45),"",JP!BC45)</f>
        <v>350 UBI AVENUE 1</v>
      </c>
      <c r="E41">
        <f>IF(ISBLANK(JP!BB45),"",JP!BB45)</f>
        <v>1</v>
      </c>
      <c r="F41" t="str">
        <f>IF(ISBLANK(JP!D45),"","x")</f>
        <v/>
      </c>
      <c r="G41" t="str">
        <f>IF(ISBLANK(JP!E45),"","x")</f>
        <v/>
      </c>
      <c r="H41" t="str">
        <f>IF(ISBLANK(JP!F45),"","x")</f>
        <v/>
      </c>
      <c r="I41" t="str">
        <f>IF(ISBLANK(JP!G45),"","x")</f>
        <v/>
      </c>
      <c r="J41" t="str">
        <f>IF(ISBLANK(JP!H45),"","x")</f>
        <v/>
      </c>
      <c r="K41" t="str">
        <f>IF(ISBLANK(JP!I45),"","x")</f>
        <v/>
      </c>
      <c r="L41" t="str">
        <f>IF(ISBLANK(JP!J45),"","x")</f>
        <v/>
      </c>
      <c r="M41" t="str">
        <f>IF(ISBLANK(JP!L45),"","x")</f>
        <v/>
      </c>
      <c r="N41" t="str">
        <f>IF(ISBLANK(JP!M45),"","x")</f>
        <v/>
      </c>
      <c r="O41" t="str">
        <f>IF(ISBLANK(JP!N45),"","x")</f>
        <v/>
      </c>
      <c r="P41" t="str">
        <f>IF(ISBLANK(JP!O45),"","x")</f>
        <v>x</v>
      </c>
      <c r="Q41" t="str">
        <f>IF(ISBLANK(JP!P45),"","x")</f>
        <v/>
      </c>
      <c r="R41" t="str">
        <f>IF(ISBLANK(JP!Q45),"","x")</f>
        <v/>
      </c>
      <c r="S41" t="str">
        <f>IF(ISBLANK(JP!R45),"","x")</f>
        <v/>
      </c>
      <c r="T41" t="str">
        <f>IF(ISBLANK(JP!T45),"","x")</f>
        <v/>
      </c>
      <c r="U41" t="str">
        <f>IF(ISBLANK(JP!U45),"","x")</f>
        <v/>
      </c>
      <c r="V41" t="str">
        <f>IF(ISBLANK(JP!V45),"","x")</f>
        <v/>
      </c>
      <c r="W41" t="str">
        <f>IF(ISBLANK(JP!W45),"","x")</f>
        <v/>
      </c>
      <c r="X41" t="str">
        <f>IF(ISBLANK(JP!X45),"","x")</f>
        <v/>
      </c>
      <c r="Y41" t="str">
        <f>IF(ISBLANK(JP!Y45),"","x")</f>
        <v/>
      </c>
      <c r="Z41" t="str">
        <f>IF(ISBLANK(JP!Z45),"","x")</f>
        <v/>
      </c>
      <c r="AA41" t="str">
        <f>IF(ISBLANK(JP!AB45),"","x")</f>
        <v/>
      </c>
      <c r="AB41" t="str">
        <f>IF(ISBLANK(JP!AC45),"","x")</f>
        <v/>
      </c>
      <c r="AC41" t="str">
        <f>IF(ISBLANK(JP!AD45),"","x")</f>
        <v/>
      </c>
      <c r="AD41" t="str">
        <f>IF(ISBLANK(JP!AE45),"","x")</f>
        <v/>
      </c>
      <c r="AE41" t="str">
        <f>IF(ISBLANK(JP!AF45),"","x")</f>
        <v/>
      </c>
      <c r="AF41" t="str">
        <f>IF(ISBLANK(JP!AG45),"","x")</f>
        <v/>
      </c>
      <c r="AG41" t="str">
        <f>IF(ISBLANK(JP!AH45),"","x")</f>
        <v/>
      </c>
      <c r="AH41" t="str">
        <f>IF(ISBLANK(JP!AJ45),"","x")</f>
        <v/>
      </c>
      <c r="AI41" t="str">
        <f>IF(ISBLANK(JP!AK45),"","x")</f>
        <v/>
      </c>
      <c r="AJ41" t="str">
        <f>IF(ISBLANK(JP!AL45),"","x")</f>
        <v/>
      </c>
      <c r="AK41" t="str">
        <f>IF(ISBLANK(JP!AM45),"","x")</f>
        <v/>
      </c>
      <c r="AL41" t="str">
        <f>IF(ISBLANK(JP!AN45),"","x")</f>
        <v/>
      </c>
      <c r="AM41" t="str">
        <f>IF(ISBLANK(JP!AO45),"","x")</f>
        <v/>
      </c>
      <c r="AN41" t="str">
        <f>IF(ISBLANK(JP!AP45),"","x")</f>
        <v/>
      </c>
      <c r="AO41" t="str">
        <f>IF(ISBLANK(JP!AR45),"","x")</f>
        <v/>
      </c>
      <c r="AP41" t="str">
        <f>IF(ISBLANK(JP!AS45),"","x")</f>
        <v/>
      </c>
      <c r="AQ41" t="str">
        <f>IF(ISBLANK(JP!AT45),"","x")</f>
        <v/>
      </c>
      <c r="AR41" t="str">
        <f>IF(ISBLANK(JP!AU45),"","x")</f>
        <v/>
      </c>
      <c r="AS41" t="str">
        <f>IF(ISBLANK(JP!AV45),"","x")</f>
        <v/>
      </c>
      <c r="AT41" t="str">
        <f>IF(ISBLANK(JP!AW45),"","x")</f>
        <v/>
      </c>
      <c r="AU41" t="str">
        <f>IF(ISBLANK(JP!AX45),"","x")</f>
        <v/>
      </c>
    </row>
    <row r="42" spans="2:47">
      <c r="B42">
        <f>IF(ISBLANK(JP!AZ46),"",JP!AZ46)</f>
        <v>10042786</v>
      </c>
      <c r="C42" t="str">
        <f>IF(ISBLANK(JP!BA46),"",JP!BA46)</f>
        <v>COOL BAY</v>
      </c>
      <c r="D42" t="str">
        <f>IF(ISBLANK(JP!BC46),"",JP!BC46)</f>
        <v>60 PAYA LEBAR ROAD</v>
      </c>
      <c r="E42">
        <f>IF(ISBLANK(JP!BB46),"",JP!BB46)</f>
        <v>1</v>
      </c>
      <c r="F42" t="str">
        <f>IF(ISBLANK(JP!D46),"","x")</f>
        <v/>
      </c>
      <c r="G42" t="str">
        <f>IF(ISBLANK(JP!E46),"","x")</f>
        <v/>
      </c>
      <c r="H42" t="str">
        <f>IF(ISBLANK(JP!F46),"","x")</f>
        <v/>
      </c>
      <c r="I42" t="str">
        <f>IF(ISBLANK(JP!G46),"","x")</f>
        <v/>
      </c>
      <c r="J42" t="str">
        <f>IF(ISBLANK(JP!H46),"","x")</f>
        <v/>
      </c>
      <c r="K42" t="str">
        <f>IF(ISBLANK(JP!I46),"","x")</f>
        <v/>
      </c>
      <c r="L42" t="str">
        <f>IF(ISBLANK(JP!J46),"","x")</f>
        <v/>
      </c>
      <c r="M42" t="str">
        <f>IF(ISBLANK(JP!L46),"","x")</f>
        <v/>
      </c>
      <c r="N42" t="str">
        <f>IF(ISBLANK(JP!M46),"","x")</f>
        <v/>
      </c>
      <c r="O42" t="str">
        <f>IF(ISBLANK(JP!N46),"","x")</f>
        <v/>
      </c>
      <c r="P42" t="str">
        <f>IF(ISBLANK(JP!O46),"","x")</f>
        <v/>
      </c>
      <c r="Q42" t="str">
        <f>IF(ISBLANK(JP!P46),"","x")</f>
        <v/>
      </c>
      <c r="R42" t="str">
        <f>IF(ISBLANK(JP!Q46),"","x")</f>
        <v/>
      </c>
      <c r="S42" t="str">
        <f>IF(ISBLANK(JP!R46),"","x")</f>
        <v/>
      </c>
      <c r="T42" t="str">
        <f>IF(ISBLANK(JP!T46),"","x")</f>
        <v/>
      </c>
      <c r="U42" t="str">
        <f>IF(ISBLANK(JP!U46),"","x")</f>
        <v/>
      </c>
      <c r="V42" t="str">
        <f>IF(ISBLANK(JP!V46),"","x")</f>
        <v>x</v>
      </c>
      <c r="W42" t="str">
        <f>IF(ISBLANK(JP!W46),"","x")</f>
        <v/>
      </c>
      <c r="X42" t="str">
        <f>IF(ISBLANK(JP!X46),"","x")</f>
        <v>x</v>
      </c>
      <c r="Y42" t="str">
        <f>IF(ISBLANK(JP!Y46),"","x")</f>
        <v/>
      </c>
      <c r="Z42" t="str">
        <f>IF(ISBLANK(JP!Z46),"","x")</f>
        <v/>
      </c>
      <c r="AA42" t="str">
        <f>IF(ISBLANK(JP!AB46),"","x")</f>
        <v/>
      </c>
      <c r="AB42" t="str">
        <f>IF(ISBLANK(JP!AC46),"","x")</f>
        <v/>
      </c>
      <c r="AC42" t="str">
        <f>IF(ISBLANK(JP!AD46),"","x")</f>
        <v/>
      </c>
      <c r="AD42" t="str">
        <f>IF(ISBLANK(JP!AE46),"","x")</f>
        <v/>
      </c>
      <c r="AE42" t="str">
        <f>IF(ISBLANK(JP!AF46),"","x")</f>
        <v/>
      </c>
      <c r="AF42" t="str">
        <f>IF(ISBLANK(JP!AG46),"","x")</f>
        <v/>
      </c>
      <c r="AG42" t="str">
        <f>IF(ISBLANK(JP!AH46),"","x")</f>
        <v/>
      </c>
      <c r="AH42" t="str">
        <f>IF(ISBLANK(JP!AJ46),"","x")</f>
        <v/>
      </c>
      <c r="AI42" t="str">
        <f>IF(ISBLANK(JP!AK46),"","x")</f>
        <v/>
      </c>
      <c r="AJ42" t="str">
        <f>IF(ISBLANK(JP!AL46),"","x")</f>
        <v/>
      </c>
      <c r="AK42" t="str">
        <f>IF(ISBLANK(JP!AM46),"","x")</f>
        <v/>
      </c>
      <c r="AL42" t="str">
        <f>IF(ISBLANK(JP!AN46),"","x")</f>
        <v/>
      </c>
      <c r="AM42" t="str">
        <f>IF(ISBLANK(JP!AO46),"","x")</f>
        <v/>
      </c>
      <c r="AN42" t="str">
        <f>IF(ISBLANK(JP!AP46),"","x")</f>
        <v/>
      </c>
      <c r="AO42" t="str">
        <f>IF(ISBLANK(JP!AR46),"","x")</f>
        <v/>
      </c>
      <c r="AP42" t="str">
        <f>IF(ISBLANK(JP!AS46),"","x")</f>
        <v/>
      </c>
      <c r="AQ42" t="str">
        <f>IF(ISBLANK(JP!AT46),"","x")</f>
        <v/>
      </c>
      <c r="AR42" t="str">
        <f>IF(ISBLANK(JP!AU46),"","x")</f>
        <v/>
      </c>
      <c r="AS42" t="str">
        <f>IF(ISBLANK(JP!AV46),"","x")</f>
        <v/>
      </c>
      <c r="AT42" t="str">
        <f>IF(ISBLANK(JP!AW46),"","x")</f>
        <v/>
      </c>
      <c r="AU42" t="str">
        <f>IF(ISBLANK(JP!AX46),"","x")</f>
        <v/>
      </c>
    </row>
    <row r="43" spans="2:47">
      <c r="B43">
        <f>IF(ISBLANK(JP!AZ47),"",JP!AZ47)</f>
        <v>10037092</v>
      </c>
      <c r="C43" t="str">
        <f>IF(ISBLANK(JP!BA47),"",JP!BA47)</f>
        <v>PAPER CUP MARKET PLACE</v>
      </c>
      <c r="D43" t="str">
        <f>IF(ISBLANK(JP!BC47),"",JP!BC47)</f>
        <v>409 EUNOS ROAD 2</v>
      </c>
      <c r="E43">
        <f>IF(ISBLANK(JP!BB47),"",JP!BB47)</f>
        <v>1</v>
      </c>
      <c r="F43" t="str">
        <f>IF(ISBLANK(JP!D47),"","x")</f>
        <v/>
      </c>
      <c r="G43" t="str">
        <f>IF(ISBLANK(JP!E47),"","x")</f>
        <v/>
      </c>
      <c r="H43" t="str">
        <f>IF(ISBLANK(JP!F47),"","x")</f>
        <v/>
      </c>
      <c r="I43" t="str">
        <f>IF(ISBLANK(JP!G47),"","x")</f>
        <v/>
      </c>
      <c r="J43" t="str">
        <f>IF(ISBLANK(JP!H47),"","x")</f>
        <v/>
      </c>
      <c r="K43" t="str">
        <f>IF(ISBLANK(JP!I47),"","x")</f>
        <v/>
      </c>
      <c r="L43" t="str">
        <f>IF(ISBLANK(JP!J47),"","x")</f>
        <v/>
      </c>
      <c r="M43" t="str">
        <f>IF(ISBLANK(JP!L47),"","x")</f>
        <v/>
      </c>
      <c r="N43" t="str">
        <f>IF(ISBLANK(JP!M47),"","x")</f>
        <v/>
      </c>
      <c r="O43" t="str">
        <f>IF(ISBLANK(JP!N47),"","x")</f>
        <v/>
      </c>
      <c r="P43" t="str">
        <f>IF(ISBLANK(JP!O47),"","x")</f>
        <v/>
      </c>
      <c r="Q43" t="str">
        <f>IF(ISBLANK(JP!P47),"","x")</f>
        <v/>
      </c>
      <c r="R43" t="str">
        <f>IF(ISBLANK(JP!Q47),"","x")</f>
        <v/>
      </c>
      <c r="S43" t="str">
        <f>IF(ISBLANK(JP!R47),"","x")</f>
        <v/>
      </c>
      <c r="T43" t="str">
        <f>IF(ISBLANK(JP!T47),"","x")</f>
        <v/>
      </c>
      <c r="U43" t="str">
        <f>IF(ISBLANK(JP!U47),"","x")</f>
        <v/>
      </c>
      <c r="V43" t="str">
        <f>IF(ISBLANK(JP!V47),"","x")</f>
        <v/>
      </c>
      <c r="W43" t="str">
        <f>IF(ISBLANK(JP!W47),"","x")</f>
        <v/>
      </c>
      <c r="X43" t="str">
        <f>IF(ISBLANK(JP!X47),"","x")</f>
        <v/>
      </c>
      <c r="Y43" t="str">
        <f>IF(ISBLANK(JP!Y47),"","x")</f>
        <v>x</v>
      </c>
      <c r="Z43" t="str">
        <f>IF(ISBLANK(JP!Z47),"","x")</f>
        <v/>
      </c>
      <c r="AA43" t="str">
        <f>IF(ISBLANK(JP!AB47),"","x")</f>
        <v/>
      </c>
      <c r="AB43" t="str">
        <f>IF(ISBLANK(JP!AC47),"","x")</f>
        <v/>
      </c>
      <c r="AC43" t="str">
        <f>IF(ISBLANK(JP!AD47),"","x")</f>
        <v/>
      </c>
      <c r="AD43" t="str">
        <f>IF(ISBLANK(JP!AE47),"","x")</f>
        <v/>
      </c>
      <c r="AE43" t="str">
        <f>IF(ISBLANK(JP!AF47),"","x")</f>
        <v/>
      </c>
      <c r="AF43" t="str">
        <f>IF(ISBLANK(JP!AG47),"","x")</f>
        <v/>
      </c>
      <c r="AG43" t="str">
        <f>IF(ISBLANK(JP!AH47),"","x")</f>
        <v/>
      </c>
      <c r="AH43" t="str">
        <f>IF(ISBLANK(JP!AJ47),"","x")</f>
        <v/>
      </c>
      <c r="AI43" t="str">
        <f>IF(ISBLANK(JP!AK47),"","x")</f>
        <v/>
      </c>
      <c r="AJ43" t="str">
        <f>IF(ISBLANK(JP!AL47),"","x")</f>
        <v/>
      </c>
      <c r="AK43" t="str">
        <f>IF(ISBLANK(JP!AM47),"","x")</f>
        <v/>
      </c>
      <c r="AL43" t="str">
        <f>IF(ISBLANK(JP!AN47),"","x")</f>
        <v/>
      </c>
      <c r="AM43" t="str">
        <f>IF(ISBLANK(JP!AO47),"","x")</f>
        <v/>
      </c>
      <c r="AN43" t="str">
        <f>IF(ISBLANK(JP!AP47),"","x")</f>
        <v/>
      </c>
      <c r="AO43" t="str">
        <f>IF(ISBLANK(JP!AR47),"","x")</f>
        <v/>
      </c>
      <c r="AP43" t="str">
        <f>IF(ISBLANK(JP!AS47),"","x")</f>
        <v/>
      </c>
      <c r="AQ43" t="str">
        <f>IF(ISBLANK(JP!AT47),"","x")</f>
        <v/>
      </c>
      <c r="AR43" t="str">
        <f>IF(ISBLANK(JP!AU47),"","x")</f>
        <v/>
      </c>
      <c r="AS43" t="str">
        <f>IF(ISBLANK(JP!AV47),"","x")</f>
        <v/>
      </c>
      <c r="AT43" t="str">
        <f>IF(ISBLANK(JP!AW47),"","x")</f>
        <v/>
      </c>
      <c r="AU43" t="str">
        <f>IF(ISBLANK(JP!AX47),"","x")</f>
        <v/>
      </c>
    </row>
    <row r="44" spans="2:47">
      <c r="B44">
        <f>IF(ISBLANK(JP!AZ48),"",JP!AZ48)</f>
        <v>10006970</v>
      </c>
      <c r="C44" t="str">
        <f>IF(ISBLANK(JP!BA48),"",JP!BA48)</f>
        <v>LIN DA MINI SUPERMART (LENGKONG TIGA)</v>
      </c>
      <c r="D44" t="str">
        <f>IF(ISBLANK(JP!BC48),"",JP!BC48)</f>
        <v>110 LENGKONG TIGA</v>
      </c>
      <c r="E44">
        <f>IF(ISBLANK(JP!BB48),"",JP!BB48)</f>
        <v>1</v>
      </c>
      <c r="F44" t="str">
        <f>IF(ISBLANK(JP!D48),"","x")</f>
        <v/>
      </c>
      <c r="G44" t="str">
        <f>IF(ISBLANK(JP!E48),"","x")</f>
        <v/>
      </c>
      <c r="H44" t="str">
        <f>IF(ISBLANK(JP!F48),"","x")</f>
        <v/>
      </c>
      <c r="I44" t="str">
        <f>IF(ISBLANK(JP!G48),"","x")</f>
        <v/>
      </c>
      <c r="J44" t="str">
        <f>IF(ISBLANK(JP!H48),"","x")</f>
        <v/>
      </c>
      <c r="K44" t="str">
        <f>IF(ISBLANK(JP!I48),"","x")</f>
        <v/>
      </c>
      <c r="L44" t="str">
        <f>IF(ISBLANK(JP!J48),"","x")</f>
        <v/>
      </c>
      <c r="M44" t="str">
        <f>IF(ISBLANK(JP!L48),"","x")</f>
        <v/>
      </c>
      <c r="N44" t="str">
        <f>IF(ISBLANK(JP!M48),"","x")</f>
        <v/>
      </c>
      <c r="O44" t="str">
        <f>IF(ISBLANK(JP!N48),"","x")</f>
        <v/>
      </c>
      <c r="P44" t="str">
        <f>IF(ISBLANK(JP!O48),"","x")</f>
        <v/>
      </c>
      <c r="Q44" t="str">
        <f>IF(ISBLANK(JP!P48),"","x")</f>
        <v/>
      </c>
      <c r="R44" t="str">
        <f>IF(ISBLANK(JP!Q48),"","x")</f>
        <v/>
      </c>
      <c r="S44" t="str">
        <f>IF(ISBLANK(JP!R48),"","x")</f>
        <v/>
      </c>
      <c r="T44" t="str">
        <f>IF(ISBLANK(JP!T48),"","x")</f>
        <v/>
      </c>
      <c r="U44" t="str">
        <f>IF(ISBLANK(JP!U48),"","x")</f>
        <v/>
      </c>
      <c r="V44" t="str">
        <f>IF(ISBLANK(JP!V48),"","x")</f>
        <v/>
      </c>
      <c r="W44" t="str">
        <f>IF(ISBLANK(JP!W48),"","x")</f>
        <v/>
      </c>
      <c r="X44" t="str">
        <f>IF(ISBLANK(JP!X48),"","x")</f>
        <v/>
      </c>
      <c r="Y44" t="str">
        <f>IF(ISBLANK(JP!Y48),"","x")</f>
        <v>x</v>
      </c>
      <c r="Z44" t="str">
        <f>IF(ISBLANK(JP!Z48),"","x")</f>
        <v/>
      </c>
      <c r="AA44" t="str">
        <f>IF(ISBLANK(JP!AB48),"","x")</f>
        <v/>
      </c>
      <c r="AB44" t="str">
        <f>IF(ISBLANK(JP!AC48),"","x")</f>
        <v/>
      </c>
      <c r="AC44" t="str">
        <f>IF(ISBLANK(JP!AD48),"","x")</f>
        <v/>
      </c>
      <c r="AD44" t="str">
        <f>IF(ISBLANK(JP!AE48),"","x")</f>
        <v/>
      </c>
      <c r="AE44" t="str">
        <f>IF(ISBLANK(JP!AF48),"","x")</f>
        <v/>
      </c>
      <c r="AF44" t="str">
        <f>IF(ISBLANK(JP!AG48),"","x")</f>
        <v/>
      </c>
      <c r="AG44" t="str">
        <f>IF(ISBLANK(JP!AH48),"","x")</f>
        <v/>
      </c>
      <c r="AH44" t="str">
        <f>IF(ISBLANK(JP!AJ48),"","x")</f>
        <v/>
      </c>
      <c r="AI44" t="str">
        <f>IF(ISBLANK(JP!AK48),"","x")</f>
        <v/>
      </c>
      <c r="AJ44" t="str">
        <f>IF(ISBLANK(JP!AL48),"","x")</f>
        <v/>
      </c>
      <c r="AK44" t="str">
        <f>IF(ISBLANK(JP!AM48),"","x")</f>
        <v/>
      </c>
      <c r="AL44" t="str">
        <f>IF(ISBLANK(JP!AN48),"","x")</f>
        <v/>
      </c>
      <c r="AM44" t="str">
        <f>IF(ISBLANK(JP!AO48),"","x")</f>
        <v/>
      </c>
      <c r="AN44" t="str">
        <f>IF(ISBLANK(JP!AP48),"","x")</f>
        <v/>
      </c>
      <c r="AO44" t="str">
        <f>IF(ISBLANK(JP!AR48),"","x")</f>
        <v/>
      </c>
      <c r="AP44" t="str">
        <f>IF(ISBLANK(JP!AS48),"","x")</f>
        <v/>
      </c>
      <c r="AQ44" t="str">
        <f>IF(ISBLANK(JP!AT48),"","x")</f>
        <v/>
      </c>
      <c r="AR44" t="str">
        <f>IF(ISBLANK(JP!AU48),"","x")</f>
        <v/>
      </c>
      <c r="AS44" t="str">
        <f>IF(ISBLANK(JP!AV48),"","x")</f>
        <v/>
      </c>
      <c r="AT44" t="str">
        <f>IF(ISBLANK(JP!AW48),"","x")</f>
        <v/>
      </c>
      <c r="AU44" t="str">
        <f>IF(ISBLANK(JP!AX48),"","x")</f>
        <v/>
      </c>
    </row>
    <row r="45" spans="2:47">
      <c r="B45">
        <f>IF(ISBLANK(JP!AZ49),"",JP!AZ49)</f>
        <v>10012224</v>
      </c>
      <c r="C45" t="str">
        <f>IF(ISBLANK(JP!BA49),"",JP!BA49)</f>
        <v>GOLDEN BAMBOO (JLN TENAGA)</v>
      </c>
      <c r="D45" t="str">
        <f>IF(ISBLANK(JP!BC49),"",JP!BC49)</f>
        <v>655 JALAN TENAGA</v>
      </c>
      <c r="E45">
        <f>IF(ISBLANK(JP!BB49),"",JP!BB49)</f>
        <v>1</v>
      </c>
      <c r="F45" t="str">
        <f>IF(ISBLANK(JP!D49),"","x")</f>
        <v/>
      </c>
      <c r="G45" t="str">
        <f>IF(ISBLANK(JP!E49),"","x")</f>
        <v/>
      </c>
      <c r="H45" t="str">
        <f>IF(ISBLANK(JP!F49),"","x")</f>
        <v/>
      </c>
      <c r="I45" t="str">
        <f>IF(ISBLANK(JP!G49),"","x")</f>
        <v/>
      </c>
      <c r="J45" t="str">
        <f>IF(ISBLANK(JP!H49),"","x")</f>
        <v/>
      </c>
      <c r="K45" t="str">
        <f>IF(ISBLANK(JP!I49),"","x")</f>
        <v/>
      </c>
      <c r="L45" t="str">
        <f>IF(ISBLANK(JP!J49),"","x")</f>
        <v/>
      </c>
      <c r="M45" t="str">
        <f>IF(ISBLANK(JP!L49),"","x")</f>
        <v/>
      </c>
      <c r="N45" t="str">
        <f>IF(ISBLANK(JP!M49),"","x")</f>
        <v/>
      </c>
      <c r="O45" t="str">
        <f>IF(ISBLANK(JP!N49),"","x")</f>
        <v/>
      </c>
      <c r="P45" t="str">
        <f>IF(ISBLANK(JP!O49),"","x")</f>
        <v/>
      </c>
      <c r="Q45" t="str">
        <f>IF(ISBLANK(JP!P49),"","x")</f>
        <v/>
      </c>
      <c r="R45" t="str">
        <f>IF(ISBLANK(JP!Q49),"","x")</f>
        <v/>
      </c>
      <c r="S45" t="str">
        <f>IF(ISBLANK(JP!R49),"","x")</f>
        <v/>
      </c>
      <c r="T45" t="str">
        <f>IF(ISBLANK(JP!T49),"","x")</f>
        <v/>
      </c>
      <c r="U45" t="str">
        <f>IF(ISBLANK(JP!U49),"","x")</f>
        <v/>
      </c>
      <c r="V45" t="str">
        <f>IF(ISBLANK(JP!V49),"","x")</f>
        <v/>
      </c>
      <c r="W45" t="str">
        <f>IF(ISBLANK(JP!W49),"","x")</f>
        <v/>
      </c>
      <c r="X45" t="str">
        <f>IF(ISBLANK(JP!X49),"","x")</f>
        <v/>
      </c>
      <c r="Y45" t="str">
        <f>IF(ISBLANK(JP!Y49),"","x")</f>
        <v>x</v>
      </c>
      <c r="Z45" t="str">
        <f>IF(ISBLANK(JP!Z49),"","x")</f>
        <v/>
      </c>
      <c r="AA45" t="str">
        <f>IF(ISBLANK(JP!AB49),"","x")</f>
        <v/>
      </c>
      <c r="AB45" t="str">
        <f>IF(ISBLANK(JP!AC49),"","x")</f>
        <v/>
      </c>
      <c r="AC45" t="str">
        <f>IF(ISBLANK(JP!AD49),"","x")</f>
        <v/>
      </c>
      <c r="AD45" t="str">
        <f>IF(ISBLANK(JP!AE49),"","x")</f>
        <v/>
      </c>
      <c r="AE45" t="str">
        <f>IF(ISBLANK(JP!AF49),"","x")</f>
        <v/>
      </c>
      <c r="AF45" t="str">
        <f>IF(ISBLANK(JP!AG49),"","x")</f>
        <v/>
      </c>
      <c r="AG45" t="str">
        <f>IF(ISBLANK(JP!AH49),"","x")</f>
        <v/>
      </c>
      <c r="AH45" t="str">
        <f>IF(ISBLANK(JP!AJ49),"","x")</f>
        <v/>
      </c>
      <c r="AI45" t="str">
        <f>IF(ISBLANK(JP!AK49),"","x")</f>
        <v/>
      </c>
      <c r="AJ45" t="str">
        <f>IF(ISBLANK(JP!AL49),"","x")</f>
        <v/>
      </c>
      <c r="AK45" t="str">
        <f>IF(ISBLANK(JP!AM49),"","x")</f>
        <v/>
      </c>
      <c r="AL45" t="str">
        <f>IF(ISBLANK(JP!AN49),"","x")</f>
        <v/>
      </c>
      <c r="AM45" t="str">
        <f>IF(ISBLANK(JP!AO49),"","x")</f>
        <v/>
      </c>
      <c r="AN45" t="str">
        <f>IF(ISBLANK(JP!AP49),"","x")</f>
        <v/>
      </c>
      <c r="AO45" t="str">
        <f>IF(ISBLANK(JP!AR49),"","x")</f>
        <v/>
      </c>
      <c r="AP45" t="str">
        <f>IF(ISBLANK(JP!AS49),"","x")</f>
        <v/>
      </c>
      <c r="AQ45" t="str">
        <f>IF(ISBLANK(JP!AT49),"","x")</f>
        <v/>
      </c>
      <c r="AR45" t="str">
        <f>IF(ISBLANK(JP!AU49),"","x")</f>
        <v/>
      </c>
      <c r="AS45" t="str">
        <f>IF(ISBLANK(JP!AV49),"","x")</f>
        <v/>
      </c>
      <c r="AT45" t="str">
        <f>IF(ISBLANK(JP!AW49),"","x")</f>
        <v/>
      </c>
      <c r="AU45" t="str">
        <f>IF(ISBLANK(JP!AX49),"","x")</f>
        <v/>
      </c>
    </row>
    <row r="46" spans="2:47">
      <c r="B46">
        <f>IF(ISBLANK(JP!AZ50),"",JP!AZ50)</f>
        <v>10045713</v>
      </c>
      <c r="C46" t="str">
        <f>IF(ISBLANK(JP!BA50),"",JP!BA50)</f>
        <v>KARAIKUDI MINI MART</v>
      </c>
      <c r="D46" t="str">
        <f>IF(ISBLANK(JP!BC50),"",JP!BC50)</f>
        <v>18 KAKI BUKIT ROAD 3</v>
      </c>
      <c r="E46">
        <f>IF(ISBLANK(JP!BB50),"",JP!BB50)</f>
        <v>1</v>
      </c>
      <c r="F46" t="str">
        <f>IF(ISBLANK(JP!D50),"","x")</f>
        <v/>
      </c>
      <c r="G46" t="str">
        <f>IF(ISBLANK(JP!E50),"","x")</f>
        <v/>
      </c>
      <c r="H46" t="str">
        <f>IF(ISBLANK(JP!F50),"","x")</f>
        <v/>
      </c>
      <c r="I46" t="str">
        <f>IF(ISBLANK(JP!G50),"","x")</f>
        <v/>
      </c>
      <c r="J46" t="str">
        <f>IF(ISBLANK(JP!H50),"","x")</f>
        <v/>
      </c>
      <c r="K46" t="str">
        <f>IF(ISBLANK(JP!I50),"","x")</f>
        <v/>
      </c>
      <c r="L46" t="str">
        <f>IF(ISBLANK(JP!J50),"","x")</f>
        <v/>
      </c>
      <c r="M46" t="str">
        <f>IF(ISBLANK(JP!L50),"","x")</f>
        <v/>
      </c>
      <c r="N46" t="str">
        <f>IF(ISBLANK(JP!M50),"","x")</f>
        <v/>
      </c>
      <c r="O46" t="str">
        <f>IF(ISBLANK(JP!N50),"","x")</f>
        <v/>
      </c>
      <c r="P46" t="str">
        <f>IF(ISBLANK(JP!O50),"","x")</f>
        <v/>
      </c>
      <c r="Q46" t="str">
        <f>IF(ISBLANK(JP!P50),"","x")</f>
        <v/>
      </c>
      <c r="R46" t="str">
        <f>IF(ISBLANK(JP!Q50),"","x")</f>
        <v/>
      </c>
      <c r="S46" t="str">
        <f>IF(ISBLANK(JP!R50),"","x")</f>
        <v/>
      </c>
      <c r="T46" t="str">
        <f>IF(ISBLANK(JP!T50),"","x")</f>
        <v/>
      </c>
      <c r="U46" t="str">
        <f>IF(ISBLANK(JP!U50),"","x")</f>
        <v/>
      </c>
      <c r="V46" t="str">
        <f>IF(ISBLANK(JP!V50),"","x")</f>
        <v/>
      </c>
      <c r="W46" t="str">
        <f>IF(ISBLANK(JP!W50),"","x")</f>
        <v/>
      </c>
      <c r="X46" t="str">
        <f>IF(ISBLANK(JP!X50),"","x")</f>
        <v/>
      </c>
      <c r="Y46" t="str">
        <f>IF(ISBLANK(JP!Y50),"","x")</f>
        <v/>
      </c>
      <c r="Z46" t="str">
        <f>IF(ISBLANK(JP!Z50),"","x")</f>
        <v/>
      </c>
      <c r="AA46" t="str">
        <f>IF(ISBLANK(JP!AB50),"","x")</f>
        <v/>
      </c>
      <c r="AB46" t="str">
        <f>IF(ISBLANK(JP!AC50),"","x")</f>
        <v/>
      </c>
      <c r="AC46" t="str">
        <f>IF(ISBLANK(JP!AD50),"","x")</f>
        <v>x</v>
      </c>
      <c r="AD46" t="str">
        <f>IF(ISBLANK(JP!AE50),"","x")</f>
        <v/>
      </c>
      <c r="AE46" t="str">
        <f>IF(ISBLANK(JP!AF50),"","x")</f>
        <v/>
      </c>
      <c r="AF46" t="str">
        <f>IF(ISBLANK(JP!AG50),"","x")</f>
        <v/>
      </c>
      <c r="AG46" t="str">
        <f>IF(ISBLANK(JP!AH50),"","x")</f>
        <v/>
      </c>
      <c r="AH46" t="str">
        <f>IF(ISBLANK(JP!AJ50),"","x")</f>
        <v/>
      </c>
      <c r="AI46" t="str">
        <f>IF(ISBLANK(JP!AK50),"","x")</f>
        <v/>
      </c>
      <c r="AJ46" t="str">
        <f>IF(ISBLANK(JP!AL50),"","x")</f>
        <v/>
      </c>
      <c r="AK46" t="str">
        <f>IF(ISBLANK(JP!AM50),"","x")</f>
        <v/>
      </c>
      <c r="AL46" t="str">
        <f>IF(ISBLANK(JP!AN50),"","x")</f>
        <v/>
      </c>
      <c r="AM46" t="str">
        <f>IF(ISBLANK(JP!AO50),"","x")</f>
        <v/>
      </c>
      <c r="AN46" t="str">
        <f>IF(ISBLANK(JP!AP50),"","x")</f>
        <v/>
      </c>
      <c r="AO46" t="str">
        <f>IF(ISBLANK(JP!AR50),"","x")</f>
        <v/>
      </c>
      <c r="AP46" t="str">
        <f>IF(ISBLANK(JP!AS50),"","x")</f>
        <v/>
      </c>
      <c r="AQ46" t="str">
        <f>IF(ISBLANK(JP!AT50),"","x")</f>
        <v/>
      </c>
      <c r="AR46" t="str">
        <f>IF(ISBLANK(JP!AU50),"","x")</f>
        <v/>
      </c>
      <c r="AS46" t="str">
        <f>IF(ISBLANK(JP!AV50),"","x")</f>
        <v/>
      </c>
      <c r="AT46" t="str">
        <f>IF(ISBLANK(JP!AW50),"","x")</f>
        <v/>
      </c>
      <c r="AU46" t="str">
        <f>IF(ISBLANK(JP!AX50),"","x")</f>
        <v/>
      </c>
    </row>
    <row r="47" spans="2:47">
      <c r="B47">
        <f>IF(ISBLANK(JP!AZ51),"",JP!AZ51)</f>
        <v>10044394</v>
      </c>
      <c r="C47" t="str">
        <f>IF(ISBLANK(JP!BA51),"",JP!BA51)</f>
        <v>MURUGAN KPA MINIMART</v>
      </c>
      <c r="D47" t="str">
        <f>IF(ISBLANK(JP!BC51),"",JP!BC51)</f>
        <v>288 CHANGI ROAD</v>
      </c>
      <c r="E47">
        <f>IF(ISBLANK(JP!BB51),"",JP!BB51)</f>
        <v>1</v>
      </c>
      <c r="F47" t="str">
        <f>IF(ISBLANK(JP!D51),"","x")</f>
        <v/>
      </c>
      <c r="G47" t="str">
        <f>IF(ISBLANK(JP!E51),"","x")</f>
        <v/>
      </c>
      <c r="H47" t="str">
        <f>IF(ISBLANK(JP!F51),"","x")</f>
        <v/>
      </c>
      <c r="I47" t="str">
        <f>IF(ISBLANK(JP!G51),"","x")</f>
        <v/>
      </c>
      <c r="J47" t="str">
        <f>IF(ISBLANK(JP!H51),"","x")</f>
        <v/>
      </c>
      <c r="K47" t="str">
        <f>IF(ISBLANK(JP!I51),"","x")</f>
        <v/>
      </c>
      <c r="L47" t="str">
        <f>IF(ISBLANK(JP!J51),"","x")</f>
        <v/>
      </c>
      <c r="M47" t="str">
        <f>IF(ISBLANK(JP!L51),"","x")</f>
        <v/>
      </c>
      <c r="N47" t="str">
        <f>IF(ISBLANK(JP!M51),"","x")</f>
        <v/>
      </c>
      <c r="O47" t="str">
        <f>IF(ISBLANK(JP!N51),"","x")</f>
        <v/>
      </c>
      <c r="P47" t="str">
        <f>IF(ISBLANK(JP!O51),"","x")</f>
        <v/>
      </c>
      <c r="Q47" t="str">
        <f>IF(ISBLANK(JP!P51),"","x")</f>
        <v/>
      </c>
      <c r="R47" t="str">
        <f>IF(ISBLANK(JP!Q51),"","x")</f>
        <v/>
      </c>
      <c r="S47" t="str">
        <f>IF(ISBLANK(JP!R51),"","x")</f>
        <v/>
      </c>
      <c r="T47" t="str">
        <f>IF(ISBLANK(JP!T51),"","x")</f>
        <v/>
      </c>
      <c r="U47" t="str">
        <f>IF(ISBLANK(JP!U51),"","x")</f>
        <v/>
      </c>
      <c r="V47" t="str">
        <f>IF(ISBLANK(JP!V51),"","x")</f>
        <v/>
      </c>
      <c r="W47" t="str">
        <f>IF(ISBLANK(JP!W51),"","x")</f>
        <v/>
      </c>
      <c r="X47" t="str">
        <f>IF(ISBLANK(JP!X51),"","x")</f>
        <v/>
      </c>
      <c r="Y47" t="str">
        <f>IF(ISBLANK(JP!Y51),"","x")</f>
        <v/>
      </c>
      <c r="Z47" t="str">
        <f>IF(ISBLANK(JP!Z51),"","x")</f>
        <v/>
      </c>
      <c r="AA47" t="str">
        <f>IF(ISBLANK(JP!AB51),"","x")</f>
        <v/>
      </c>
      <c r="AB47" t="str">
        <f>IF(ISBLANK(JP!AC51),"","x")</f>
        <v/>
      </c>
      <c r="AC47" t="str">
        <f>IF(ISBLANK(JP!AD51),"","x")</f>
        <v>x</v>
      </c>
      <c r="AD47" t="str">
        <f>IF(ISBLANK(JP!AE51),"","x")</f>
        <v/>
      </c>
      <c r="AE47" t="str">
        <f>IF(ISBLANK(JP!AF51),"","x")</f>
        <v/>
      </c>
      <c r="AF47" t="str">
        <f>IF(ISBLANK(JP!AG51),"","x")</f>
        <v/>
      </c>
      <c r="AG47" t="str">
        <f>IF(ISBLANK(JP!AH51),"","x")</f>
        <v/>
      </c>
      <c r="AH47" t="str">
        <f>IF(ISBLANK(JP!AJ51),"","x")</f>
        <v/>
      </c>
      <c r="AI47" t="str">
        <f>IF(ISBLANK(JP!AK51),"","x")</f>
        <v/>
      </c>
      <c r="AJ47" t="str">
        <f>IF(ISBLANK(JP!AL51),"","x")</f>
        <v/>
      </c>
      <c r="AK47" t="str">
        <f>IF(ISBLANK(JP!AM51),"","x")</f>
        <v/>
      </c>
      <c r="AL47" t="str">
        <f>IF(ISBLANK(JP!AN51),"","x")</f>
        <v/>
      </c>
      <c r="AM47" t="str">
        <f>IF(ISBLANK(JP!AO51),"","x")</f>
        <v/>
      </c>
      <c r="AN47" t="str">
        <f>IF(ISBLANK(JP!AP51),"","x")</f>
        <v/>
      </c>
      <c r="AO47" t="str">
        <f>IF(ISBLANK(JP!AR51),"","x")</f>
        <v/>
      </c>
      <c r="AP47" t="str">
        <f>IF(ISBLANK(JP!AS51),"","x")</f>
        <v/>
      </c>
      <c r="AQ47" t="str">
        <f>IF(ISBLANK(JP!AT51),"","x")</f>
        <v/>
      </c>
      <c r="AR47" t="str">
        <f>IF(ISBLANK(JP!AU51),"","x")</f>
        <v/>
      </c>
      <c r="AS47" t="str">
        <f>IF(ISBLANK(JP!AV51),"","x")</f>
        <v/>
      </c>
      <c r="AT47" t="str">
        <f>IF(ISBLANK(JP!AW51),"","x")</f>
        <v/>
      </c>
      <c r="AU47" t="str">
        <f>IF(ISBLANK(JP!AX51),"","x")</f>
        <v/>
      </c>
    </row>
    <row r="48" spans="2:47">
      <c r="B48">
        <f>IF(ISBLANK(JP!AZ52),"",JP!AZ52)</f>
        <v>10010309</v>
      </c>
      <c r="C48" t="str">
        <f>IF(ISBLANK(JP!BA52),"",JP!BA52)</f>
        <v>SENG GUAN</v>
      </c>
      <c r="D48" t="str">
        <f>IF(ISBLANK(JP!BC52),"",JP!BC52)</f>
        <v>311 CHANGI ROAD</v>
      </c>
      <c r="E48">
        <f>IF(ISBLANK(JP!BB52),"",JP!BB52)</f>
        <v>1</v>
      </c>
      <c r="F48" t="str">
        <f>IF(ISBLANK(JP!D52),"","x")</f>
        <v/>
      </c>
      <c r="G48" t="str">
        <f>IF(ISBLANK(JP!E52),"","x")</f>
        <v/>
      </c>
      <c r="H48" t="str">
        <f>IF(ISBLANK(JP!F52),"","x")</f>
        <v/>
      </c>
      <c r="I48" t="str">
        <f>IF(ISBLANK(JP!G52),"","x")</f>
        <v/>
      </c>
      <c r="J48" t="str">
        <f>IF(ISBLANK(JP!H52),"","x")</f>
        <v/>
      </c>
      <c r="K48" t="str">
        <f>IF(ISBLANK(JP!I52),"","x")</f>
        <v/>
      </c>
      <c r="L48" t="str">
        <f>IF(ISBLANK(JP!J52),"","x")</f>
        <v/>
      </c>
      <c r="M48" t="str">
        <f>IF(ISBLANK(JP!L52),"","x")</f>
        <v/>
      </c>
      <c r="N48" t="str">
        <f>IF(ISBLANK(JP!M52),"","x")</f>
        <v/>
      </c>
      <c r="O48" t="str">
        <f>IF(ISBLANK(JP!N52),"","x")</f>
        <v/>
      </c>
      <c r="P48" t="str">
        <f>IF(ISBLANK(JP!O52),"","x")</f>
        <v/>
      </c>
      <c r="Q48" t="str">
        <f>IF(ISBLANK(JP!P52),"","x")</f>
        <v/>
      </c>
      <c r="R48" t="str">
        <f>IF(ISBLANK(JP!Q52),"","x")</f>
        <v/>
      </c>
      <c r="S48" t="str">
        <f>IF(ISBLANK(JP!R52),"","x")</f>
        <v/>
      </c>
      <c r="T48" t="str">
        <f>IF(ISBLANK(JP!T52),"","x")</f>
        <v/>
      </c>
      <c r="U48" t="str">
        <f>IF(ISBLANK(JP!U52),"","x")</f>
        <v/>
      </c>
      <c r="V48" t="str">
        <f>IF(ISBLANK(JP!V52),"","x")</f>
        <v/>
      </c>
      <c r="W48" t="str">
        <f>IF(ISBLANK(JP!W52),"","x")</f>
        <v/>
      </c>
      <c r="X48" t="str">
        <f>IF(ISBLANK(JP!X52),"","x")</f>
        <v/>
      </c>
      <c r="Y48" t="str">
        <f>IF(ISBLANK(JP!Y52),"","x")</f>
        <v/>
      </c>
      <c r="Z48" t="str">
        <f>IF(ISBLANK(JP!Z52),"","x")</f>
        <v/>
      </c>
      <c r="AA48" t="str">
        <f>IF(ISBLANK(JP!AB52),"","x")</f>
        <v/>
      </c>
      <c r="AB48" t="str">
        <f>IF(ISBLANK(JP!AC52),"","x")</f>
        <v/>
      </c>
      <c r="AC48" t="str">
        <f>IF(ISBLANK(JP!AD52),"","x")</f>
        <v/>
      </c>
      <c r="AD48" t="str">
        <f>IF(ISBLANK(JP!AE52),"","x")</f>
        <v/>
      </c>
      <c r="AE48" t="str">
        <f>IF(ISBLANK(JP!AF52),"","x")</f>
        <v>x</v>
      </c>
      <c r="AF48" t="str">
        <f>IF(ISBLANK(JP!AG52),"","x")</f>
        <v/>
      </c>
      <c r="AG48" t="str">
        <f>IF(ISBLANK(JP!AH52),"","x")</f>
        <v/>
      </c>
      <c r="AH48" t="str">
        <f>IF(ISBLANK(JP!AJ52),"","x")</f>
        <v/>
      </c>
      <c r="AI48" t="str">
        <f>IF(ISBLANK(JP!AK52),"","x")</f>
        <v/>
      </c>
      <c r="AJ48" t="str">
        <f>IF(ISBLANK(JP!AL52),"","x")</f>
        <v/>
      </c>
      <c r="AK48" t="str">
        <f>IF(ISBLANK(JP!AM52),"","x")</f>
        <v/>
      </c>
      <c r="AL48" t="str">
        <f>IF(ISBLANK(JP!AN52),"","x")</f>
        <v/>
      </c>
      <c r="AM48" t="str">
        <f>IF(ISBLANK(JP!AO52),"","x")</f>
        <v/>
      </c>
      <c r="AN48" t="str">
        <f>IF(ISBLANK(JP!AP52),"","x")</f>
        <v/>
      </c>
      <c r="AO48" t="str">
        <f>IF(ISBLANK(JP!AR52),"","x")</f>
        <v/>
      </c>
      <c r="AP48" t="str">
        <f>IF(ISBLANK(JP!AS52),"","x")</f>
        <v/>
      </c>
      <c r="AQ48" t="str">
        <f>IF(ISBLANK(JP!AT52),"","x")</f>
        <v/>
      </c>
      <c r="AR48" t="str">
        <f>IF(ISBLANK(JP!AU52),"","x")</f>
        <v/>
      </c>
      <c r="AS48" t="str">
        <f>IF(ISBLANK(JP!AV52),"","x")</f>
        <v/>
      </c>
      <c r="AT48" t="str">
        <f>IF(ISBLANK(JP!AW52),"","x")</f>
        <v/>
      </c>
      <c r="AU48" t="str">
        <f>IF(ISBLANK(JP!AX52),"","x")</f>
        <v/>
      </c>
    </row>
    <row r="49" spans="2:47">
      <c r="B49">
        <f>IF(ISBLANK(JP!AZ53),"",JP!AZ53)</f>
        <v>10037317</v>
      </c>
      <c r="C49" t="str">
        <f>IF(ISBLANK(JP!BA53),"",JP!BA53)</f>
        <v>SP MARKETS PTE. LTD.</v>
      </c>
      <c r="D49" t="str">
        <f>IF(ISBLANK(JP!BC53),"",JP!BC53)</f>
        <v>322B CHANGI ROAD</v>
      </c>
      <c r="E49">
        <f>IF(ISBLANK(JP!BB53),"",JP!BB53)</f>
        <v>1</v>
      </c>
      <c r="F49" t="str">
        <f>IF(ISBLANK(JP!D53),"","x")</f>
        <v/>
      </c>
      <c r="G49" t="str">
        <f>IF(ISBLANK(JP!E53),"","x")</f>
        <v/>
      </c>
      <c r="H49" t="str">
        <f>IF(ISBLANK(JP!F53),"","x")</f>
        <v/>
      </c>
      <c r="I49" t="str">
        <f>IF(ISBLANK(JP!G53),"","x")</f>
        <v/>
      </c>
      <c r="J49" t="str">
        <f>IF(ISBLANK(JP!H53),"","x")</f>
        <v/>
      </c>
      <c r="K49" t="str">
        <f>IF(ISBLANK(JP!I53),"","x")</f>
        <v/>
      </c>
      <c r="L49" t="str">
        <f>IF(ISBLANK(JP!J53),"","x")</f>
        <v/>
      </c>
      <c r="M49" t="str">
        <f>IF(ISBLANK(JP!L53),"","x")</f>
        <v/>
      </c>
      <c r="N49" t="str">
        <f>IF(ISBLANK(JP!M53),"","x")</f>
        <v/>
      </c>
      <c r="O49" t="str">
        <f>IF(ISBLANK(JP!N53),"","x")</f>
        <v/>
      </c>
      <c r="P49" t="str">
        <f>IF(ISBLANK(JP!O53),"","x")</f>
        <v/>
      </c>
      <c r="Q49" t="str">
        <f>IF(ISBLANK(JP!P53),"","x")</f>
        <v/>
      </c>
      <c r="R49" t="str">
        <f>IF(ISBLANK(JP!Q53),"","x")</f>
        <v/>
      </c>
      <c r="S49" t="str">
        <f>IF(ISBLANK(JP!R53),"","x")</f>
        <v/>
      </c>
      <c r="T49" t="str">
        <f>IF(ISBLANK(JP!T53),"","x")</f>
        <v/>
      </c>
      <c r="U49" t="str">
        <f>IF(ISBLANK(JP!U53),"","x")</f>
        <v/>
      </c>
      <c r="V49" t="str">
        <f>IF(ISBLANK(JP!V53),"","x")</f>
        <v/>
      </c>
      <c r="W49" t="str">
        <f>IF(ISBLANK(JP!W53),"","x")</f>
        <v/>
      </c>
      <c r="X49" t="str">
        <f>IF(ISBLANK(JP!X53),"","x")</f>
        <v/>
      </c>
      <c r="Y49" t="str">
        <f>IF(ISBLANK(JP!Y53),"","x")</f>
        <v/>
      </c>
      <c r="Z49" t="str">
        <f>IF(ISBLANK(JP!Z53),"","x")</f>
        <v/>
      </c>
      <c r="AA49" t="str">
        <f>IF(ISBLANK(JP!AB53),"","x")</f>
        <v/>
      </c>
      <c r="AB49" t="str">
        <f>IF(ISBLANK(JP!AC53),"","x")</f>
        <v/>
      </c>
      <c r="AC49" t="str">
        <f>IF(ISBLANK(JP!AD53),"","x")</f>
        <v/>
      </c>
      <c r="AD49" t="str">
        <f>IF(ISBLANK(JP!AE53),"","x")</f>
        <v/>
      </c>
      <c r="AE49" t="str">
        <f>IF(ISBLANK(JP!AF53),"","x")</f>
        <v>x</v>
      </c>
      <c r="AF49" t="str">
        <f>IF(ISBLANK(JP!AG53),"","x")</f>
        <v/>
      </c>
      <c r="AG49" t="str">
        <f>IF(ISBLANK(JP!AH53),"","x")</f>
        <v/>
      </c>
      <c r="AH49" t="str">
        <f>IF(ISBLANK(JP!AJ53),"","x")</f>
        <v/>
      </c>
      <c r="AI49" t="str">
        <f>IF(ISBLANK(JP!AK53),"","x")</f>
        <v/>
      </c>
      <c r="AJ49" t="str">
        <f>IF(ISBLANK(JP!AL53),"","x")</f>
        <v/>
      </c>
      <c r="AK49" t="str">
        <f>IF(ISBLANK(JP!AM53),"","x")</f>
        <v/>
      </c>
      <c r="AL49" t="str">
        <f>IF(ISBLANK(JP!AN53),"","x")</f>
        <v/>
      </c>
      <c r="AM49" t="str">
        <f>IF(ISBLANK(JP!AO53),"","x")</f>
        <v/>
      </c>
      <c r="AN49" t="str">
        <f>IF(ISBLANK(JP!AP53),"","x")</f>
        <v/>
      </c>
      <c r="AO49" t="str">
        <f>IF(ISBLANK(JP!AR53),"","x")</f>
        <v/>
      </c>
      <c r="AP49" t="str">
        <f>IF(ISBLANK(JP!AS53),"","x")</f>
        <v/>
      </c>
      <c r="AQ49" t="str">
        <f>IF(ISBLANK(JP!AT53),"","x")</f>
        <v/>
      </c>
      <c r="AR49" t="str">
        <f>IF(ISBLANK(JP!AU53),"","x")</f>
        <v/>
      </c>
      <c r="AS49" t="str">
        <f>IF(ISBLANK(JP!AV53),"","x")</f>
        <v/>
      </c>
      <c r="AT49" t="str">
        <f>IF(ISBLANK(JP!AW53),"","x")</f>
        <v/>
      </c>
      <c r="AU49" t="str">
        <f>IF(ISBLANK(JP!AX53),"","x")</f>
        <v/>
      </c>
    </row>
    <row r="50" spans="2:47">
      <c r="B50">
        <f>IF(ISBLANK(JP!AZ54),"",JP!AZ54)</f>
        <v>10046041</v>
      </c>
      <c r="C50" t="str">
        <f>IF(ISBLANK(JP!BA54),"",JP!BA54)</f>
        <v>HIMART (SERANGOON)</v>
      </c>
      <c r="D50" t="str">
        <f>IF(ISBLANK(JP!BC54),"",JP!BC54)</f>
        <v>70 UPPER SERANGOON VIEW</v>
      </c>
      <c r="E50">
        <f>IF(ISBLANK(JP!BB54),"",JP!BB54)</f>
        <v>1</v>
      </c>
      <c r="F50" t="str">
        <f>IF(ISBLANK(JP!D54),"","x")</f>
        <v/>
      </c>
      <c r="G50" t="str">
        <f>IF(ISBLANK(JP!E54),"","x")</f>
        <v/>
      </c>
      <c r="H50" t="str">
        <f>IF(ISBLANK(JP!F54),"","x")</f>
        <v/>
      </c>
      <c r="I50" t="str">
        <f>IF(ISBLANK(JP!G54),"","x")</f>
        <v/>
      </c>
      <c r="J50" t="str">
        <f>IF(ISBLANK(JP!H54),"","x")</f>
        <v/>
      </c>
      <c r="K50" t="str">
        <f>IF(ISBLANK(JP!I54),"","x")</f>
        <v/>
      </c>
      <c r="L50" t="str">
        <f>IF(ISBLANK(JP!J54),"","x")</f>
        <v/>
      </c>
      <c r="M50" t="str">
        <f>IF(ISBLANK(JP!L54),"","x")</f>
        <v/>
      </c>
      <c r="N50" t="str">
        <f>IF(ISBLANK(JP!M54),"","x")</f>
        <v/>
      </c>
      <c r="O50" t="str">
        <f>IF(ISBLANK(JP!N54),"","x")</f>
        <v/>
      </c>
      <c r="P50" t="str">
        <f>IF(ISBLANK(JP!O54),"","x")</f>
        <v/>
      </c>
      <c r="Q50" t="str">
        <f>IF(ISBLANK(JP!P54),"","x")</f>
        <v/>
      </c>
      <c r="R50" t="str">
        <f>IF(ISBLANK(JP!Q54),"","x")</f>
        <v/>
      </c>
      <c r="S50" t="str">
        <f>IF(ISBLANK(JP!R54),"","x")</f>
        <v/>
      </c>
      <c r="T50" t="str">
        <f>IF(ISBLANK(JP!T54),"","x")</f>
        <v/>
      </c>
      <c r="U50" t="str">
        <f>IF(ISBLANK(JP!U54),"","x")</f>
        <v/>
      </c>
      <c r="V50" t="str">
        <f>IF(ISBLANK(JP!V54),"","x")</f>
        <v/>
      </c>
      <c r="W50" t="str">
        <f>IF(ISBLANK(JP!W54),"","x")</f>
        <v/>
      </c>
      <c r="X50" t="str">
        <f>IF(ISBLANK(JP!X54),"","x")</f>
        <v/>
      </c>
      <c r="Y50" t="str">
        <f>IF(ISBLANK(JP!Y54),"","x")</f>
        <v/>
      </c>
      <c r="Z50" t="str">
        <f>IF(ISBLANK(JP!Z54),"","x")</f>
        <v/>
      </c>
      <c r="AA50" t="str">
        <f>IF(ISBLANK(JP!AB54),"","x")</f>
        <v/>
      </c>
      <c r="AB50" t="str">
        <f>IF(ISBLANK(JP!AC54),"","x")</f>
        <v/>
      </c>
      <c r="AC50" t="str">
        <f>IF(ISBLANK(JP!AD54),"","x")</f>
        <v/>
      </c>
      <c r="AD50" t="str">
        <f>IF(ISBLANK(JP!AE54),"","x")</f>
        <v/>
      </c>
      <c r="AE50" t="str">
        <f>IF(ISBLANK(JP!AF54),"","x")</f>
        <v>x</v>
      </c>
      <c r="AF50" t="str">
        <f>IF(ISBLANK(JP!AG54),"","x")</f>
        <v/>
      </c>
      <c r="AG50" t="str">
        <f>IF(ISBLANK(JP!AH54),"","x")</f>
        <v/>
      </c>
      <c r="AH50" t="str">
        <f>IF(ISBLANK(JP!AJ54),"","x")</f>
        <v/>
      </c>
      <c r="AI50" t="str">
        <f>IF(ISBLANK(JP!AK54),"","x")</f>
        <v/>
      </c>
      <c r="AJ50" t="str">
        <f>IF(ISBLANK(JP!AL54),"","x")</f>
        <v/>
      </c>
      <c r="AK50" t="str">
        <f>IF(ISBLANK(JP!AM54),"","x")</f>
        <v/>
      </c>
      <c r="AL50" t="str">
        <f>IF(ISBLANK(JP!AN54),"","x")</f>
        <v/>
      </c>
      <c r="AM50" t="str">
        <f>IF(ISBLANK(JP!AO54),"","x")</f>
        <v/>
      </c>
      <c r="AN50" t="str">
        <f>IF(ISBLANK(JP!AP54),"","x")</f>
        <v/>
      </c>
      <c r="AO50" t="str">
        <f>IF(ISBLANK(JP!AR54),"","x")</f>
        <v/>
      </c>
      <c r="AP50" t="str">
        <f>IF(ISBLANK(JP!AS54),"","x")</f>
        <v/>
      </c>
      <c r="AQ50" t="str">
        <f>IF(ISBLANK(JP!AT54),"","x")</f>
        <v/>
      </c>
      <c r="AR50" t="str">
        <f>IF(ISBLANK(JP!AU54),"","x")</f>
        <v/>
      </c>
      <c r="AS50" t="str">
        <f>IF(ISBLANK(JP!AV54),"","x")</f>
        <v/>
      </c>
      <c r="AT50" t="str">
        <f>IF(ISBLANK(JP!AW54),"","x")</f>
        <v/>
      </c>
      <c r="AU50" t="str">
        <f>IF(ISBLANK(JP!AX54),"","x")</f>
        <v/>
      </c>
    </row>
    <row r="51" spans="2:47">
      <c r="B51">
        <f>IF(ISBLANK(JP!AZ55),"",JP!AZ55)</f>
        <v>10045263</v>
      </c>
      <c r="C51" t="str">
        <f>IF(ISBLANK(JP!BA55),"",JP!BA55)</f>
        <v>SURIYA INTERNATIONAL EMPORIUM PTE. LTD.</v>
      </c>
      <c r="D51" t="str">
        <f>IF(ISBLANK(JP!BC55),"",JP!BC55)</f>
        <v>536 UPPER SERANGOON ROAD</v>
      </c>
      <c r="E51">
        <f>IF(ISBLANK(JP!BB55),"",JP!BB55)</f>
        <v>1</v>
      </c>
      <c r="F51" t="str">
        <f>IF(ISBLANK(JP!D55),"","x")</f>
        <v/>
      </c>
      <c r="G51" t="str">
        <f>IF(ISBLANK(JP!E55),"","x")</f>
        <v/>
      </c>
      <c r="H51" t="str">
        <f>IF(ISBLANK(JP!F55),"","x")</f>
        <v/>
      </c>
      <c r="I51" t="str">
        <f>IF(ISBLANK(JP!G55),"","x")</f>
        <v/>
      </c>
      <c r="J51" t="str">
        <f>IF(ISBLANK(JP!H55),"","x")</f>
        <v/>
      </c>
      <c r="K51" t="str">
        <f>IF(ISBLANK(JP!I55),"","x")</f>
        <v/>
      </c>
      <c r="L51" t="str">
        <f>IF(ISBLANK(JP!J55),"","x")</f>
        <v/>
      </c>
      <c r="M51" t="str">
        <f>IF(ISBLANK(JP!L55),"","x")</f>
        <v/>
      </c>
      <c r="N51" t="str">
        <f>IF(ISBLANK(JP!M55),"","x")</f>
        <v/>
      </c>
      <c r="O51" t="str">
        <f>IF(ISBLANK(JP!N55),"","x")</f>
        <v/>
      </c>
      <c r="P51" t="str">
        <f>IF(ISBLANK(JP!O55),"","x")</f>
        <v/>
      </c>
      <c r="Q51" t="str">
        <f>IF(ISBLANK(JP!P55),"","x")</f>
        <v/>
      </c>
      <c r="R51" t="str">
        <f>IF(ISBLANK(JP!Q55),"","x")</f>
        <v/>
      </c>
      <c r="S51" t="str">
        <f>IF(ISBLANK(JP!R55),"","x")</f>
        <v/>
      </c>
      <c r="T51" t="str">
        <f>IF(ISBLANK(JP!T55),"","x")</f>
        <v/>
      </c>
      <c r="U51" t="str">
        <f>IF(ISBLANK(JP!U55),"","x")</f>
        <v/>
      </c>
      <c r="V51" t="str">
        <f>IF(ISBLANK(JP!V55),"","x")</f>
        <v/>
      </c>
      <c r="W51" t="str">
        <f>IF(ISBLANK(JP!W55),"","x")</f>
        <v/>
      </c>
      <c r="X51" t="str">
        <f>IF(ISBLANK(JP!X55),"","x")</f>
        <v/>
      </c>
      <c r="Y51" t="str">
        <f>IF(ISBLANK(JP!Y55),"","x")</f>
        <v/>
      </c>
      <c r="Z51" t="str">
        <f>IF(ISBLANK(JP!Z55),"","x")</f>
        <v/>
      </c>
      <c r="AA51" t="str">
        <f>IF(ISBLANK(JP!AB55),"","x")</f>
        <v/>
      </c>
      <c r="AB51" t="str">
        <f>IF(ISBLANK(JP!AC55),"","x")</f>
        <v/>
      </c>
      <c r="AC51" t="str">
        <f>IF(ISBLANK(JP!AD55),"","x")</f>
        <v/>
      </c>
      <c r="AD51" t="str">
        <f>IF(ISBLANK(JP!AE55),"","x")</f>
        <v/>
      </c>
      <c r="AE51" t="str">
        <f>IF(ISBLANK(JP!AF55),"","x")</f>
        <v/>
      </c>
      <c r="AF51" t="str">
        <f>IF(ISBLANK(JP!AG55),"","x")</f>
        <v/>
      </c>
      <c r="AG51" t="str">
        <f>IF(ISBLANK(JP!AH55),"","x")</f>
        <v/>
      </c>
      <c r="AH51" t="str">
        <f>IF(ISBLANK(JP!AJ55),"","x")</f>
        <v/>
      </c>
      <c r="AI51" t="str">
        <f>IF(ISBLANK(JP!AK55),"","x")</f>
        <v>x</v>
      </c>
      <c r="AJ51" t="str">
        <f>IF(ISBLANK(JP!AL55),"","x")</f>
        <v/>
      </c>
      <c r="AK51" t="str">
        <f>IF(ISBLANK(JP!AM55),"","x")</f>
        <v/>
      </c>
      <c r="AL51" t="str">
        <f>IF(ISBLANK(JP!AN55),"","x")</f>
        <v/>
      </c>
      <c r="AM51" t="str">
        <f>IF(ISBLANK(JP!AO55),"","x")</f>
        <v/>
      </c>
      <c r="AN51" t="str">
        <f>IF(ISBLANK(JP!AP55),"","x")</f>
        <v/>
      </c>
      <c r="AO51" t="str">
        <f>IF(ISBLANK(JP!AR55),"","x")</f>
        <v/>
      </c>
      <c r="AP51" t="str">
        <f>IF(ISBLANK(JP!AS55),"","x")</f>
        <v/>
      </c>
      <c r="AQ51" t="str">
        <f>IF(ISBLANK(JP!AT55),"","x")</f>
        <v/>
      </c>
      <c r="AR51" t="str">
        <f>IF(ISBLANK(JP!AU55),"","x")</f>
        <v/>
      </c>
      <c r="AS51" t="str">
        <f>IF(ISBLANK(JP!AV55),"","x")</f>
        <v/>
      </c>
      <c r="AT51" t="str">
        <f>IF(ISBLANK(JP!AW55),"","x")</f>
        <v/>
      </c>
      <c r="AU51" t="str">
        <f>IF(ISBLANK(JP!AX55),"","x")</f>
        <v/>
      </c>
    </row>
    <row r="52" spans="2:47">
      <c r="B52">
        <f>IF(ISBLANK(JP!AZ56),"",JP!AZ56)</f>
        <v>10044742</v>
      </c>
      <c r="C52" t="str">
        <f>IF(ISBLANK(JP!BA56),"",JP!BA56)</f>
        <v>RK STORES TRADING (87 UPPER PAYA LEBAR)</v>
      </c>
      <c r="D52" t="str">
        <f>IF(ISBLANK(JP!BC56),"",JP!BC56)</f>
        <v>87 UPPER PAYA LEBAR ROAD</v>
      </c>
      <c r="E52">
        <f>IF(ISBLANK(JP!BB56),"",JP!BB56)</f>
        <v>1</v>
      </c>
      <c r="F52" t="str">
        <f>IF(ISBLANK(JP!D56),"","x")</f>
        <v/>
      </c>
      <c r="G52" t="str">
        <f>IF(ISBLANK(JP!E56),"","x")</f>
        <v/>
      </c>
      <c r="H52" t="str">
        <f>IF(ISBLANK(JP!F56),"","x")</f>
        <v/>
      </c>
      <c r="I52" t="str">
        <f>IF(ISBLANK(JP!G56),"","x")</f>
        <v/>
      </c>
      <c r="J52" t="str">
        <f>IF(ISBLANK(JP!H56),"","x")</f>
        <v/>
      </c>
      <c r="K52" t="str">
        <f>IF(ISBLANK(JP!I56),"","x")</f>
        <v/>
      </c>
      <c r="L52" t="str">
        <f>IF(ISBLANK(JP!J56),"","x")</f>
        <v/>
      </c>
      <c r="M52" t="str">
        <f>IF(ISBLANK(JP!L56),"","x")</f>
        <v/>
      </c>
      <c r="N52" t="str">
        <f>IF(ISBLANK(JP!M56),"","x")</f>
        <v/>
      </c>
      <c r="O52" t="str">
        <f>IF(ISBLANK(JP!N56),"","x")</f>
        <v/>
      </c>
      <c r="P52" t="str">
        <f>IF(ISBLANK(JP!O56),"","x")</f>
        <v/>
      </c>
      <c r="Q52" t="str">
        <f>IF(ISBLANK(JP!P56),"","x")</f>
        <v/>
      </c>
      <c r="R52" t="str">
        <f>IF(ISBLANK(JP!Q56),"","x")</f>
        <v/>
      </c>
      <c r="S52" t="str">
        <f>IF(ISBLANK(JP!R56),"","x")</f>
        <v/>
      </c>
      <c r="T52" t="str">
        <f>IF(ISBLANK(JP!T56),"","x")</f>
        <v/>
      </c>
      <c r="U52" t="str">
        <f>IF(ISBLANK(JP!U56),"","x")</f>
        <v/>
      </c>
      <c r="V52" t="str">
        <f>IF(ISBLANK(JP!V56),"","x")</f>
        <v/>
      </c>
      <c r="W52" t="str">
        <f>IF(ISBLANK(JP!W56),"","x")</f>
        <v/>
      </c>
      <c r="X52" t="str">
        <f>IF(ISBLANK(JP!X56),"","x")</f>
        <v/>
      </c>
      <c r="Y52" t="str">
        <f>IF(ISBLANK(JP!Y56),"","x")</f>
        <v/>
      </c>
      <c r="Z52" t="str">
        <f>IF(ISBLANK(JP!Z56),"","x")</f>
        <v/>
      </c>
      <c r="AA52" t="str">
        <f>IF(ISBLANK(JP!AB56),"","x")</f>
        <v/>
      </c>
      <c r="AB52" t="str">
        <f>IF(ISBLANK(JP!AC56),"","x")</f>
        <v/>
      </c>
      <c r="AC52" t="str">
        <f>IF(ISBLANK(JP!AD56),"","x")</f>
        <v/>
      </c>
      <c r="AD52" t="str">
        <f>IF(ISBLANK(JP!AE56),"","x")</f>
        <v/>
      </c>
      <c r="AE52" t="str">
        <f>IF(ISBLANK(JP!AF56),"","x")</f>
        <v/>
      </c>
      <c r="AF52" t="str">
        <f>IF(ISBLANK(JP!AG56),"","x")</f>
        <v/>
      </c>
      <c r="AG52" t="str">
        <f>IF(ISBLANK(JP!AH56),"","x")</f>
        <v/>
      </c>
      <c r="AH52" t="str">
        <f>IF(ISBLANK(JP!AJ56),"","x")</f>
        <v/>
      </c>
      <c r="AI52" t="str">
        <f>IF(ISBLANK(JP!AK56),"","x")</f>
        <v>x</v>
      </c>
      <c r="AJ52" t="str">
        <f>IF(ISBLANK(JP!AL56),"","x")</f>
        <v/>
      </c>
      <c r="AK52" t="str">
        <f>IF(ISBLANK(JP!AM56),"","x")</f>
        <v/>
      </c>
      <c r="AL52" t="str">
        <f>IF(ISBLANK(JP!AN56),"","x")</f>
        <v/>
      </c>
      <c r="AM52" t="str">
        <f>IF(ISBLANK(JP!AO56),"","x")</f>
        <v/>
      </c>
      <c r="AN52" t="str">
        <f>IF(ISBLANK(JP!AP56),"","x")</f>
        <v/>
      </c>
      <c r="AO52" t="str">
        <f>IF(ISBLANK(JP!AR56),"","x")</f>
        <v/>
      </c>
      <c r="AP52" t="str">
        <f>IF(ISBLANK(JP!AS56),"","x")</f>
        <v/>
      </c>
      <c r="AQ52" t="str">
        <f>IF(ISBLANK(JP!AT56),"","x")</f>
        <v/>
      </c>
      <c r="AR52" t="str">
        <f>IF(ISBLANK(JP!AU56),"","x")</f>
        <v/>
      </c>
      <c r="AS52" t="str">
        <f>IF(ISBLANK(JP!AV56),"","x")</f>
        <v/>
      </c>
      <c r="AT52" t="str">
        <f>IF(ISBLANK(JP!AW56),"","x")</f>
        <v/>
      </c>
      <c r="AU52" t="str">
        <f>IF(ISBLANK(JP!AX56),"","x")</f>
        <v/>
      </c>
    </row>
    <row r="53" spans="2:47">
      <c r="B53">
        <f>IF(ISBLANK(JP!AZ57),"",JP!AZ57)</f>
        <v>10040235</v>
      </c>
      <c r="C53" t="str">
        <f>IF(ISBLANK(JP!BA57),"",JP!BA57)</f>
        <v>SARATHI STORES PTE. LTD.</v>
      </c>
      <c r="D53" t="str">
        <f>IF(ISBLANK(JP!BC57),"",JP!BC57)</f>
        <v>91 UPPER PAYA LEBAR ROAD</v>
      </c>
      <c r="E53">
        <f>IF(ISBLANK(JP!BB57),"",JP!BB57)</f>
        <v>1</v>
      </c>
      <c r="F53" t="str">
        <f>IF(ISBLANK(JP!D57),"","x")</f>
        <v/>
      </c>
      <c r="G53" t="str">
        <f>IF(ISBLANK(JP!E57),"","x")</f>
        <v/>
      </c>
      <c r="H53" t="str">
        <f>IF(ISBLANK(JP!F57),"","x")</f>
        <v/>
      </c>
      <c r="I53" t="str">
        <f>IF(ISBLANK(JP!G57),"","x")</f>
        <v/>
      </c>
      <c r="J53" t="str">
        <f>IF(ISBLANK(JP!H57),"","x")</f>
        <v/>
      </c>
      <c r="K53" t="str">
        <f>IF(ISBLANK(JP!I57),"","x")</f>
        <v/>
      </c>
      <c r="L53" t="str">
        <f>IF(ISBLANK(JP!J57),"","x")</f>
        <v/>
      </c>
      <c r="M53" t="str">
        <f>IF(ISBLANK(JP!L57),"","x")</f>
        <v/>
      </c>
      <c r="N53" t="str">
        <f>IF(ISBLANK(JP!M57),"","x")</f>
        <v/>
      </c>
      <c r="O53" t="str">
        <f>IF(ISBLANK(JP!N57),"","x")</f>
        <v/>
      </c>
      <c r="P53" t="str">
        <f>IF(ISBLANK(JP!O57),"","x")</f>
        <v/>
      </c>
      <c r="Q53" t="str">
        <f>IF(ISBLANK(JP!P57),"","x")</f>
        <v/>
      </c>
      <c r="R53" t="str">
        <f>IF(ISBLANK(JP!Q57),"","x")</f>
        <v/>
      </c>
      <c r="S53" t="str">
        <f>IF(ISBLANK(JP!R57),"","x")</f>
        <v/>
      </c>
      <c r="T53" t="str">
        <f>IF(ISBLANK(JP!T57),"","x")</f>
        <v/>
      </c>
      <c r="U53" t="str">
        <f>IF(ISBLANK(JP!U57),"","x")</f>
        <v/>
      </c>
      <c r="V53" t="str">
        <f>IF(ISBLANK(JP!V57),"","x")</f>
        <v/>
      </c>
      <c r="W53" t="str">
        <f>IF(ISBLANK(JP!W57),"","x")</f>
        <v/>
      </c>
      <c r="X53" t="str">
        <f>IF(ISBLANK(JP!X57),"","x")</f>
        <v/>
      </c>
      <c r="Y53" t="str">
        <f>IF(ISBLANK(JP!Y57),"","x")</f>
        <v/>
      </c>
      <c r="Z53" t="str">
        <f>IF(ISBLANK(JP!Z57),"","x")</f>
        <v/>
      </c>
      <c r="AA53" t="str">
        <f>IF(ISBLANK(JP!AB57),"","x")</f>
        <v/>
      </c>
      <c r="AB53" t="str">
        <f>IF(ISBLANK(JP!AC57),"","x")</f>
        <v/>
      </c>
      <c r="AC53" t="str">
        <f>IF(ISBLANK(JP!AD57),"","x")</f>
        <v/>
      </c>
      <c r="AD53" t="str">
        <f>IF(ISBLANK(JP!AE57),"","x")</f>
        <v/>
      </c>
      <c r="AE53" t="str">
        <f>IF(ISBLANK(JP!AF57),"","x")</f>
        <v/>
      </c>
      <c r="AF53" t="str">
        <f>IF(ISBLANK(JP!AG57),"","x")</f>
        <v/>
      </c>
      <c r="AG53" t="str">
        <f>IF(ISBLANK(JP!AH57),"","x")</f>
        <v/>
      </c>
      <c r="AH53" t="str">
        <f>IF(ISBLANK(JP!AJ57),"","x")</f>
        <v/>
      </c>
      <c r="AI53" t="str">
        <f>IF(ISBLANK(JP!AK57),"","x")</f>
        <v/>
      </c>
      <c r="AJ53" t="str">
        <f>IF(ISBLANK(JP!AL57),"","x")</f>
        <v>x</v>
      </c>
      <c r="AK53" t="str">
        <f>IF(ISBLANK(JP!AM57),"","x")</f>
        <v>x</v>
      </c>
      <c r="AL53" t="str">
        <f>IF(ISBLANK(JP!AN57),"","x")</f>
        <v/>
      </c>
      <c r="AM53" t="str">
        <f>IF(ISBLANK(JP!AO57),"","x")</f>
        <v/>
      </c>
      <c r="AN53" t="str">
        <f>IF(ISBLANK(JP!AP57),"","x")</f>
        <v/>
      </c>
      <c r="AO53" t="str">
        <f>IF(ISBLANK(JP!AR57),"","x")</f>
        <v/>
      </c>
      <c r="AP53" t="str">
        <f>IF(ISBLANK(JP!AS57),"","x")</f>
        <v/>
      </c>
      <c r="AQ53" t="str">
        <f>IF(ISBLANK(JP!AT57),"","x")</f>
        <v/>
      </c>
      <c r="AR53" t="str">
        <f>IF(ISBLANK(JP!AU57),"","x")</f>
        <v/>
      </c>
      <c r="AS53" t="str">
        <f>IF(ISBLANK(JP!AV57),"","x")</f>
        <v/>
      </c>
      <c r="AT53" t="str">
        <f>IF(ISBLANK(JP!AW57),"","x")</f>
        <v/>
      </c>
      <c r="AU53" t="str">
        <f>IF(ISBLANK(JP!AX57),"","x")</f>
        <v/>
      </c>
    </row>
    <row r="54" spans="2:47">
      <c r="B54">
        <f>IF(ISBLANK(JP!AZ58),"",JP!AZ58)</f>
        <v>10045194</v>
      </c>
      <c r="C54" t="str">
        <f>IF(ISBLANK(JP!BA58),"",JP!BA58)</f>
        <v>RK STORES TRADING (97)</v>
      </c>
      <c r="D54" t="str">
        <f>IF(ISBLANK(JP!BC58),"",JP!BC58)</f>
        <v>97 UPPER PAYA LEBAR ROAD</v>
      </c>
      <c r="E54">
        <f>IF(ISBLANK(JP!BB58),"",JP!BB58)</f>
        <v>1</v>
      </c>
      <c r="F54" t="str">
        <f>IF(ISBLANK(JP!D58),"","x")</f>
        <v/>
      </c>
      <c r="G54" t="str">
        <f>IF(ISBLANK(JP!E58),"","x")</f>
        <v/>
      </c>
      <c r="H54" t="str">
        <f>IF(ISBLANK(JP!F58),"","x")</f>
        <v/>
      </c>
      <c r="I54" t="str">
        <f>IF(ISBLANK(JP!G58),"","x")</f>
        <v/>
      </c>
      <c r="J54" t="str">
        <f>IF(ISBLANK(JP!H58),"","x")</f>
        <v/>
      </c>
      <c r="K54" t="str">
        <f>IF(ISBLANK(JP!I58),"","x")</f>
        <v/>
      </c>
      <c r="L54" t="str">
        <f>IF(ISBLANK(JP!J58),"","x")</f>
        <v/>
      </c>
      <c r="M54" t="str">
        <f>IF(ISBLANK(JP!L58),"","x")</f>
        <v/>
      </c>
      <c r="N54" t="str">
        <f>IF(ISBLANK(JP!M58),"","x")</f>
        <v/>
      </c>
      <c r="O54" t="str">
        <f>IF(ISBLANK(JP!N58),"","x")</f>
        <v/>
      </c>
      <c r="P54" t="str">
        <f>IF(ISBLANK(JP!O58),"","x")</f>
        <v/>
      </c>
      <c r="Q54" t="str">
        <f>IF(ISBLANK(JP!P58),"","x")</f>
        <v/>
      </c>
      <c r="R54" t="str">
        <f>IF(ISBLANK(JP!Q58),"","x")</f>
        <v/>
      </c>
      <c r="S54" t="str">
        <f>IF(ISBLANK(JP!R58),"","x")</f>
        <v/>
      </c>
      <c r="T54" t="str">
        <f>IF(ISBLANK(JP!T58),"","x")</f>
        <v/>
      </c>
      <c r="U54" t="str">
        <f>IF(ISBLANK(JP!U58),"","x")</f>
        <v/>
      </c>
      <c r="V54" t="str">
        <f>IF(ISBLANK(JP!V58),"","x")</f>
        <v/>
      </c>
      <c r="W54" t="str">
        <f>IF(ISBLANK(JP!W58),"","x")</f>
        <v/>
      </c>
      <c r="X54" t="str">
        <f>IF(ISBLANK(JP!X58),"","x")</f>
        <v/>
      </c>
      <c r="Y54" t="str">
        <f>IF(ISBLANK(JP!Y58),"","x")</f>
        <v/>
      </c>
      <c r="Z54" t="str">
        <f>IF(ISBLANK(JP!Z58),"","x")</f>
        <v/>
      </c>
      <c r="AA54" t="str">
        <f>IF(ISBLANK(JP!AB58),"","x")</f>
        <v/>
      </c>
      <c r="AB54" t="str">
        <f>IF(ISBLANK(JP!AC58),"","x")</f>
        <v/>
      </c>
      <c r="AC54" t="str">
        <f>IF(ISBLANK(JP!AD58),"","x")</f>
        <v/>
      </c>
      <c r="AD54" t="str">
        <f>IF(ISBLANK(JP!AE58),"","x")</f>
        <v/>
      </c>
      <c r="AE54" t="str">
        <f>IF(ISBLANK(JP!AF58),"","x")</f>
        <v/>
      </c>
      <c r="AF54" t="str">
        <f>IF(ISBLANK(JP!AG58),"","x")</f>
        <v/>
      </c>
      <c r="AG54" t="str">
        <f>IF(ISBLANK(JP!AH58),"","x")</f>
        <v/>
      </c>
      <c r="AH54" t="str">
        <f>IF(ISBLANK(JP!AJ58),"","x")</f>
        <v/>
      </c>
      <c r="AI54" t="str">
        <f>IF(ISBLANK(JP!AK58),"","x")</f>
        <v/>
      </c>
      <c r="AJ54" t="str">
        <f>IF(ISBLANK(JP!AL58),"","x")</f>
        <v/>
      </c>
      <c r="AK54" t="str">
        <f>IF(ISBLANK(JP!AM58),"","x")</f>
        <v>x</v>
      </c>
      <c r="AL54" t="str">
        <f>IF(ISBLANK(JP!AN58),"","x")</f>
        <v/>
      </c>
      <c r="AM54" t="str">
        <f>IF(ISBLANK(JP!AO58),"","x")</f>
        <v/>
      </c>
      <c r="AN54" t="str">
        <f>IF(ISBLANK(JP!AP58),"","x")</f>
        <v/>
      </c>
      <c r="AO54" t="str">
        <f>IF(ISBLANK(JP!AR58),"","x")</f>
        <v/>
      </c>
      <c r="AP54" t="str">
        <f>IF(ISBLANK(JP!AS58),"","x")</f>
        <v/>
      </c>
      <c r="AQ54" t="str">
        <f>IF(ISBLANK(JP!AT58),"","x")</f>
        <v/>
      </c>
      <c r="AR54" t="str">
        <f>IF(ISBLANK(JP!AU58),"","x")</f>
        <v/>
      </c>
      <c r="AS54" t="str">
        <f>IF(ISBLANK(JP!AV58),"","x")</f>
        <v/>
      </c>
      <c r="AT54" t="str">
        <f>IF(ISBLANK(JP!AW58),"","x")</f>
        <v/>
      </c>
      <c r="AU54" t="str">
        <f>IF(ISBLANK(JP!AX58),"","x")</f>
        <v/>
      </c>
    </row>
    <row r="55" spans="2:47">
      <c r="B55">
        <f>IF(ISBLANK(JP!AZ59),"",JP!AZ59)</f>
        <v>10044015</v>
      </c>
      <c r="C55" t="str">
        <f>IF(ISBLANK(JP!BA59),"",JP!BA59)</f>
        <v>SIVAMANI MINIMART PTE. LTD.</v>
      </c>
      <c r="D55" t="str">
        <f>IF(ISBLANK(JP!BC59),"",JP!BC59)</f>
        <v>137 UPPER PAYA LEBAR ROAD</v>
      </c>
      <c r="E55">
        <f>IF(ISBLANK(JP!BB59),"",JP!BB59)</f>
        <v>1</v>
      </c>
      <c r="F55" t="str">
        <f>IF(ISBLANK(JP!D59),"","x")</f>
        <v/>
      </c>
      <c r="G55" t="str">
        <f>IF(ISBLANK(JP!E59),"","x")</f>
        <v/>
      </c>
      <c r="H55" t="str">
        <f>IF(ISBLANK(JP!F59),"","x")</f>
        <v/>
      </c>
      <c r="I55" t="str">
        <f>IF(ISBLANK(JP!G59),"","x")</f>
        <v/>
      </c>
      <c r="J55" t="str">
        <f>IF(ISBLANK(JP!H59),"","x")</f>
        <v/>
      </c>
      <c r="K55" t="str">
        <f>IF(ISBLANK(JP!I59),"","x")</f>
        <v/>
      </c>
      <c r="L55" t="str">
        <f>IF(ISBLANK(JP!J59),"","x")</f>
        <v/>
      </c>
      <c r="M55" t="str">
        <f>IF(ISBLANK(JP!L59),"","x")</f>
        <v/>
      </c>
      <c r="N55" t="str">
        <f>IF(ISBLANK(JP!M59),"","x")</f>
        <v/>
      </c>
      <c r="O55" t="str">
        <f>IF(ISBLANK(JP!N59),"","x")</f>
        <v/>
      </c>
      <c r="P55" t="str">
        <f>IF(ISBLANK(JP!O59),"","x")</f>
        <v/>
      </c>
      <c r="Q55" t="str">
        <f>IF(ISBLANK(JP!P59),"","x")</f>
        <v/>
      </c>
      <c r="R55" t="str">
        <f>IF(ISBLANK(JP!Q59),"","x")</f>
        <v/>
      </c>
      <c r="S55" t="str">
        <f>IF(ISBLANK(JP!R59),"","x")</f>
        <v/>
      </c>
      <c r="T55" t="str">
        <f>IF(ISBLANK(JP!T59),"","x")</f>
        <v/>
      </c>
      <c r="U55" t="str">
        <f>IF(ISBLANK(JP!U59),"","x")</f>
        <v/>
      </c>
      <c r="V55" t="str">
        <f>IF(ISBLANK(JP!V59),"","x")</f>
        <v/>
      </c>
      <c r="W55" t="str">
        <f>IF(ISBLANK(JP!W59),"","x")</f>
        <v/>
      </c>
      <c r="X55" t="str">
        <f>IF(ISBLANK(JP!X59),"","x")</f>
        <v/>
      </c>
      <c r="Y55" t="str">
        <f>IF(ISBLANK(JP!Y59),"","x")</f>
        <v/>
      </c>
      <c r="Z55" t="str">
        <f>IF(ISBLANK(JP!Z59),"","x")</f>
        <v/>
      </c>
      <c r="AA55" t="str">
        <f>IF(ISBLANK(JP!AB59),"","x")</f>
        <v/>
      </c>
      <c r="AB55" t="str">
        <f>IF(ISBLANK(JP!AC59),"","x")</f>
        <v/>
      </c>
      <c r="AC55" t="str">
        <f>IF(ISBLANK(JP!AD59),"","x")</f>
        <v/>
      </c>
      <c r="AD55" t="str">
        <f>IF(ISBLANK(JP!AE59),"","x")</f>
        <v/>
      </c>
      <c r="AE55" t="str">
        <f>IF(ISBLANK(JP!AF59),"","x")</f>
        <v/>
      </c>
      <c r="AF55" t="str">
        <f>IF(ISBLANK(JP!AG59),"","x")</f>
        <v/>
      </c>
      <c r="AG55" t="str">
        <f>IF(ISBLANK(JP!AH59),"","x")</f>
        <v/>
      </c>
      <c r="AH55" t="str">
        <f>IF(ISBLANK(JP!AJ59),"","x")</f>
        <v/>
      </c>
      <c r="AI55" t="str">
        <f>IF(ISBLANK(JP!AK59),"","x")</f>
        <v/>
      </c>
      <c r="AJ55" t="str">
        <f>IF(ISBLANK(JP!AL59),"","x")</f>
        <v/>
      </c>
      <c r="AK55" t="str">
        <f>IF(ISBLANK(JP!AM59),"","x")</f>
        <v>x</v>
      </c>
      <c r="AL55" t="str">
        <f>IF(ISBLANK(JP!AN59),"","x")</f>
        <v/>
      </c>
      <c r="AM55" t="str">
        <f>IF(ISBLANK(JP!AO59),"","x")</f>
        <v/>
      </c>
      <c r="AN55" t="str">
        <f>IF(ISBLANK(JP!AP59),"","x")</f>
        <v/>
      </c>
      <c r="AO55" t="str">
        <f>IF(ISBLANK(JP!AR59),"","x")</f>
        <v/>
      </c>
      <c r="AP55" t="str">
        <f>IF(ISBLANK(JP!AS59),"","x")</f>
        <v/>
      </c>
      <c r="AQ55" t="str">
        <f>IF(ISBLANK(JP!AT59),"","x")</f>
        <v/>
      </c>
      <c r="AR55" t="str">
        <f>IF(ISBLANK(JP!AU59),"","x")</f>
        <v/>
      </c>
      <c r="AS55" t="str">
        <f>IF(ISBLANK(JP!AV59),"","x")</f>
        <v/>
      </c>
      <c r="AT55" t="str">
        <f>IF(ISBLANK(JP!AW59),"","x")</f>
        <v/>
      </c>
      <c r="AU55" t="str">
        <f>IF(ISBLANK(JP!AX59),"","x")</f>
        <v/>
      </c>
    </row>
    <row r="56" spans="2:47">
      <c r="B56">
        <f>IF(ISBLANK(JP!AZ60),"",JP!AZ60)</f>
        <v>10026381</v>
      </c>
      <c r="C56" t="str">
        <f>IF(ISBLANK(JP!BA60),"",JP!BA60)</f>
        <v>RAJANS MART (UPP PAYA LEBAR)</v>
      </c>
      <c r="D56" t="str">
        <f>IF(ISBLANK(JP!BC60),"",JP!BC60)</f>
        <v>149 UPPER PAYA LEBAR ROAD</v>
      </c>
      <c r="E56">
        <f>IF(ISBLANK(JP!BB60),"",JP!BB60)</f>
        <v>1</v>
      </c>
      <c r="F56" t="str">
        <f>IF(ISBLANK(JP!D60),"","x")</f>
        <v/>
      </c>
      <c r="G56" t="str">
        <f>IF(ISBLANK(JP!E60),"","x")</f>
        <v/>
      </c>
      <c r="H56" t="str">
        <f>IF(ISBLANK(JP!F60),"","x")</f>
        <v/>
      </c>
      <c r="I56" t="str">
        <f>IF(ISBLANK(JP!G60),"","x")</f>
        <v/>
      </c>
      <c r="J56" t="str">
        <f>IF(ISBLANK(JP!H60),"","x")</f>
        <v/>
      </c>
      <c r="K56" t="str">
        <f>IF(ISBLANK(JP!I60),"","x")</f>
        <v/>
      </c>
      <c r="L56" t="str">
        <f>IF(ISBLANK(JP!J60),"","x")</f>
        <v/>
      </c>
      <c r="M56" t="str">
        <f>IF(ISBLANK(JP!L60),"","x")</f>
        <v/>
      </c>
      <c r="N56" t="str">
        <f>IF(ISBLANK(JP!M60),"","x")</f>
        <v/>
      </c>
      <c r="O56" t="str">
        <f>IF(ISBLANK(JP!N60),"","x")</f>
        <v/>
      </c>
      <c r="P56" t="str">
        <f>IF(ISBLANK(JP!O60),"","x")</f>
        <v/>
      </c>
      <c r="Q56" t="str">
        <f>IF(ISBLANK(JP!P60),"","x")</f>
        <v/>
      </c>
      <c r="R56" t="str">
        <f>IF(ISBLANK(JP!Q60),"","x")</f>
        <v/>
      </c>
      <c r="S56" t="str">
        <f>IF(ISBLANK(JP!R60),"","x")</f>
        <v/>
      </c>
      <c r="T56" t="str">
        <f>IF(ISBLANK(JP!T60),"","x")</f>
        <v/>
      </c>
      <c r="U56" t="str">
        <f>IF(ISBLANK(JP!U60),"","x")</f>
        <v/>
      </c>
      <c r="V56" t="str">
        <f>IF(ISBLANK(JP!V60),"","x")</f>
        <v/>
      </c>
      <c r="W56" t="str">
        <f>IF(ISBLANK(JP!W60),"","x")</f>
        <v/>
      </c>
      <c r="X56" t="str">
        <f>IF(ISBLANK(JP!X60),"","x")</f>
        <v/>
      </c>
      <c r="Y56" t="str">
        <f>IF(ISBLANK(JP!Y60),"","x")</f>
        <v/>
      </c>
      <c r="Z56" t="str">
        <f>IF(ISBLANK(JP!Z60),"","x")</f>
        <v/>
      </c>
      <c r="AA56" t="str">
        <f>IF(ISBLANK(JP!AB60),"","x")</f>
        <v/>
      </c>
      <c r="AB56" t="str">
        <f>IF(ISBLANK(JP!AC60),"","x")</f>
        <v/>
      </c>
      <c r="AC56" t="str">
        <f>IF(ISBLANK(JP!AD60),"","x")</f>
        <v/>
      </c>
      <c r="AD56" t="str">
        <f>IF(ISBLANK(JP!AE60),"","x")</f>
        <v/>
      </c>
      <c r="AE56" t="str">
        <f>IF(ISBLANK(JP!AF60),"","x")</f>
        <v/>
      </c>
      <c r="AF56" t="str">
        <f>IF(ISBLANK(JP!AG60),"","x")</f>
        <v/>
      </c>
      <c r="AG56" t="str">
        <f>IF(ISBLANK(JP!AH60),"","x")</f>
        <v/>
      </c>
      <c r="AH56" t="str">
        <f>IF(ISBLANK(JP!AJ60),"","x")</f>
        <v/>
      </c>
      <c r="AI56" t="str">
        <f>IF(ISBLANK(JP!AK60),"","x")</f>
        <v/>
      </c>
      <c r="AJ56" t="str">
        <f>IF(ISBLANK(JP!AL60),"","x")</f>
        <v/>
      </c>
      <c r="AK56" t="str">
        <f>IF(ISBLANK(JP!AM60),"","x")</f>
        <v>x</v>
      </c>
      <c r="AL56" t="str">
        <f>IF(ISBLANK(JP!AN60),"","x")</f>
        <v/>
      </c>
      <c r="AM56" t="str">
        <f>IF(ISBLANK(JP!AO60),"","x")</f>
        <v/>
      </c>
      <c r="AN56" t="str">
        <f>IF(ISBLANK(JP!AP60),"","x")</f>
        <v/>
      </c>
      <c r="AO56" t="str">
        <f>IF(ISBLANK(JP!AR60),"","x")</f>
        <v/>
      </c>
      <c r="AP56" t="str">
        <f>IF(ISBLANK(JP!AS60),"","x")</f>
        <v/>
      </c>
      <c r="AQ56" t="str">
        <f>IF(ISBLANK(JP!AT60),"","x")</f>
        <v/>
      </c>
      <c r="AR56" t="str">
        <f>IF(ISBLANK(JP!AU60),"","x")</f>
        <v/>
      </c>
      <c r="AS56" t="str">
        <f>IF(ISBLANK(JP!AV60),"","x")</f>
        <v/>
      </c>
      <c r="AT56" t="str">
        <f>IF(ISBLANK(JP!AW60),"","x")</f>
        <v/>
      </c>
      <c r="AU56" t="str">
        <f>IF(ISBLANK(JP!AX60),"","x")</f>
        <v/>
      </c>
    </row>
    <row r="57" spans="2:47">
      <c r="B57">
        <f>IF(ISBLANK(JP!AZ61),"",JP!AZ61)</f>
        <v>10009565</v>
      </c>
      <c r="C57" t="str">
        <f>IF(ISBLANK(JP!BA61),"",JP!BA61)</f>
        <v>CHOP HWA TIONG</v>
      </c>
      <c r="D57" t="str">
        <f>IF(ISBLANK(JP!BC61),"",JP!BC61)</f>
        <v>171 UPPER PAYA LEBAR ROAD</v>
      </c>
      <c r="E57">
        <f>IF(ISBLANK(JP!BB61),"",JP!BB61)</f>
        <v>1</v>
      </c>
      <c r="F57" t="str">
        <f>IF(ISBLANK(JP!D61),"","x")</f>
        <v/>
      </c>
      <c r="G57" t="str">
        <f>IF(ISBLANK(JP!E61),"","x")</f>
        <v/>
      </c>
      <c r="H57" t="str">
        <f>IF(ISBLANK(JP!F61),"","x")</f>
        <v/>
      </c>
      <c r="I57" t="str">
        <f>IF(ISBLANK(JP!G61),"","x")</f>
        <v/>
      </c>
      <c r="J57" t="str">
        <f>IF(ISBLANK(JP!H61),"","x")</f>
        <v>x</v>
      </c>
      <c r="K57" t="str">
        <f>IF(ISBLANK(JP!I61),"","x")</f>
        <v/>
      </c>
      <c r="L57" t="str">
        <f>IF(ISBLANK(JP!J61),"","x")</f>
        <v/>
      </c>
      <c r="M57" t="str">
        <f>IF(ISBLANK(JP!L61),"","x")</f>
        <v/>
      </c>
      <c r="N57" t="str">
        <f>IF(ISBLANK(JP!M61),"","x")</f>
        <v/>
      </c>
      <c r="O57" t="str">
        <f>IF(ISBLANK(JP!N61),"","x")</f>
        <v/>
      </c>
      <c r="P57" t="str">
        <f>IF(ISBLANK(JP!O61),"","x")</f>
        <v/>
      </c>
      <c r="Q57" t="str">
        <f>IF(ISBLANK(JP!P61),"","x")</f>
        <v/>
      </c>
      <c r="R57" t="str">
        <f>IF(ISBLANK(JP!Q61),"","x")</f>
        <v/>
      </c>
      <c r="S57" t="str">
        <f>IF(ISBLANK(JP!R61),"","x")</f>
        <v/>
      </c>
      <c r="T57" t="str">
        <f>IF(ISBLANK(JP!T61),"","x")</f>
        <v/>
      </c>
      <c r="U57" t="str">
        <f>IF(ISBLANK(JP!U61),"","x")</f>
        <v/>
      </c>
      <c r="V57" t="str">
        <f>IF(ISBLANK(JP!V61),"","x")</f>
        <v/>
      </c>
      <c r="W57" t="str">
        <f>IF(ISBLANK(JP!W61),"","x")</f>
        <v/>
      </c>
      <c r="X57" t="str">
        <f>IF(ISBLANK(JP!X61),"","x")</f>
        <v/>
      </c>
      <c r="Y57" t="str">
        <f>IF(ISBLANK(JP!Y61),"","x")</f>
        <v/>
      </c>
      <c r="Z57" t="str">
        <f>IF(ISBLANK(JP!Z61),"","x")</f>
        <v/>
      </c>
      <c r="AA57" t="str">
        <f>IF(ISBLANK(JP!AB61),"","x")</f>
        <v/>
      </c>
      <c r="AB57" t="str">
        <f>IF(ISBLANK(JP!AC61),"","x")</f>
        <v/>
      </c>
      <c r="AC57" t="str">
        <f>IF(ISBLANK(JP!AD61),"","x")</f>
        <v/>
      </c>
      <c r="AD57" t="str">
        <f>IF(ISBLANK(JP!AE61),"","x")</f>
        <v/>
      </c>
      <c r="AE57" t="str">
        <f>IF(ISBLANK(JP!AF61),"","x")</f>
        <v/>
      </c>
      <c r="AF57" t="str">
        <f>IF(ISBLANK(JP!AG61),"","x")</f>
        <v/>
      </c>
      <c r="AG57" t="str">
        <f>IF(ISBLANK(JP!AH61),"","x")</f>
        <v/>
      </c>
      <c r="AH57" t="str">
        <f>IF(ISBLANK(JP!AJ61),"","x")</f>
        <v/>
      </c>
      <c r="AI57" t="str">
        <f>IF(ISBLANK(JP!AK61),"","x")</f>
        <v/>
      </c>
      <c r="AJ57" t="str">
        <f>IF(ISBLANK(JP!AL61),"","x")</f>
        <v/>
      </c>
      <c r="AK57" t="str">
        <f>IF(ISBLANK(JP!AM61),"","x")</f>
        <v/>
      </c>
      <c r="AL57" t="str">
        <f>IF(ISBLANK(JP!AN61),"","x")</f>
        <v/>
      </c>
      <c r="AM57" t="str">
        <f>IF(ISBLANK(JP!AO61),"","x")</f>
        <v/>
      </c>
      <c r="AN57" t="str">
        <f>IF(ISBLANK(JP!AP61),"","x")</f>
        <v/>
      </c>
      <c r="AO57" t="str">
        <f>IF(ISBLANK(JP!AR61),"","x")</f>
        <v/>
      </c>
      <c r="AP57" t="str">
        <f>IF(ISBLANK(JP!AS61),"","x")</f>
        <v/>
      </c>
      <c r="AQ57" t="str">
        <f>IF(ISBLANK(JP!AT61),"","x")</f>
        <v/>
      </c>
      <c r="AR57" t="str">
        <f>IF(ISBLANK(JP!AU61),"","x")</f>
        <v/>
      </c>
      <c r="AS57" t="str">
        <f>IF(ISBLANK(JP!AV61),"","x")</f>
        <v/>
      </c>
      <c r="AT57" t="str">
        <f>IF(ISBLANK(JP!AW61),"","x")</f>
        <v/>
      </c>
      <c r="AU57" t="str">
        <f>IF(ISBLANK(JP!AX61),"","x")</f>
        <v/>
      </c>
    </row>
    <row r="58" spans="2:47">
      <c r="B58">
        <f>IF(ISBLANK(JP!AZ62),"",JP!AZ62)</f>
        <v>10040774</v>
      </c>
      <c r="C58" t="str">
        <f>IF(ISBLANK(JP!BA62),"",JP!BA62)</f>
        <v>HAPPY SHOPPY PTE. LTD. (UPP PAYA LEBAR)</v>
      </c>
      <c r="D58" t="str">
        <f>IF(ISBLANK(JP!BC62),"",JP!BC62)</f>
        <v>333 UPPER PAYA LEBAR ROAD</v>
      </c>
      <c r="E58">
        <f>IF(ISBLANK(JP!BB62),"",JP!BB62)</f>
        <v>1</v>
      </c>
      <c r="F58" t="str">
        <f>IF(ISBLANK(JP!D62),"","x")</f>
        <v/>
      </c>
      <c r="G58" t="str">
        <f>IF(ISBLANK(JP!E62),"","x")</f>
        <v/>
      </c>
      <c r="H58" t="str">
        <f>IF(ISBLANK(JP!F62),"","x")</f>
        <v/>
      </c>
      <c r="I58" t="str">
        <f>IF(ISBLANK(JP!G62),"","x")</f>
        <v/>
      </c>
      <c r="J58" t="str">
        <f>IF(ISBLANK(JP!H62),"","x")</f>
        <v>x</v>
      </c>
      <c r="K58" t="str">
        <f>IF(ISBLANK(JP!I62),"","x")</f>
        <v/>
      </c>
      <c r="L58" t="str">
        <f>IF(ISBLANK(JP!J62),"","x")</f>
        <v/>
      </c>
      <c r="M58" t="str">
        <f>IF(ISBLANK(JP!L62),"","x")</f>
        <v/>
      </c>
      <c r="N58" t="str">
        <f>IF(ISBLANK(JP!M62),"","x")</f>
        <v/>
      </c>
      <c r="O58" t="str">
        <f>IF(ISBLANK(JP!N62),"","x")</f>
        <v/>
      </c>
      <c r="P58" t="str">
        <f>IF(ISBLANK(JP!O62),"","x")</f>
        <v/>
      </c>
      <c r="Q58" t="str">
        <f>IF(ISBLANK(JP!P62),"","x")</f>
        <v/>
      </c>
      <c r="R58" t="str">
        <f>IF(ISBLANK(JP!Q62),"","x")</f>
        <v/>
      </c>
      <c r="S58" t="str">
        <f>IF(ISBLANK(JP!R62),"","x")</f>
        <v/>
      </c>
      <c r="T58" t="str">
        <f>IF(ISBLANK(JP!T62),"","x")</f>
        <v/>
      </c>
      <c r="U58" t="str">
        <f>IF(ISBLANK(JP!U62),"","x")</f>
        <v/>
      </c>
      <c r="V58" t="str">
        <f>IF(ISBLANK(JP!V62),"","x")</f>
        <v/>
      </c>
      <c r="W58" t="str">
        <f>IF(ISBLANK(JP!W62),"","x")</f>
        <v/>
      </c>
      <c r="X58" t="str">
        <f>IF(ISBLANK(JP!X62),"","x")</f>
        <v/>
      </c>
      <c r="Y58" t="str">
        <f>IF(ISBLANK(JP!Y62),"","x")</f>
        <v/>
      </c>
      <c r="Z58" t="str">
        <f>IF(ISBLANK(JP!Z62),"","x")</f>
        <v/>
      </c>
      <c r="AA58" t="str">
        <f>IF(ISBLANK(JP!AB62),"","x")</f>
        <v/>
      </c>
      <c r="AB58" t="str">
        <f>IF(ISBLANK(JP!AC62),"","x")</f>
        <v/>
      </c>
      <c r="AC58" t="str">
        <f>IF(ISBLANK(JP!AD62),"","x")</f>
        <v/>
      </c>
      <c r="AD58" t="str">
        <f>IF(ISBLANK(JP!AE62),"","x")</f>
        <v/>
      </c>
      <c r="AE58" t="str">
        <f>IF(ISBLANK(JP!AF62),"","x")</f>
        <v/>
      </c>
      <c r="AF58" t="str">
        <f>IF(ISBLANK(JP!AG62),"","x")</f>
        <v/>
      </c>
      <c r="AG58" t="str">
        <f>IF(ISBLANK(JP!AH62),"","x")</f>
        <v/>
      </c>
      <c r="AH58" t="str">
        <f>IF(ISBLANK(JP!AJ62),"","x")</f>
        <v/>
      </c>
      <c r="AI58" t="str">
        <f>IF(ISBLANK(JP!AK62),"","x")</f>
        <v/>
      </c>
      <c r="AJ58" t="str">
        <f>IF(ISBLANK(JP!AL62),"","x")</f>
        <v/>
      </c>
      <c r="AK58" t="str">
        <f>IF(ISBLANK(JP!AM62),"","x")</f>
        <v/>
      </c>
      <c r="AL58" t="str">
        <f>IF(ISBLANK(JP!AN62),"","x")</f>
        <v/>
      </c>
      <c r="AM58" t="str">
        <f>IF(ISBLANK(JP!AO62),"","x")</f>
        <v/>
      </c>
      <c r="AN58" t="str">
        <f>IF(ISBLANK(JP!AP62),"","x")</f>
        <v/>
      </c>
      <c r="AO58" t="str">
        <f>IF(ISBLANK(JP!AR62),"","x")</f>
        <v/>
      </c>
      <c r="AP58" t="str">
        <f>IF(ISBLANK(JP!AS62),"","x")</f>
        <v/>
      </c>
      <c r="AQ58" t="str">
        <f>IF(ISBLANK(JP!AT62),"","x")</f>
        <v/>
      </c>
      <c r="AR58" t="str">
        <f>IF(ISBLANK(JP!AU62),"","x")</f>
        <v/>
      </c>
      <c r="AS58" t="str">
        <f>IF(ISBLANK(JP!AV62),"","x")</f>
        <v/>
      </c>
      <c r="AT58" t="str">
        <f>IF(ISBLANK(JP!AW62),"","x")</f>
        <v/>
      </c>
      <c r="AU58" t="str">
        <f>IF(ISBLANK(JP!AX62),"","x")</f>
        <v/>
      </c>
    </row>
    <row r="59" spans="2:47">
      <c r="B59">
        <f>IF(ISBLANK(JP!AZ63),"",JP!AZ63)</f>
        <v>10039922</v>
      </c>
      <c r="C59" t="str">
        <f>IF(ISBLANK(JP!BA63),"",JP!BA63)</f>
        <v>EZ HOME PRODUCTS PTE. LTD. (RIVERVALE)</v>
      </c>
      <c r="D59" t="str">
        <f>IF(ISBLANK(JP!BC63),"",JP!BC63)</f>
        <v>118 RIVERVALE DRIVE</v>
      </c>
      <c r="E59">
        <f>IF(ISBLANK(JP!BB63),"",JP!BB63)</f>
        <v>1</v>
      </c>
      <c r="F59" t="str">
        <f>IF(ISBLANK(JP!D63),"","x")</f>
        <v/>
      </c>
      <c r="G59" t="str">
        <f>IF(ISBLANK(JP!E63),"","x")</f>
        <v/>
      </c>
      <c r="H59" t="str">
        <f>IF(ISBLANK(JP!F63),"","x")</f>
        <v/>
      </c>
      <c r="I59" t="str">
        <f>IF(ISBLANK(JP!G63),"","x")</f>
        <v>x</v>
      </c>
      <c r="J59" t="str">
        <f>IF(ISBLANK(JP!H63),"","x")</f>
        <v/>
      </c>
      <c r="K59" t="str">
        <f>IF(ISBLANK(JP!I63),"","x")</f>
        <v/>
      </c>
      <c r="L59" t="str">
        <f>IF(ISBLANK(JP!J63),"","x")</f>
        <v/>
      </c>
      <c r="M59" t="str">
        <f>IF(ISBLANK(JP!L63),"","x")</f>
        <v/>
      </c>
      <c r="N59" t="str">
        <f>IF(ISBLANK(JP!M63),"","x")</f>
        <v/>
      </c>
      <c r="O59" t="str">
        <f>IF(ISBLANK(JP!N63),"","x")</f>
        <v/>
      </c>
      <c r="P59" t="str">
        <f>IF(ISBLANK(JP!O63),"","x")</f>
        <v/>
      </c>
      <c r="Q59" t="str">
        <f>IF(ISBLANK(JP!P63),"","x")</f>
        <v/>
      </c>
      <c r="R59" t="str">
        <f>IF(ISBLANK(JP!Q63),"","x")</f>
        <v/>
      </c>
      <c r="S59" t="str">
        <f>IF(ISBLANK(JP!R63),"","x")</f>
        <v/>
      </c>
      <c r="T59" t="str">
        <f>IF(ISBLANK(JP!T63),"","x")</f>
        <v/>
      </c>
      <c r="U59" t="str">
        <f>IF(ISBLANK(JP!U63),"","x")</f>
        <v/>
      </c>
      <c r="V59" t="str">
        <f>IF(ISBLANK(JP!V63),"","x")</f>
        <v/>
      </c>
      <c r="W59" t="str">
        <f>IF(ISBLANK(JP!W63),"","x")</f>
        <v/>
      </c>
      <c r="X59" t="str">
        <f>IF(ISBLANK(JP!X63),"","x")</f>
        <v/>
      </c>
      <c r="Y59" t="str">
        <f>IF(ISBLANK(JP!Y63),"","x")</f>
        <v/>
      </c>
      <c r="Z59" t="str">
        <f>IF(ISBLANK(JP!Z63),"","x")</f>
        <v/>
      </c>
      <c r="AA59" t="str">
        <f>IF(ISBLANK(JP!AB63),"","x")</f>
        <v/>
      </c>
      <c r="AB59" t="str">
        <f>IF(ISBLANK(JP!AC63),"","x")</f>
        <v/>
      </c>
      <c r="AC59" t="str">
        <f>IF(ISBLANK(JP!AD63),"","x")</f>
        <v/>
      </c>
      <c r="AD59" t="str">
        <f>IF(ISBLANK(JP!AE63),"","x")</f>
        <v/>
      </c>
      <c r="AE59" t="str">
        <f>IF(ISBLANK(JP!AF63),"","x")</f>
        <v/>
      </c>
      <c r="AF59" t="str">
        <f>IF(ISBLANK(JP!AG63),"","x")</f>
        <v/>
      </c>
      <c r="AG59" t="str">
        <f>IF(ISBLANK(JP!AH63),"","x")</f>
        <v/>
      </c>
      <c r="AH59" t="str">
        <f>IF(ISBLANK(JP!AJ63),"","x")</f>
        <v/>
      </c>
      <c r="AI59" t="str">
        <f>IF(ISBLANK(JP!AK63),"","x")</f>
        <v/>
      </c>
      <c r="AJ59" t="str">
        <f>IF(ISBLANK(JP!AL63),"","x")</f>
        <v/>
      </c>
      <c r="AK59" t="str">
        <f>IF(ISBLANK(JP!AM63),"","x")</f>
        <v/>
      </c>
      <c r="AL59" t="str">
        <f>IF(ISBLANK(JP!AN63),"","x")</f>
        <v/>
      </c>
      <c r="AM59" t="str">
        <f>IF(ISBLANK(JP!AO63),"","x")</f>
        <v/>
      </c>
      <c r="AN59" t="str">
        <f>IF(ISBLANK(JP!AP63),"","x")</f>
        <v/>
      </c>
      <c r="AO59" t="str">
        <f>IF(ISBLANK(JP!AR63),"","x")</f>
        <v/>
      </c>
      <c r="AP59" t="str">
        <f>IF(ISBLANK(JP!AS63),"","x")</f>
        <v/>
      </c>
      <c r="AQ59" t="str">
        <f>IF(ISBLANK(JP!AT63),"","x")</f>
        <v/>
      </c>
      <c r="AR59" t="str">
        <f>IF(ISBLANK(JP!AU63),"","x")</f>
        <v/>
      </c>
      <c r="AS59" t="str">
        <f>IF(ISBLANK(JP!AV63),"","x")</f>
        <v/>
      </c>
      <c r="AT59" t="str">
        <f>IF(ISBLANK(JP!AW63),"","x")</f>
        <v/>
      </c>
      <c r="AU59" t="str">
        <f>IF(ISBLANK(JP!AX63),"","x")</f>
        <v/>
      </c>
    </row>
    <row r="60" spans="2:47">
      <c r="B60">
        <f>IF(ISBLANK(JP!AZ64),"",JP!AZ64)</f>
        <v>10027030</v>
      </c>
      <c r="C60" t="str">
        <f>IF(ISBLANK(JP!BA64),"",JP!BA64)</f>
        <v>ANCHORVALE MINIMART 267 (BRANCH)</v>
      </c>
      <c r="D60" t="str">
        <f>IF(ISBLANK(JP!BC64),"",JP!BC64)</f>
        <v>267 COMPASSVALE LINK</v>
      </c>
      <c r="E60">
        <f>IF(ISBLANK(JP!BB64),"",JP!BB64)</f>
        <v>1</v>
      </c>
      <c r="F60" t="str">
        <f>IF(ISBLANK(JP!D64),"","x")</f>
        <v/>
      </c>
      <c r="G60" t="str">
        <f>IF(ISBLANK(JP!E64),"","x")</f>
        <v/>
      </c>
      <c r="H60" t="str">
        <f>IF(ISBLANK(JP!F64),"","x")</f>
        <v/>
      </c>
      <c r="I60" t="str">
        <f>IF(ISBLANK(JP!G64),"","x")</f>
        <v/>
      </c>
      <c r="J60" t="str">
        <f>IF(ISBLANK(JP!H64),"","x")</f>
        <v>x</v>
      </c>
      <c r="K60" t="str">
        <f>IF(ISBLANK(JP!I64),"","x")</f>
        <v/>
      </c>
      <c r="L60" t="str">
        <f>IF(ISBLANK(JP!J64),"","x")</f>
        <v/>
      </c>
      <c r="M60" t="str">
        <f>IF(ISBLANK(JP!L64),"","x")</f>
        <v/>
      </c>
      <c r="N60" t="str">
        <f>IF(ISBLANK(JP!M64),"","x")</f>
        <v/>
      </c>
      <c r="O60" t="str">
        <f>IF(ISBLANK(JP!N64),"","x")</f>
        <v/>
      </c>
      <c r="P60" t="str">
        <f>IF(ISBLANK(JP!O64),"","x")</f>
        <v/>
      </c>
      <c r="Q60" t="str">
        <f>IF(ISBLANK(JP!P64),"","x")</f>
        <v/>
      </c>
      <c r="R60" t="str">
        <f>IF(ISBLANK(JP!Q64),"","x")</f>
        <v/>
      </c>
      <c r="S60" t="str">
        <f>IF(ISBLANK(JP!R64),"","x")</f>
        <v/>
      </c>
      <c r="T60" t="str">
        <f>IF(ISBLANK(JP!T64),"","x")</f>
        <v/>
      </c>
      <c r="U60" t="str">
        <f>IF(ISBLANK(JP!U64),"","x")</f>
        <v/>
      </c>
      <c r="V60" t="str">
        <f>IF(ISBLANK(JP!V64),"","x")</f>
        <v/>
      </c>
      <c r="W60" t="str">
        <f>IF(ISBLANK(JP!W64),"","x")</f>
        <v/>
      </c>
      <c r="X60" t="str">
        <f>IF(ISBLANK(JP!X64),"","x")</f>
        <v/>
      </c>
      <c r="Y60" t="str">
        <f>IF(ISBLANK(JP!Y64),"","x")</f>
        <v/>
      </c>
      <c r="Z60" t="str">
        <f>IF(ISBLANK(JP!Z64),"","x")</f>
        <v/>
      </c>
      <c r="AA60" t="str">
        <f>IF(ISBLANK(JP!AB64),"","x")</f>
        <v/>
      </c>
      <c r="AB60" t="str">
        <f>IF(ISBLANK(JP!AC64),"","x")</f>
        <v/>
      </c>
      <c r="AC60" t="str">
        <f>IF(ISBLANK(JP!AD64),"","x")</f>
        <v/>
      </c>
      <c r="AD60" t="str">
        <f>IF(ISBLANK(JP!AE64),"","x")</f>
        <v/>
      </c>
      <c r="AE60" t="str">
        <f>IF(ISBLANK(JP!AF64),"","x")</f>
        <v/>
      </c>
      <c r="AF60" t="str">
        <f>IF(ISBLANK(JP!AG64),"","x")</f>
        <v/>
      </c>
      <c r="AG60" t="str">
        <f>IF(ISBLANK(JP!AH64),"","x")</f>
        <v/>
      </c>
      <c r="AH60" t="str">
        <f>IF(ISBLANK(JP!AJ64),"","x")</f>
        <v/>
      </c>
      <c r="AI60" t="str">
        <f>IF(ISBLANK(JP!AK64),"","x")</f>
        <v/>
      </c>
      <c r="AJ60" t="str">
        <f>IF(ISBLANK(JP!AL64),"","x")</f>
        <v/>
      </c>
      <c r="AK60" t="str">
        <f>IF(ISBLANK(JP!AM64),"","x")</f>
        <v/>
      </c>
      <c r="AL60" t="str">
        <f>IF(ISBLANK(JP!AN64),"","x")</f>
        <v/>
      </c>
      <c r="AM60" t="str">
        <f>IF(ISBLANK(JP!AO64),"","x")</f>
        <v/>
      </c>
      <c r="AN60" t="str">
        <f>IF(ISBLANK(JP!AP64),"","x")</f>
        <v/>
      </c>
      <c r="AO60" t="str">
        <f>IF(ISBLANK(JP!AR64),"","x")</f>
        <v/>
      </c>
      <c r="AP60" t="str">
        <f>IF(ISBLANK(JP!AS64),"","x")</f>
        <v/>
      </c>
      <c r="AQ60" t="str">
        <f>IF(ISBLANK(JP!AT64),"","x")</f>
        <v/>
      </c>
      <c r="AR60" t="str">
        <f>IF(ISBLANK(JP!AU64),"","x")</f>
        <v/>
      </c>
      <c r="AS60" t="str">
        <f>IF(ISBLANK(JP!AV64),"","x")</f>
        <v/>
      </c>
      <c r="AT60" t="str">
        <f>IF(ISBLANK(JP!AW64),"","x")</f>
        <v/>
      </c>
      <c r="AU60" t="str">
        <f>IF(ISBLANK(JP!AX64),"","x")</f>
        <v/>
      </c>
    </row>
    <row r="61" spans="2:47">
      <c r="B61">
        <f>IF(ISBLANK(JP!AZ65),"",JP!AZ65)</f>
        <v>10016667</v>
      </c>
      <c r="C61" t="str">
        <f>IF(ISBLANK(JP!BA65),"",JP!BA65)</f>
        <v>FAIR MART SUPERSTORE SENG KANG</v>
      </c>
      <c r="D61" t="str">
        <f>IF(ISBLANK(JP!BC65),"",JP!BC65)</f>
        <v>297 COMPASSVALE STREET</v>
      </c>
      <c r="E61">
        <f>IF(ISBLANK(JP!BB65),"",JP!BB65)</f>
        <v>1</v>
      </c>
      <c r="F61" t="str">
        <f>IF(ISBLANK(JP!D65),"","x")</f>
        <v/>
      </c>
      <c r="G61" t="str">
        <f>IF(ISBLANK(JP!E65),"","x")</f>
        <v/>
      </c>
      <c r="H61" t="str">
        <f>IF(ISBLANK(JP!F65),"","x")</f>
        <v/>
      </c>
      <c r="I61" t="str">
        <f>IF(ISBLANK(JP!G65),"","x")</f>
        <v/>
      </c>
      <c r="J61" t="str">
        <f>IF(ISBLANK(JP!H65),"","x")</f>
        <v/>
      </c>
      <c r="K61" t="str">
        <f>IF(ISBLANK(JP!I65),"","x")</f>
        <v>x</v>
      </c>
      <c r="L61" t="str">
        <f>IF(ISBLANK(JP!J65),"","x")</f>
        <v/>
      </c>
      <c r="M61" t="str">
        <f>IF(ISBLANK(JP!L65),"","x")</f>
        <v/>
      </c>
      <c r="N61" t="str">
        <f>IF(ISBLANK(JP!M65),"","x")</f>
        <v/>
      </c>
      <c r="O61" t="str">
        <f>IF(ISBLANK(JP!N65),"","x")</f>
        <v/>
      </c>
      <c r="P61" t="str">
        <f>IF(ISBLANK(JP!O65),"","x")</f>
        <v/>
      </c>
      <c r="Q61" t="str">
        <f>IF(ISBLANK(JP!P65),"","x")</f>
        <v/>
      </c>
      <c r="R61" t="str">
        <f>IF(ISBLANK(JP!Q65),"","x")</f>
        <v/>
      </c>
      <c r="S61" t="str">
        <f>IF(ISBLANK(JP!R65),"","x")</f>
        <v/>
      </c>
      <c r="T61" t="str">
        <f>IF(ISBLANK(JP!T65),"","x")</f>
        <v/>
      </c>
      <c r="U61" t="str">
        <f>IF(ISBLANK(JP!U65),"","x")</f>
        <v/>
      </c>
      <c r="V61" t="str">
        <f>IF(ISBLANK(JP!V65),"","x")</f>
        <v/>
      </c>
      <c r="W61" t="str">
        <f>IF(ISBLANK(JP!W65),"","x")</f>
        <v/>
      </c>
      <c r="X61" t="str">
        <f>IF(ISBLANK(JP!X65),"","x")</f>
        <v/>
      </c>
      <c r="Y61" t="str">
        <f>IF(ISBLANK(JP!Y65),"","x")</f>
        <v/>
      </c>
      <c r="Z61" t="str">
        <f>IF(ISBLANK(JP!Z65),"","x")</f>
        <v/>
      </c>
      <c r="AA61" t="str">
        <f>IF(ISBLANK(JP!AB65),"","x")</f>
        <v/>
      </c>
      <c r="AB61" t="str">
        <f>IF(ISBLANK(JP!AC65),"","x")</f>
        <v/>
      </c>
      <c r="AC61" t="str">
        <f>IF(ISBLANK(JP!AD65),"","x")</f>
        <v/>
      </c>
      <c r="AD61" t="str">
        <f>IF(ISBLANK(JP!AE65),"","x")</f>
        <v/>
      </c>
      <c r="AE61" t="str">
        <f>IF(ISBLANK(JP!AF65),"","x")</f>
        <v/>
      </c>
      <c r="AF61" t="str">
        <f>IF(ISBLANK(JP!AG65),"","x")</f>
        <v/>
      </c>
      <c r="AG61" t="str">
        <f>IF(ISBLANK(JP!AH65),"","x")</f>
        <v/>
      </c>
      <c r="AH61" t="str">
        <f>IF(ISBLANK(JP!AJ65),"","x")</f>
        <v/>
      </c>
      <c r="AI61" t="str">
        <f>IF(ISBLANK(JP!AK65),"","x")</f>
        <v/>
      </c>
      <c r="AJ61" t="str">
        <f>IF(ISBLANK(JP!AL65),"","x")</f>
        <v/>
      </c>
      <c r="AK61" t="str">
        <f>IF(ISBLANK(JP!AM65),"","x")</f>
        <v/>
      </c>
      <c r="AL61" t="str">
        <f>IF(ISBLANK(JP!AN65),"","x")</f>
        <v/>
      </c>
      <c r="AM61" t="str">
        <f>IF(ISBLANK(JP!AO65),"","x")</f>
        <v/>
      </c>
      <c r="AN61" t="str">
        <f>IF(ISBLANK(JP!AP65),"","x")</f>
        <v/>
      </c>
      <c r="AO61" t="str">
        <f>IF(ISBLANK(JP!AR65),"","x")</f>
        <v/>
      </c>
      <c r="AP61" t="str">
        <f>IF(ISBLANK(JP!AS65),"","x")</f>
        <v/>
      </c>
      <c r="AQ61" t="str">
        <f>IF(ISBLANK(JP!AT65),"","x")</f>
        <v/>
      </c>
      <c r="AR61" t="str">
        <f>IF(ISBLANK(JP!AU65),"","x")</f>
        <v/>
      </c>
      <c r="AS61" t="str">
        <f>IF(ISBLANK(JP!AV65),"","x")</f>
        <v/>
      </c>
      <c r="AT61" t="str">
        <f>IF(ISBLANK(JP!AW65),"","x")</f>
        <v/>
      </c>
      <c r="AU61" t="str">
        <f>IF(ISBLANK(JP!AX65),"","x")</f>
        <v/>
      </c>
    </row>
    <row r="62" spans="2:47">
      <c r="B62">
        <f>IF(ISBLANK(JP!AZ66),"",JP!AZ66)</f>
        <v>10043631</v>
      </c>
      <c r="C62" t="str">
        <f>IF(ISBLANK(JP!BA66),"",JP!BA66)</f>
        <v>SRI MURUGAN (ANCHORVALE)</v>
      </c>
      <c r="D62" t="str">
        <f>IF(ISBLANK(JP!BC66),"",JP!BC66)</f>
        <v>308 ANCHORVALE ROAD</v>
      </c>
      <c r="E62">
        <f>IF(ISBLANK(JP!BB66),"",JP!BB66)</f>
        <v>1</v>
      </c>
      <c r="F62" t="str">
        <f>IF(ISBLANK(JP!D66),"","x")</f>
        <v/>
      </c>
      <c r="G62" t="str">
        <f>IF(ISBLANK(JP!E66),"","x")</f>
        <v/>
      </c>
      <c r="H62" t="str">
        <f>IF(ISBLANK(JP!F66),"","x")</f>
        <v/>
      </c>
      <c r="I62" t="str">
        <f>IF(ISBLANK(JP!G66),"","x")</f>
        <v/>
      </c>
      <c r="J62" t="str">
        <f>IF(ISBLANK(JP!H66),"","x")</f>
        <v/>
      </c>
      <c r="K62" t="str">
        <f>IF(ISBLANK(JP!I66),"","x")</f>
        <v>x</v>
      </c>
      <c r="L62" t="str">
        <f>IF(ISBLANK(JP!J66),"","x")</f>
        <v/>
      </c>
      <c r="M62" t="str">
        <f>IF(ISBLANK(JP!L66),"","x")</f>
        <v/>
      </c>
      <c r="N62" t="str">
        <f>IF(ISBLANK(JP!M66),"","x")</f>
        <v/>
      </c>
      <c r="O62" t="str">
        <f>IF(ISBLANK(JP!N66),"","x")</f>
        <v/>
      </c>
      <c r="P62" t="str">
        <f>IF(ISBLANK(JP!O66),"","x")</f>
        <v/>
      </c>
      <c r="Q62" t="str">
        <f>IF(ISBLANK(JP!P66),"","x")</f>
        <v/>
      </c>
      <c r="R62" t="str">
        <f>IF(ISBLANK(JP!Q66),"","x")</f>
        <v/>
      </c>
      <c r="S62" t="str">
        <f>IF(ISBLANK(JP!R66),"","x")</f>
        <v/>
      </c>
      <c r="T62" t="str">
        <f>IF(ISBLANK(JP!T66),"","x")</f>
        <v/>
      </c>
      <c r="U62" t="str">
        <f>IF(ISBLANK(JP!U66),"","x")</f>
        <v/>
      </c>
      <c r="V62" t="str">
        <f>IF(ISBLANK(JP!V66),"","x")</f>
        <v/>
      </c>
      <c r="W62" t="str">
        <f>IF(ISBLANK(JP!W66),"","x")</f>
        <v/>
      </c>
      <c r="X62" t="str">
        <f>IF(ISBLANK(JP!X66),"","x")</f>
        <v/>
      </c>
      <c r="Y62" t="str">
        <f>IF(ISBLANK(JP!Y66),"","x")</f>
        <v/>
      </c>
      <c r="Z62" t="str">
        <f>IF(ISBLANK(JP!Z66),"","x")</f>
        <v/>
      </c>
      <c r="AA62" t="str">
        <f>IF(ISBLANK(JP!AB66),"","x")</f>
        <v/>
      </c>
      <c r="AB62" t="str">
        <f>IF(ISBLANK(JP!AC66),"","x")</f>
        <v/>
      </c>
      <c r="AC62" t="str">
        <f>IF(ISBLANK(JP!AD66),"","x")</f>
        <v/>
      </c>
      <c r="AD62" t="str">
        <f>IF(ISBLANK(JP!AE66),"","x")</f>
        <v/>
      </c>
      <c r="AE62" t="str">
        <f>IF(ISBLANK(JP!AF66),"","x")</f>
        <v/>
      </c>
      <c r="AF62" t="str">
        <f>IF(ISBLANK(JP!AG66),"","x")</f>
        <v/>
      </c>
      <c r="AG62" t="str">
        <f>IF(ISBLANK(JP!AH66),"","x")</f>
        <v/>
      </c>
      <c r="AH62" t="str">
        <f>IF(ISBLANK(JP!AJ66),"","x")</f>
        <v/>
      </c>
      <c r="AI62" t="str">
        <f>IF(ISBLANK(JP!AK66),"","x")</f>
        <v/>
      </c>
      <c r="AJ62" t="str">
        <f>IF(ISBLANK(JP!AL66),"","x")</f>
        <v/>
      </c>
      <c r="AK62" t="str">
        <f>IF(ISBLANK(JP!AM66),"","x")</f>
        <v/>
      </c>
      <c r="AL62" t="str">
        <f>IF(ISBLANK(JP!AN66),"","x")</f>
        <v/>
      </c>
      <c r="AM62" t="str">
        <f>IF(ISBLANK(JP!AO66),"","x")</f>
        <v/>
      </c>
      <c r="AN62" t="str">
        <f>IF(ISBLANK(JP!AP66),"","x")</f>
        <v/>
      </c>
      <c r="AO62" t="str">
        <f>IF(ISBLANK(JP!AR66),"","x")</f>
        <v/>
      </c>
      <c r="AP62" t="str">
        <f>IF(ISBLANK(JP!AS66),"","x")</f>
        <v/>
      </c>
      <c r="AQ62" t="str">
        <f>IF(ISBLANK(JP!AT66),"","x")</f>
        <v/>
      </c>
      <c r="AR62" t="str">
        <f>IF(ISBLANK(JP!AU66),"","x")</f>
        <v/>
      </c>
      <c r="AS62" t="str">
        <f>IF(ISBLANK(JP!AV66),"","x")</f>
        <v/>
      </c>
      <c r="AT62" t="str">
        <f>IF(ISBLANK(JP!AW66),"","x")</f>
        <v/>
      </c>
      <c r="AU62" t="str">
        <f>IF(ISBLANK(JP!AX66),"","x")</f>
        <v/>
      </c>
    </row>
    <row r="63" spans="2:47">
      <c r="B63">
        <f>IF(ISBLANK(JP!AZ67),"",JP!AZ67)</f>
        <v>10044496</v>
      </c>
      <c r="C63" t="str">
        <f>IF(ISBLANK(JP!BA67),"",JP!BA67)</f>
        <v>WELCOME MINI-MART PTE. LTD.</v>
      </c>
      <c r="D63" t="str">
        <f>IF(ISBLANK(JP!BC67),"",JP!BC67)</f>
        <v>308 ANCHORVALE ROAD</v>
      </c>
      <c r="E63">
        <f>IF(ISBLANK(JP!BB67),"",JP!BB67)</f>
        <v>1</v>
      </c>
      <c r="F63" t="str">
        <f>IF(ISBLANK(JP!D67),"","x")</f>
        <v/>
      </c>
      <c r="G63" t="str">
        <f>IF(ISBLANK(JP!E67),"","x")</f>
        <v/>
      </c>
      <c r="H63" t="str">
        <f>IF(ISBLANK(JP!F67),"","x")</f>
        <v/>
      </c>
      <c r="I63" t="str">
        <f>IF(ISBLANK(JP!G67),"","x")</f>
        <v/>
      </c>
      <c r="J63" t="str">
        <f>IF(ISBLANK(JP!H67),"","x")</f>
        <v>x</v>
      </c>
      <c r="K63" t="str">
        <f>IF(ISBLANK(JP!I67),"","x")</f>
        <v/>
      </c>
      <c r="L63" t="str">
        <f>IF(ISBLANK(JP!J67),"","x")</f>
        <v/>
      </c>
      <c r="M63" t="str">
        <f>IF(ISBLANK(JP!L67),"","x")</f>
        <v/>
      </c>
      <c r="N63" t="str">
        <f>IF(ISBLANK(JP!M67),"","x")</f>
        <v/>
      </c>
      <c r="O63" t="str">
        <f>IF(ISBLANK(JP!N67),"","x")</f>
        <v/>
      </c>
      <c r="P63" t="str">
        <f>IF(ISBLANK(JP!O67),"","x")</f>
        <v/>
      </c>
      <c r="Q63" t="str">
        <f>IF(ISBLANK(JP!P67),"","x")</f>
        <v/>
      </c>
      <c r="R63" t="str">
        <f>IF(ISBLANK(JP!Q67),"","x")</f>
        <v/>
      </c>
      <c r="S63" t="str">
        <f>IF(ISBLANK(JP!R67),"","x")</f>
        <v/>
      </c>
      <c r="T63" t="str">
        <f>IF(ISBLANK(JP!T67),"","x")</f>
        <v/>
      </c>
      <c r="U63" t="str">
        <f>IF(ISBLANK(JP!U67),"","x")</f>
        <v/>
      </c>
      <c r="V63" t="str">
        <f>IF(ISBLANK(JP!V67),"","x")</f>
        <v/>
      </c>
      <c r="W63" t="str">
        <f>IF(ISBLANK(JP!W67),"","x")</f>
        <v/>
      </c>
      <c r="X63" t="str">
        <f>IF(ISBLANK(JP!X67),"","x")</f>
        <v/>
      </c>
      <c r="Y63" t="str">
        <f>IF(ISBLANK(JP!Y67),"","x")</f>
        <v/>
      </c>
      <c r="Z63" t="str">
        <f>IF(ISBLANK(JP!Z67),"","x")</f>
        <v/>
      </c>
      <c r="AA63" t="str">
        <f>IF(ISBLANK(JP!AB67),"","x")</f>
        <v/>
      </c>
      <c r="AB63" t="str">
        <f>IF(ISBLANK(JP!AC67),"","x")</f>
        <v/>
      </c>
      <c r="AC63" t="str">
        <f>IF(ISBLANK(JP!AD67),"","x")</f>
        <v/>
      </c>
      <c r="AD63" t="str">
        <f>IF(ISBLANK(JP!AE67),"","x")</f>
        <v/>
      </c>
      <c r="AE63" t="str">
        <f>IF(ISBLANK(JP!AF67),"","x")</f>
        <v/>
      </c>
      <c r="AF63" t="str">
        <f>IF(ISBLANK(JP!AG67),"","x")</f>
        <v/>
      </c>
      <c r="AG63" t="str">
        <f>IF(ISBLANK(JP!AH67),"","x")</f>
        <v/>
      </c>
      <c r="AH63" t="str">
        <f>IF(ISBLANK(JP!AJ67),"","x")</f>
        <v/>
      </c>
      <c r="AI63" t="str">
        <f>IF(ISBLANK(JP!AK67),"","x")</f>
        <v/>
      </c>
      <c r="AJ63" t="str">
        <f>IF(ISBLANK(JP!AL67),"","x")</f>
        <v/>
      </c>
      <c r="AK63" t="str">
        <f>IF(ISBLANK(JP!AM67),"","x")</f>
        <v/>
      </c>
      <c r="AL63" t="str">
        <f>IF(ISBLANK(JP!AN67),"","x")</f>
        <v/>
      </c>
      <c r="AM63" t="str">
        <f>IF(ISBLANK(JP!AO67),"","x")</f>
        <v/>
      </c>
      <c r="AN63" t="str">
        <f>IF(ISBLANK(JP!AP67),"","x")</f>
        <v/>
      </c>
      <c r="AO63" t="str">
        <f>IF(ISBLANK(JP!AR67),"","x")</f>
        <v/>
      </c>
      <c r="AP63" t="str">
        <f>IF(ISBLANK(JP!AS67),"","x")</f>
        <v/>
      </c>
      <c r="AQ63" t="str">
        <f>IF(ISBLANK(JP!AT67),"","x")</f>
        <v/>
      </c>
      <c r="AR63" t="str">
        <f>IF(ISBLANK(JP!AU67),"","x")</f>
        <v/>
      </c>
      <c r="AS63" t="str">
        <f>IF(ISBLANK(JP!AV67),"","x")</f>
        <v/>
      </c>
      <c r="AT63" t="str">
        <f>IF(ISBLANK(JP!AW67),"","x")</f>
        <v/>
      </c>
      <c r="AU63" t="str">
        <f>IF(ISBLANK(JP!AX67),"","x")</f>
        <v/>
      </c>
    </row>
    <row r="64" spans="2:47">
      <c r="B64">
        <f>IF(ISBLANK(JP!AZ68),"",JP!AZ68)</f>
        <v>10041276</v>
      </c>
      <c r="C64" t="str">
        <f>IF(ISBLANK(JP!BA68),"",JP!BA68)</f>
        <v>U STARS SUPERMARKET (ANCHORVALE)</v>
      </c>
      <c r="D64" t="str">
        <f>IF(ISBLANK(JP!BC68),"",JP!BC68)</f>
        <v>330 ANCHORVALE STREET</v>
      </c>
      <c r="E64">
        <f>IF(ISBLANK(JP!BB68),"",JP!BB68)</f>
        <v>2</v>
      </c>
      <c r="F64" t="str">
        <f>IF(ISBLANK(JP!D68),"","x")</f>
        <v/>
      </c>
      <c r="G64" t="str">
        <f>IF(ISBLANK(JP!E68),"","x")</f>
        <v/>
      </c>
      <c r="H64" t="str">
        <f>IF(ISBLANK(JP!F68),"","x")</f>
        <v/>
      </c>
      <c r="I64" t="str">
        <f>IF(ISBLANK(JP!G68),"","x")</f>
        <v/>
      </c>
      <c r="J64" t="str">
        <f>IF(ISBLANK(JP!H68),"","x")</f>
        <v/>
      </c>
      <c r="K64" t="str">
        <f>IF(ISBLANK(JP!I68),"","x")</f>
        <v>x</v>
      </c>
      <c r="L64" t="str">
        <f>IF(ISBLANK(JP!J68),"","x")</f>
        <v/>
      </c>
      <c r="M64" t="str">
        <f>IF(ISBLANK(JP!L68),"","x")</f>
        <v/>
      </c>
      <c r="N64" t="str">
        <f>IF(ISBLANK(JP!M68),"","x")</f>
        <v/>
      </c>
      <c r="O64" t="str">
        <f>IF(ISBLANK(JP!N68),"","x")</f>
        <v/>
      </c>
      <c r="P64" t="str">
        <f>IF(ISBLANK(JP!O68),"","x")</f>
        <v/>
      </c>
      <c r="Q64" t="str">
        <f>IF(ISBLANK(JP!P68),"","x")</f>
        <v/>
      </c>
      <c r="R64" t="str">
        <f>IF(ISBLANK(JP!Q68),"","x")</f>
        <v/>
      </c>
      <c r="S64" t="str">
        <f>IF(ISBLANK(JP!R68),"","x")</f>
        <v/>
      </c>
      <c r="T64" t="str">
        <f>IF(ISBLANK(JP!T68),"","x")</f>
        <v/>
      </c>
      <c r="U64" t="str">
        <f>IF(ISBLANK(JP!U68),"","x")</f>
        <v/>
      </c>
      <c r="V64" t="str">
        <f>IF(ISBLANK(JP!V68),"","x")</f>
        <v/>
      </c>
      <c r="W64" t="str">
        <f>IF(ISBLANK(JP!W68),"","x")</f>
        <v/>
      </c>
      <c r="X64" t="str">
        <f>IF(ISBLANK(JP!X68),"","x")</f>
        <v/>
      </c>
      <c r="Y64" t="str">
        <f>IF(ISBLANK(JP!Y68),"","x")</f>
        <v/>
      </c>
      <c r="Z64" t="str">
        <f>IF(ISBLANK(JP!Z68),"","x")</f>
        <v/>
      </c>
      <c r="AA64" t="str">
        <f>IF(ISBLANK(JP!AB68),"","x")</f>
        <v/>
      </c>
      <c r="AB64" t="str">
        <f>IF(ISBLANK(JP!AC68),"","x")</f>
        <v/>
      </c>
      <c r="AC64" t="str">
        <f>IF(ISBLANK(JP!AD68),"","x")</f>
        <v/>
      </c>
      <c r="AD64" t="str">
        <f>IF(ISBLANK(JP!AE68),"","x")</f>
        <v/>
      </c>
      <c r="AE64" t="str">
        <f>IF(ISBLANK(JP!AF68),"","x")</f>
        <v/>
      </c>
      <c r="AF64" t="str">
        <f>IF(ISBLANK(JP!AG68),"","x")</f>
        <v/>
      </c>
      <c r="AG64" t="str">
        <f>IF(ISBLANK(JP!AH68),"","x")</f>
        <v/>
      </c>
      <c r="AH64" t="str">
        <f>IF(ISBLANK(JP!AJ68),"","x")</f>
        <v/>
      </c>
      <c r="AI64" t="str">
        <f>IF(ISBLANK(JP!AK68),"","x")</f>
        <v/>
      </c>
      <c r="AJ64" t="str">
        <f>IF(ISBLANK(JP!AL68),"","x")</f>
        <v/>
      </c>
      <c r="AK64" t="str">
        <f>IF(ISBLANK(JP!AM68),"","x")</f>
        <v/>
      </c>
      <c r="AL64" t="str">
        <f>IF(ISBLANK(JP!AN68),"","x")</f>
        <v/>
      </c>
      <c r="AM64" t="str">
        <f>IF(ISBLANK(JP!AO68),"","x")</f>
        <v/>
      </c>
      <c r="AN64" t="str">
        <f>IF(ISBLANK(JP!AP68),"","x")</f>
        <v/>
      </c>
      <c r="AO64" t="str">
        <f>IF(ISBLANK(JP!AR68),"","x")</f>
        <v/>
      </c>
      <c r="AP64" t="str">
        <f>IF(ISBLANK(JP!AS68),"","x")</f>
        <v/>
      </c>
      <c r="AQ64" t="str">
        <f>IF(ISBLANK(JP!AT68),"","x")</f>
        <v/>
      </c>
      <c r="AR64" t="str">
        <f>IF(ISBLANK(JP!AU68),"","x")</f>
        <v/>
      </c>
      <c r="AS64" t="str">
        <f>IF(ISBLANK(JP!AV68),"","x")</f>
        <v/>
      </c>
      <c r="AT64" t="str">
        <f>IF(ISBLANK(JP!AW68),"","x")</f>
        <v/>
      </c>
      <c r="AU64" t="str">
        <f>IF(ISBLANK(JP!AX68),"","x")</f>
        <v/>
      </c>
    </row>
    <row r="65" spans="2:47">
      <c r="B65">
        <f>IF(ISBLANK(JP!AZ69),"",JP!AZ69)</f>
        <v>10040476</v>
      </c>
      <c r="C65" t="str">
        <f>IF(ISBLANK(JP!BA69),"",JP!BA69)</f>
        <v>M28 MINIMART (RIVERVALE)</v>
      </c>
      <c r="D65" t="str">
        <f>IF(ISBLANK(JP!BC69),"",JP!BC69)</f>
        <v>182A RIVERVALE CRESCENT</v>
      </c>
      <c r="E65">
        <f>IF(ISBLANK(JP!BB69),"",JP!BB69)</f>
        <v>1</v>
      </c>
      <c r="F65" t="str">
        <f>IF(ISBLANK(JP!D69),"","x")</f>
        <v/>
      </c>
      <c r="G65" t="str">
        <f>IF(ISBLANK(JP!E69),"","x")</f>
        <v/>
      </c>
      <c r="H65" t="str">
        <f>IF(ISBLANK(JP!F69),"","x")</f>
        <v/>
      </c>
      <c r="I65" t="str">
        <f>IF(ISBLANK(JP!G69),"","x")</f>
        <v/>
      </c>
      <c r="J65" t="str">
        <f>IF(ISBLANK(JP!H69),"","x")</f>
        <v/>
      </c>
      <c r="K65" t="str">
        <f>IF(ISBLANK(JP!I69),"","x")</f>
        <v/>
      </c>
      <c r="L65" t="str">
        <f>IF(ISBLANK(JP!J69),"","x")</f>
        <v/>
      </c>
      <c r="M65" t="str">
        <f>IF(ISBLANK(JP!L69),"","x")</f>
        <v/>
      </c>
      <c r="N65" t="str">
        <f>IF(ISBLANK(JP!M69),"","x")</f>
        <v/>
      </c>
      <c r="O65" t="str">
        <f>IF(ISBLANK(JP!N69),"","x")</f>
        <v/>
      </c>
      <c r="P65" t="str">
        <f>IF(ISBLANK(JP!O69),"","x")</f>
        <v/>
      </c>
      <c r="Q65" t="str">
        <f>IF(ISBLANK(JP!P69),"","x")</f>
        <v/>
      </c>
      <c r="R65" t="str">
        <f>IF(ISBLANK(JP!Q69),"","x")</f>
        <v>x</v>
      </c>
      <c r="S65" t="str">
        <f>IF(ISBLANK(JP!R69),"","x")</f>
        <v/>
      </c>
      <c r="T65" t="str">
        <f>IF(ISBLANK(JP!T69),"","x")</f>
        <v/>
      </c>
      <c r="U65" t="str">
        <f>IF(ISBLANK(JP!U69),"","x")</f>
        <v/>
      </c>
      <c r="V65" t="str">
        <f>IF(ISBLANK(JP!V69),"","x")</f>
        <v/>
      </c>
      <c r="W65" t="str">
        <f>IF(ISBLANK(JP!W69),"","x")</f>
        <v/>
      </c>
      <c r="X65" t="str">
        <f>IF(ISBLANK(JP!X69),"","x")</f>
        <v/>
      </c>
      <c r="Y65" t="str">
        <f>IF(ISBLANK(JP!Y69),"","x")</f>
        <v/>
      </c>
      <c r="Z65" t="str">
        <f>IF(ISBLANK(JP!Z69),"","x")</f>
        <v/>
      </c>
      <c r="AA65" t="str">
        <f>IF(ISBLANK(JP!AB69),"","x")</f>
        <v/>
      </c>
      <c r="AB65" t="str">
        <f>IF(ISBLANK(JP!AC69),"","x")</f>
        <v/>
      </c>
      <c r="AC65" t="str">
        <f>IF(ISBLANK(JP!AD69),"","x")</f>
        <v/>
      </c>
      <c r="AD65" t="str">
        <f>IF(ISBLANK(JP!AE69),"","x")</f>
        <v/>
      </c>
      <c r="AE65" t="str">
        <f>IF(ISBLANK(JP!AF69),"","x")</f>
        <v/>
      </c>
      <c r="AF65" t="str">
        <f>IF(ISBLANK(JP!AG69),"","x")</f>
        <v/>
      </c>
      <c r="AG65" t="str">
        <f>IF(ISBLANK(JP!AH69),"","x")</f>
        <v/>
      </c>
      <c r="AH65" t="str">
        <f>IF(ISBLANK(JP!AJ69),"","x")</f>
        <v/>
      </c>
      <c r="AI65" t="str">
        <f>IF(ISBLANK(JP!AK69),"","x")</f>
        <v/>
      </c>
      <c r="AJ65" t="str">
        <f>IF(ISBLANK(JP!AL69),"","x")</f>
        <v/>
      </c>
      <c r="AK65" t="str">
        <f>IF(ISBLANK(JP!AM69),"","x")</f>
        <v/>
      </c>
      <c r="AL65" t="str">
        <f>IF(ISBLANK(JP!AN69),"","x")</f>
        <v/>
      </c>
      <c r="AM65" t="str">
        <f>IF(ISBLANK(JP!AO69),"","x")</f>
        <v/>
      </c>
      <c r="AN65" t="str">
        <f>IF(ISBLANK(JP!AP69),"","x")</f>
        <v/>
      </c>
      <c r="AO65" t="str">
        <f>IF(ISBLANK(JP!AR69),"","x")</f>
        <v/>
      </c>
      <c r="AP65" t="str">
        <f>IF(ISBLANK(JP!AS69),"","x")</f>
        <v/>
      </c>
      <c r="AQ65" t="str">
        <f>IF(ISBLANK(JP!AT69),"","x")</f>
        <v/>
      </c>
      <c r="AR65" t="str">
        <f>IF(ISBLANK(JP!AU69),"","x")</f>
        <v/>
      </c>
      <c r="AS65" t="str">
        <f>IF(ISBLANK(JP!AV69),"","x")</f>
        <v/>
      </c>
      <c r="AT65" t="str">
        <f>IF(ISBLANK(JP!AW69),"","x")</f>
        <v/>
      </c>
      <c r="AU65" t="str">
        <f>IF(ISBLANK(JP!AX69),"","x")</f>
        <v/>
      </c>
    </row>
    <row r="66" spans="2:47">
      <c r="B66">
        <f>IF(ISBLANK(JP!AZ70),"",JP!AZ70)</f>
        <v>10028964</v>
      </c>
      <c r="C66" t="str">
        <f>IF(ISBLANK(JP!BA70),"",JP!BA70)</f>
        <v>1588 LE PTE LTD</v>
      </c>
      <c r="D66" t="str">
        <f>IF(ISBLANK(JP!BC70),"",JP!BC70)</f>
        <v>158B RIVERVALE CRESCENT</v>
      </c>
      <c r="E66">
        <f>IF(ISBLANK(JP!BB70),"",JP!BB70)</f>
        <v>1</v>
      </c>
      <c r="F66" t="str">
        <f>IF(ISBLANK(JP!D70),"","x")</f>
        <v/>
      </c>
      <c r="G66" t="str">
        <f>IF(ISBLANK(JP!E70),"","x")</f>
        <v/>
      </c>
      <c r="H66" t="str">
        <f>IF(ISBLANK(JP!F70),"","x")</f>
        <v/>
      </c>
      <c r="I66" t="str">
        <f>IF(ISBLANK(JP!G70),"","x")</f>
        <v/>
      </c>
      <c r="J66" t="str">
        <f>IF(ISBLANK(JP!H70),"","x")</f>
        <v/>
      </c>
      <c r="K66" t="str">
        <f>IF(ISBLANK(JP!I70),"","x")</f>
        <v/>
      </c>
      <c r="L66" t="str">
        <f>IF(ISBLANK(JP!J70),"","x")</f>
        <v/>
      </c>
      <c r="M66" t="str">
        <f>IF(ISBLANK(JP!L70),"","x")</f>
        <v/>
      </c>
      <c r="N66" t="str">
        <f>IF(ISBLANK(JP!M70),"","x")</f>
        <v/>
      </c>
      <c r="O66" t="str">
        <f>IF(ISBLANK(JP!N70),"","x")</f>
        <v/>
      </c>
      <c r="P66" t="str">
        <f>IF(ISBLANK(JP!O70),"","x")</f>
        <v/>
      </c>
      <c r="Q66" t="str">
        <f>IF(ISBLANK(JP!P70),"","x")</f>
        <v/>
      </c>
      <c r="R66" t="str">
        <f>IF(ISBLANK(JP!Q70),"","x")</f>
        <v/>
      </c>
      <c r="S66" t="str">
        <f>IF(ISBLANK(JP!R70),"","x")</f>
        <v/>
      </c>
      <c r="T66" t="str">
        <f>IF(ISBLANK(JP!T70),"","x")</f>
        <v/>
      </c>
      <c r="U66" t="str">
        <f>IF(ISBLANK(JP!U70),"","x")</f>
        <v/>
      </c>
      <c r="V66" t="str">
        <f>IF(ISBLANK(JP!V70),"","x")</f>
        <v>x</v>
      </c>
      <c r="W66" t="str">
        <f>IF(ISBLANK(JP!W70),"","x")</f>
        <v/>
      </c>
      <c r="X66" t="str">
        <f>IF(ISBLANK(JP!X70),"","x")</f>
        <v/>
      </c>
      <c r="Y66" t="str">
        <f>IF(ISBLANK(JP!Y70),"","x")</f>
        <v/>
      </c>
      <c r="Z66" t="str">
        <f>IF(ISBLANK(JP!Z70),"","x")</f>
        <v/>
      </c>
      <c r="AA66" t="str">
        <f>IF(ISBLANK(JP!AB70),"","x")</f>
        <v/>
      </c>
      <c r="AB66" t="str">
        <f>IF(ISBLANK(JP!AC70),"","x")</f>
        <v/>
      </c>
      <c r="AC66" t="str">
        <f>IF(ISBLANK(JP!AD70),"","x")</f>
        <v/>
      </c>
      <c r="AD66" t="str">
        <f>IF(ISBLANK(JP!AE70),"","x")</f>
        <v/>
      </c>
      <c r="AE66" t="str">
        <f>IF(ISBLANK(JP!AF70),"","x")</f>
        <v/>
      </c>
      <c r="AF66" t="str">
        <f>IF(ISBLANK(JP!AG70),"","x")</f>
        <v/>
      </c>
      <c r="AG66" t="str">
        <f>IF(ISBLANK(JP!AH70),"","x")</f>
        <v/>
      </c>
      <c r="AH66" t="str">
        <f>IF(ISBLANK(JP!AJ70),"","x")</f>
        <v/>
      </c>
      <c r="AI66" t="str">
        <f>IF(ISBLANK(JP!AK70),"","x")</f>
        <v/>
      </c>
      <c r="AJ66" t="str">
        <f>IF(ISBLANK(JP!AL70),"","x")</f>
        <v/>
      </c>
      <c r="AK66" t="str">
        <f>IF(ISBLANK(JP!AM70),"","x")</f>
        <v/>
      </c>
      <c r="AL66" t="str">
        <f>IF(ISBLANK(JP!AN70),"","x")</f>
        <v/>
      </c>
      <c r="AM66" t="str">
        <f>IF(ISBLANK(JP!AO70),"","x")</f>
        <v/>
      </c>
      <c r="AN66" t="str">
        <f>IF(ISBLANK(JP!AP70),"","x")</f>
        <v/>
      </c>
      <c r="AO66" t="str">
        <f>IF(ISBLANK(JP!AR70),"","x")</f>
        <v/>
      </c>
      <c r="AP66" t="str">
        <f>IF(ISBLANK(JP!AS70),"","x")</f>
        <v/>
      </c>
      <c r="AQ66" t="str">
        <f>IF(ISBLANK(JP!AT70),"","x")</f>
        <v/>
      </c>
      <c r="AR66" t="str">
        <f>IF(ISBLANK(JP!AU70),"","x")</f>
        <v/>
      </c>
      <c r="AS66" t="str">
        <f>IF(ISBLANK(JP!AV70),"","x")</f>
        <v/>
      </c>
      <c r="AT66" t="str">
        <f>IF(ISBLANK(JP!AW70),"","x")</f>
        <v/>
      </c>
      <c r="AU66" t="str">
        <f>IF(ISBLANK(JP!AX70),"","x")</f>
        <v/>
      </c>
    </row>
    <row r="67" spans="2:47">
      <c r="B67">
        <f>IF(ISBLANK(JP!AZ71),"",JP!AZ71)</f>
        <v>10017231</v>
      </c>
      <c r="C67" t="str">
        <f>IF(ISBLANK(JP!BA71),"",JP!BA71)</f>
        <v>ANCHORVALE M/MART (303)</v>
      </c>
      <c r="D67" t="str">
        <f>IF(ISBLANK(JP!BC71),"",JP!BC71)</f>
        <v>303 ANCHORVALE LINK</v>
      </c>
      <c r="E67">
        <f>IF(ISBLANK(JP!BB71),"",JP!BB71)</f>
        <v>1</v>
      </c>
      <c r="F67" t="str">
        <f>IF(ISBLANK(JP!D71),"","x")</f>
        <v/>
      </c>
      <c r="G67" t="str">
        <f>IF(ISBLANK(JP!E71),"","x")</f>
        <v/>
      </c>
      <c r="H67" t="str">
        <f>IF(ISBLANK(JP!F71),"","x")</f>
        <v/>
      </c>
      <c r="I67" t="str">
        <f>IF(ISBLANK(JP!G71),"","x")</f>
        <v/>
      </c>
      <c r="J67" t="str">
        <f>IF(ISBLANK(JP!H71),"","x")</f>
        <v/>
      </c>
      <c r="K67" t="str">
        <f>IF(ISBLANK(JP!I71),"","x")</f>
        <v/>
      </c>
      <c r="L67" t="str">
        <f>IF(ISBLANK(JP!J71),"","x")</f>
        <v/>
      </c>
      <c r="M67" t="str">
        <f>IF(ISBLANK(JP!L71),"","x")</f>
        <v/>
      </c>
      <c r="N67" t="str">
        <f>IF(ISBLANK(JP!M71),"","x")</f>
        <v/>
      </c>
      <c r="O67" t="str">
        <f>IF(ISBLANK(JP!N71),"","x")</f>
        <v/>
      </c>
      <c r="P67" t="str">
        <f>IF(ISBLANK(JP!O71),"","x")</f>
        <v/>
      </c>
      <c r="Q67" t="str">
        <f>IF(ISBLANK(JP!P71),"","x")</f>
        <v/>
      </c>
      <c r="R67" t="str">
        <f>IF(ISBLANK(JP!Q71),"","x")</f>
        <v/>
      </c>
      <c r="S67" t="str">
        <f>IF(ISBLANK(JP!R71),"","x")</f>
        <v/>
      </c>
      <c r="T67" t="str">
        <f>IF(ISBLANK(JP!T71),"","x")</f>
        <v/>
      </c>
      <c r="U67" t="str">
        <f>IF(ISBLANK(JP!U71),"","x")</f>
        <v/>
      </c>
      <c r="V67" t="str">
        <f>IF(ISBLANK(JP!V71),"","x")</f>
        <v/>
      </c>
      <c r="W67" t="str">
        <f>IF(ISBLANK(JP!W71),"","x")</f>
        <v/>
      </c>
      <c r="X67" t="str">
        <f>IF(ISBLANK(JP!X71),"","x")</f>
        <v/>
      </c>
      <c r="Y67" t="str">
        <f>IF(ISBLANK(JP!Y71),"","x")</f>
        <v>x</v>
      </c>
      <c r="Z67" t="str">
        <f>IF(ISBLANK(JP!Z71),"","x")</f>
        <v/>
      </c>
      <c r="AA67" t="str">
        <f>IF(ISBLANK(JP!AB71),"","x")</f>
        <v/>
      </c>
      <c r="AB67" t="str">
        <f>IF(ISBLANK(JP!AC71),"","x")</f>
        <v/>
      </c>
      <c r="AC67" t="str">
        <f>IF(ISBLANK(JP!AD71),"","x")</f>
        <v/>
      </c>
      <c r="AD67" t="str">
        <f>IF(ISBLANK(JP!AE71),"","x")</f>
        <v/>
      </c>
      <c r="AE67" t="str">
        <f>IF(ISBLANK(JP!AF71),"","x")</f>
        <v/>
      </c>
      <c r="AF67" t="str">
        <f>IF(ISBLANK(JP!AG71),"","x")</f>
        <v/>
      </c>
      <c r="AG67" t="str">
        <f>IF(ISBLANK(JP!AH71),"","x")</f>
        <v/>
      </c>
      <c r="AH67" t="str">
        <f>IF(ISBLANK(JP!AJ71),"","x")</f>
        <v/>
      </c>
      <c r="AI67" t="str">
        <f>IF(ISBLANK(JP!AK71),"","x")</f>
        <v/>
      </c>
      <c r="AJ67" t="str">
        <f>IF(ISBLANK(JP!AL71),"","x")</f>
        <v/>
      </c>
      <c r="AK67" t="str">
        <f>IF(ISBLANK(JP!AM71),"","x")</f>
        <v/>
      </c>
      <c r="AL67" t="str">
        <f>IF(ISBLANK(JP!AN71),"","x")</f>
        <v/>
      </c>
      <c r="AM67" t="str">
        <f>IF(ISBLANK(JP!AO71),"","x")</f>
        <v/>
      </c>
      <c r="AN67" t="str">
        <f>IF(ISBLANK(JP!AP71),"","x")</f>
        <v/>
      </c>
      <c r="AO67" t="str">
        <f>IF(ISBLANK(JP!AR71),"","x")</f>
        <v/>
      </c>
      <c r="AP67" t="str">
        <f>IF(ISBLANK(JP!AS71),"","x")</f>
        <v/>
      </c>
      <c r="AQ67" t="str">
        <f>IF(ISBLANK(JP!AT71),"","x")</f>
        <v/>
      </c>
      <c r="AR67" t="str">
        <f>IF(ISBLANK(JP!AU71),"","x")</f>
        <v/>
      </c>
      <c r="AS67" t="str">
        <f>IF(ISBLANK(JP!AV71),"","x")</f>
        <v/>
      </c>
      <c r="AT67" t="str">
        <f>IF(ISBLANK(JP!AW71),"","x")</f>
        <v/>
      </c>
      <c r="AU67" t="str">
        <f>IF(ISBLANK(JP!AX71),"","x")</f>
        <v/>
      </c>
    </row>
    <row r="68" spans="2:47">
      <c r="B68">
        <f>IF(ISBLANK(JP!AZ72),"",JP!AZ72)</f>
        <v>10043580</v>
      </c>
      <c r="C68" t="str">
        <f>IF(ISBLANK(JP!BA72),"",JP!BA72)</f>
        <v>U STARS SUPERMARKET (COMPASSVALE)</v>
      </c>
      <c r="D68" t="str">
        <f>IF(ISBLANK(JP!BC72),"",JP!BC72)</f>
        <v>215C COMPASSVALE DRIVE</v>
      </c>
      <c r="E68">
        <f>IF(ISBLANK(JP!BB72),"",JP!BB72)</f>
        <v>2</v>
      </c>
      <c r="F68" t="str">
        <f>IF(ISBLANK(JP!D72),"","x")</f>
        <v/>
      </c>
      <c r="G68" t="str">
        <f>IF(ISBLANK(JP!E72),"","x")</f>
        <v/>
      </c>
      <c r="H68" t="str">
        <f>IF(ISBLANK(JP!F72),"","x")</f>
        <v/>
      </c>
      <c r="I68" t="str">
        <f>IF(ISBLANK(JP!G72),"","x")</f>
        <v/>
      </c>
      <c r="J68" t="str">
        <f>IF(ISBLANK(JP!H72),"","x")</f>
        <v/>
      </c>
      <c r="K68" t="str">
        <f>IF(ISBLANK(JP!I72),"","x")</f>
        <v/>
      </c>
      <c r="L68" t="str">
        <f>IF(ISBLANK(JP!J72),"","x")</f>
        <v/>
      </c>
      <c r="M68" t="str">
        <f>IF(ISBLANK(JP!L72),"","x")</f>
        <v/>
      </c>
      <c r="N68" t="str">
        <f>IF(ISBLANK(JP!M72),"","x")</f>
        <v/>
      </c>
      <c r="O68" t="str">
        <f>IF(ISBLANK(JP!N72),"","x")</f>
        <v/>
      </c>
      <c r="P68" t="str">
        <f>IF(ISBLANK(JP!O72),"","x")</f>
        <v/>
      </c>
      <c r="Q68" t="str">
        <f>IF(ISBLANK(JP!P72),"","x")</f>
        <v/>
      </c>
      <c r="R68" t="str">
        <f>IF(ISBLANK(JP!Q72),"","x")</f>
        <v/>
      </c>
      <c r="S68" t="str">
        <f>IF(ISBLANK(JP!R72),"","x")</f>
        <v/>
      </c>
      <c r="T68" t="str">
        <f>IF(ISBLANK(JP!T72),"","x")</f>
        <v/>
      </c>
      <c r="U68" t="str">
        <f>IF(ISBLANK(JP!U72),"","x")</f>
        <v/>
      </c>
      <c r="V68" t="str">
        <f>IF(ISBLANK(JP!V72),"","x")</f>
        <v/>
      </c>
      <c r="W68" t="str">
        <f>IF(ISBLANK(JP!W72),"","x")</f>
        <v/>
      </c>
      <c r="X68" t="str">
        <f>IF(ISBLANK(JP!X72),"","x")</f>
        <v/>
      </c>
      <c r="Y68" t="str">
        <f>IF(ISBLANK(JP!Y72),"","x")</f>
        <v/>
      </c>
      <c r="Z68" t="str">
        <f>IF(ISBLANK(JP!Z72),"","x")</f>
        <v/>
      </c>
      <c r="AA68" t="str">
        <f>IF(ISBLANK(JP!AB72),"","x")</f>
        <v/>
      </c>
      <c r="AB68" t="str">
        <f>IF(ISBLANK(JP!AC72),"","x")</f>
        <v/>
      </c>
      <c r="AC68" t="str">
        <f>IF(ISBLANK(JP!AD72),"","x")</f>
        <v>x</v>
      </c>
      <c r="AD68" t="str">
        <f>IF(ISBLANK(JP!AE72),"","x")</f>
        <v/>
      </c>
      <c r="AE68" t="str">
        <f>IF(ISBLANK(JP!AF72),"","x")</f>
        <v/>
      </c>
      <c r="AF68" t="str">
        <f>IF(ISBLANK(JP!AG72),"","x")</f>
        <v/>
      </c>
      <c r="AG68" t="str">
        <f>IF(ISBLANK(JP!AH72),"","x")</f>
        <v/>
      </c>
      <c r="AH68" t="str">
        <f>IF(ISBLANK(JP!AJ72),"","x")</f>
        <v/>
      </c>
      <c r="AI68" t="str">
        <f>IF(ISBLANK(JP!AK72),"","x")</f>
        <v/>
      </c>
      <c r="AJ68" t="str">
        <f>IF(ISBLANK(JP!AL72),"","x")</f>
        <v/>
      </c>
      <c r="AK68" t="str">
        <f>IF(ISBLANK(JP!AM72),"","x")</f>
        <v/>
      </c>
      <c r="AL68" t="str">
        <f>IF(ISBLANK(JP!AN72),"","x")</f>
        <v/>
      </c>
      <c r="AM68" t="str">
        <f>IF(ISBLANK(JP!AO72),"","x")</f>
        <v/>
      </c>
      <c r="AN68" t="str">
        <f>IF(ISBLANK(JP!AP72),"","x")</f>
        <v/>
      </c>
      <c r="AO68" t="str">
        <f>IF(ISBLANK(JP!AR72),"","x")</f>
        <v/>
      </c>
      <c r="AP68" t="str">
        <f>IF(ISBLANK(JP!AS72),"","x")</f>
        <v/>
      </c>
      <c r="AQ68" t="str">
        <f>IF(ISBLANK(JP!AT72),"","x")</f>
        <v/>
      </c>
      <c r="AR68" t="str">
        <f>IF(ISBLANK(JP!AU72),"","x")</f>
        <v/>
      </c>
      <c r="AS68" t="str">
        <f>IF(ISBLANK(JP!AV72),"","x")</f>
        <v/>
      </c>
      <c r="AT68" t="str">
        <f>IF(ISBLANK(JP!AW72),"","x")</f>
        <v/>
      </c>
      <c r="AU68" t="str">
        <f>IF(ISBLANK(JP!AX72),"","x")</f>
        <v/>
      </c>
    </row>
    <row r="69" spans="2:47">
      <c r="B69">
        <f>IF(ISBLANK(JP!AZ73),"",JP!AZ73)</f>
        <v>10014958</v>
      </c>
      <c r="C69" t="str">
        <f>IF(ISBLANK(JP!BA73),"",JP!BA73)</f>
        <v>ZONE MINIMART (COMPASSVALE)</v>
      </c>
      <c r="D69" t="str">
        <f>IF(ISBLANK(JP!BC73),"",JP!BC73)</f>
        <v>205D COMPASSVALE LANE</v>
      </c>
      <c r="E69">
        <f>IF(ISBLANK(JP!BB73),"",JP!BB73)</f>
        <v>1</v>
      </c>
      <c r="F69" t="str">
        <f>IF(ISBLANK(JP!D73),"","x")</f>
        <v/>
      </c>
      <c r="G69" t="str">
        <f>IF(ISBLANK(JP!E73),"","x")</f>
        <v/>
      </c>
      <c r="H69" t="str">
        <f>IF(ISBLANK(JP!F73),"","x")</f>
        <v/>
      </c>
      <c r="I69" t="str">
        <f>IF(ISBLANK(JP!G73),"","x")</f>
        <v/>
      </c>
      <c r="J69" t="str">
        <f>IF(ISBLANK(JP!H73),"","x")</f>
        <v/>
      </c>
      <c r="K69" t="str">
        <f>IF(ISBLANK(JP!I73),"","x")</f>
        <v/>
      </c>
      <c r="L69" t="str">
        <f>IF(ISBLANK(JP!J73),"","x")</f>
        <v/>
      </c>
      <c r="M69" t="str">
        <f>IF(ISBLANK(JP!L73),"","x")</f>
        <v/>
      </c>
      <c r="N69" t="str">
        <f>IF(ISBLANK(JP!M73),"","x")</f>
        <v/>
      </c>
      <c r="O69" t="str">
        <f>IF(ISBLANK(JP!N73),"","x")</f>
        <v/>
      </c>
      <c r="P69" t="str">
        <f>IF(ISBLANK(JP!O73),"","x")</f>
        <v/>
      </c>
      <c r="Q69" t="str">
        <f>IF(ISBLANK(JP!P73),"","x")</f>
        <v/>
      </c>
      <c r="R69" t="str">
        <f>IF(ISBLANK(JP!Q73),"","x")</f>
        <v/>
      </c>
      <c r="S69" t="str">
        <f>IF(ISBLANK(JP!R73),"","x")</f>
        <v/>
      </c>
      <c r="T69" t="str">
        <f>IF(ISBLANK(JP!T73),"","x")</f>
        <v/>
      </c>
      <c r="U69" t="str">
        <f>IF(ISBLANK(JP!U73),"","x")</f>
        <v/>
      </c>
      <c r="V69" t="str">
        <f>IF(ISBLANK(JP!V73),"","x")</f>
        <v/>
      </c>
      <c r="W69" t="str">
        <f>IF(ISBLANK(JP!W73),"","x")</f>
        <v/>
      </c>
      <c r="X69" t="str">
        <f>IF(ISBLANK(JP!X73),"","x")</f>
        <v/>
      </c>
      <c r="Y69" t="str">
        <f>IF(ISBLANK(JP!Y73),"","x")</f>
        <v/>
      </c>
      <c r="Z69" t="str">
        <f>IF(ISBLANK(JP!Z73),"","x")</f>
        <v/>
      </c>
      <c r="AA69" t="str">
        <f>IF(ISBLANK(JP!AB73),"","x")</f>
        <v/>
      </c>
      <c r="AB69" t="str">
        <f>IF(ISBLANK(JP!AC73),"","x")</f>
        <v/>
      </c>
      <c r="AC69" t="str">
        <f>IF(ISBLANK(JP!AD73),"","x")</f>
        <v/>
      </c>
      <c r="AD69" t="str">
        <f>IF(ISBLANK(JP!AE73),"","x")</f>
        <v>x</v>
      </c>
      <c r="AE69" t="str">
        <f>IF(ISBLANK(JP!AF73),"","x")</f>
        <v/>
      </c>
      <c r="AF69" t="str">
        <f>IF(ISBLANK(JP!AG73),"","x")</f>
        <v/>
      </c>
      <c r="AG69" t="str">
        <f>IF(ISBLANK(JP!AH73),"","x")</f>
        <v/>
      </c>
      <c r="AH69" t="str">
        <f>IF(ISBLANK(JP!AJ73),"","x")</f>
        <v/>
      </c>
      <c r="AI69" t="str">
        <f>IF(ISBLANK(JP!AK73),"","x")</f>
        <v/>
      </c>
      <c r="AJ69" t="str">
        <f>IF(ISBLANK(JP!AL73),"","x")</f>
        <v/>
      </c>
      <c r="AK69" t="str">
        <f>IF(ISBLANK(JP!AM73),"","x")</f>
        <v/>
      </c>
      <c r="AL69" t="str">
        <f>IF(ISBLANK(JP!AN73),"","x")</f>
        <v/>
      </c>
      <c r="AM69" t="str">
        <f>IF(ISBLANK(JP!AO73),"","x")</f>
        <v/>
      </c>
      <c r="AN69" t="str">
        <f>IF(ISBLANK(JP!AP73),"","x")</f>
        <v/>
      </c>
      <c r="AO69" t="str">
        <f>IF(ISBLANK(JP!AR73),"","x")</f>
        <v/>
      </c>
      <c r="AP69" t="str">
        <f>IF(ISBLANK(JP!AS73),"","x")</f>
        <v/>
      </c>
      <c r="AQ69" t="str">
        <f>IF(ISBLANK(JP!AT73),"","x")</f>
        <v/>
      </c>
      <c r="AR69" t="str">
        <f>IF(ISBLANK(JP!AU73),"","x")</f>
        <v/>
      </c>
      <c r="AS69" t="str">
        <f>IF(ISBLANK(JP!AV73),"","x")</f>
        <v/>
      </c>
      <c r="AT69" t="str">
        <f>IF(ISBLANK(JP!AW73),"","x")</f>
        <v/>
      </c>
      <c r="AU69" t="str">
        <f>IF(ISBLANK(JP!AX73),"","x")</f>
        <v/>
      </c>
    </row>
    <row r="70" spans="2:47">
      <c r="B70">
        <f>IF(ISBLANK(JP!AZ74),"",JP!AZ74)</f>
        <v>10044458</v>
      </c>
      <c r="C70" t="str">
        <f>IF(ISBLANK(JP!BA74),"",JP!BA74)</f>
        <v>EZ HOME PRODUCTS PTE. LTD.(SENGKANG)</v>
      </c>
      <c r="D70" t="str">
        <f>IF(ISBLANK(JP!BC74),"",JP!BC74)</f>
        <v>10 SENGKANG SQUARE</v>
      </c>
      <c r="E70">
        <f>IF(ISBLANK(JP!BB74),"",JP!BB74)</f>
        <v>1</v>
      </c>
      <c r="F70" t="str">
        <f>IF(ISBLANK(JP!D74),"","x")</f>
        <v/>
      </c>
      <c r="G70" t="str">
        <f>IF(ISBLANK(JP!E74),"","x")</f>
        <v/>
      </c>
      <c r="H70" t="str">
        <f>IF(ISBLANK(JP!F74),"","x")</f>
        <v/>
      </c>
      <c r="I70" t="str">
        <f>IF(ISBLANK(JP!G74),"","x")</f>
        <v/>
      </c>
      <c r="J70" t="str">
        <f>IF(ISBLANK(JP!H74),"","x")</f>
        <v/>
      </c>
      <c r="K70" t="str">
        <f>IF(ISBLANK(JP!I74),"","x")</f>
        <v/>
      </c>
      <c r="L70" t="str">
        <f>IF(ISBLANK(JP!J74),"","x")</f>
        <v/>
      </c>
      <c r="M70" t="str">
        <f>IF(ISBLANK(JP!L74),"","x")</f>
        <v/>
      </c>
      <c r="N70" t="str">
        <f>IF(ISBLANK(JP!M74),"","x")</f>
        <v/>
      </c>
      <c r="O70" t="str">
        <f>IF(ISBLANK(JP!N74),"","x")</f>
        <v/>
      </c>
      <c r="P70" t="str">
        <f>IF(ISBLANK(JP!O74),"","x")</f>
        <v/>
      </c>
      <c r="Q70" t="str">
        <f>IF(ISBLANK(JP!P74),"","x")</f>
        <v/>
      </c>
      <c r="R70" t="str">
        <f>IF(ISBLANK(JP!Q74),"","x")</f>
        <v/>
      </c>
      <c r="S70" t="str">
        <f>IF(ISBLANK(JP!R74),"","x")</f>
        <v/>
      </c>
      <c r="T70" t="str">
        <f>IF(ISBLANK(JP!T74),"","x")</f>
        <v/>
      </c>
      <c r="U70" t="str">
        <f>IF(ISBLANK(JP!U74),"","x")</f>
        <v/>
      </c>
      <c r="V70" t="str">
        <f>IF(ISBLANK(JP!V74),"","x")</f>
        <v/>
      </c>
      <c r="W70" t="str">
        <f>IF(ISBLANK(JP!W74),"","x")</f>
        <v/>
      </c>
      <c r="X70" t="str">
        <f>IF(ISBLANK(JP!X74),"","x")</f>
        <v/>
      </c>
      <c r="Y70" t="str">
        <f>IF(ISBLANK(JP!Y74),"","x")</f>
        <v/>
      </c>
      <c r="Z70" t="str">
        <f>IF(ISBLANK(JP!Z74),"","x")</f>
        <v/>
      </c>
      <c r="AA70" t="str">
        <f>IF(ISBLANK(JP!AB74),"","x")</f>
        <v/>
      </c>
      <c r="AB70" t="str">
        <f>IF(ISBLANK(JP!AC74),"","x")</f>
        <v/>
      </c>
      <c r="AC70" t="str">
        <f>IF(ISBLANK(JP!AD74),"","x")</f>
        <v/>
      </c>
      <c r="AD70" t="str">
        <f>IF(ISBLANK(JP!AE74),"","x")</f>
        <v>x</v>
      </c>
      <c r="AE70" t="str">
        <f>IF(ISBLANK(JP!AF74),"","x")</f>
        <v/>
      </c>
      <c r="AF70" t="str">
        <f>IF(ISBLANK(JP!AG74),"","x")</f>
        <v/>
      </c>
      <c r="AG70" t="str">
        <f>IF(ISBLANK(JP!AH74),"","x")</f>
        <v/>
      </c>
      <c r="AH70" t="str">
        <f>IF(ISBLANK(JP!AJ74),"","x")</f>
        <v/>
      </c>
      <c r="AI70" t="str">
        <f>IF(ISBLANK(JP!AK74),"","x")</f>
        <v/>
      </c>
      <c r="AJ70" t="str">
        <f>IF(ISBLANK(JP!AL74),"","x")</f>
        <v/>
      </c>
      <c r="AK70" t="str">
        <f>IF(ISBLANK(JP!AM74),"","x")</f>
        <v/>
      </c>
      <c r="AL70" t="str">
        <f>IF(ISBLANK(JP!AN74),"","x")</f>
        <v/>
      </c>
      <c r="AM70" t="str">
        <f>IF(ISBLANK(JP!AO74),"","x")</f>
        <v/>
      </c>
      <c r="AN70" t="str">
        <f>IF(ISBLANK(JP!AP74),"","x")</f>
        <v/>
      </c>
      <c r="AO70" t="str">
        <f>IF(ISBLANK(JP!AR74),"","x")</f>
        <v/>
      </c>
      <c r="AP70" t="str">
        <f>IF(ISBLANK(JP!AS74),"","x")</f>
        <v/>
      </c>
      <c r="AQ70" t="str">
        <f>IF(ISBLANK(JP!AT74),"","x")</f>
        <v/>
      </c>
      <c r="AR70" t="str">
        <f>IF(ISBLANK(JP!AU74),"","x")</f>
        <v/>
      </c>
      <c r="AS70" t="str">
        <f>IF(ISBLANK(JP!AV74),"","x")</f>
        <v/>
      </c>
      <c r="AT70" t="str">
        <f>IF(ISBLANK(JP!AW74),"","x")</f>
        <v/>
      </c>
      <c r="AU70" t="str">
        <f>IF(ISBLANK(JP!AX74),"","x")</f>
        <v/>
      </c>
    </row>
    <row r="71" spans="2:47">
      <c r="B71">
        <f>IF(ISBLANK(JP!AZ75),"",JP!AZ75)</f>
        <v>10045350</v>
      </c>
      <c r="C71" t="str">
        <f>IF(ISBLANK(JP!BA75),"",JP!BA75)</f>
        <v>SANCHEZ LIMOUSINE SERVICE</v>
      </c>
      <c r="D71" t="str">
        <f>IF(ISBLANK(JP!BC75),"",JP!BC75)</f>
        <v>35 ANCHORVALE STREET</v>
      </c>
      <c r="E71">
        <f>IF(ISBLANK(JP!BB75),"",JP!BB75)</f>
        <v>1</v>
      </c>
      <c r="F71" t="str">
        <f>IF(ISBLANK(JP!D75),"","x")</f>
        <v/>
      </c>
      <c r="G71" t="str">
        <f>IF(ISBLANK(JP!E75),"","x")</f>
        <v/>
      </c>
      <c r="H71" t="str">
        <f>IF(ISBLANK(JP!F75),"","x")</f>
        <v/>
      </c>
      <c r="I71" t="str">
        <f>IF(ISBLANK(JP!G75),"","x")</f>
        <v/>
      </c>
      <c r="J71" t="str">
        <f>IF(ISBLANK(JP!H75),"","x")</f>
        <v/>
      </c>
      <c r="K71" t="str">
        <f>IF(ISBLANK(JP!I75),"","x")</f>
        <v/>
      </c>
      <c r="L71" t="str">
        <f>IF(ISBLANK(JP!J75),"","x")</f>
        <v/>
      </c>
      <c r="M71" t="str">
        <f>IF(ISBLANK(JP!L75),"","x")</f>
        <v/>
      </c>
      <c r="N71" t="str">
        <f>IF(ISBLANK(JP!M75),"","x")</f>
        <v/>
      </c>
      <c r="O71" t="str">
        <f>IF(ISBLANK(JP!N75),"","x")</f>
        <v/>
      </c>
      <c r="P71" t="str">
        <f>IF(ISBLANK(JP!O75),"","x")</f>
        <v/>
      </c>
      <c r="Q71" t="str">
        <f>IF(ISBLANK(JP!P75),"","x")</f>
        <v/>
      </c>
      <c r="R71" t="str">
        <f>IF(ISBLANK(JP!Q75),"","x")</f>
        <v/>
      </c>
      <c r="S71" t="str">
        <f>IF(ISBLANK(JP!R75),"","x")</f>
        <v/>
      </c>
      <c r="T71" t="str">
        <f>IF(ISBLANK(JP!T75),"","x")</f>
        <v/>
      </c>
      <c r="U71" t="str">
        <f>IF(ISBLANK(JP!U75),"","x")</f>
        <v/>
      </c>
      <c r="V71" t="str">
        <f>IF(ISBLANK(JP!V75),"","x")</f>
        <v/>
      </c>
      <c r="W71" t="str">
        <f>IF(ISBLANK(JP!W75),"","x")</f>
        <v/>
      </c>
      <c r="X71" t="str">
        <f>IF(ISBLANK(JP!X75),"","x")</f>
        <v/>
      </c>
      <c r="Y71" t="str">
        <f>IF(ISBLANK(JP!Y75),"","x")</f>
        <v/>
      </c>
      <c r="Z71" t="str">
        <f>IF(ISBLANK(JP!Z75),"","x")</f>
        <v/>
      </c>
      <c r="AA71" t="str">
        <f>IF(ISBLANK(JP!AB75),"","x")</f>
        <v/>
      </c>
      <c r="AB71" t="str">
        <f>IF(ISBLANK(JP!AC75),"","x")</f>
        <v/>
      </c>
      <c r="AC71" t="str">
        <f>IF(ISBLANK(JP!AD75),"","x")</f>
        <v/>
      </c>
      <c r="AD71" t="str">
        <f>IF(ISBLANK(JP!AE75),"","x")</f>
        <v/>
      </c>
      <c r="AE71" t="str">
        <f>IF(ISBLANK(JP!AF75),"","x")</f>
        <v/>
      </c>
      <c r="AF71" t="str">
        <f>IF(ISBLANK(JP!AG75),"","x")</f>
        <v/>
      </c>
      <c r="AG71" t="str">
        <f>IF(ISBLANK(JP!AH75),"","x")</f>
        <v/>
      </c>
      <c r="AH71" t="str">
        <f>IF(ISBLANK(JP!AJ75),"","x")</f>
        <v/>
      </c>
      <c r="AI71" t="str">
        <f>IF(ISBLANK(JP!AK75),"","x")</f>
        <v/>
      </c>
      <c r="AJ71" t="str">
        <f>IF(ISBLANK(JP!AL75),"","x")</f>
        <v>x</v>
      </c>
      <c r="AK71" t="str">
        <f>IF(ISBLANK(JP!AM75),"","x")</f>
        <v/>
      </c>
      <c r="AL71" t="str">
        <f>IF(ISBLANK(JP!AN75),"","x")</f>
        <v/>
      </c>
      <c r="AM71" t="str">
        <f>IF(ISBLANK(JP!AO75),"","x")</f>
        <v/>
      </c>
      <c r="AN71" t="str">
        <f>IF(ISBLANK(JP!AP75),"","x")</f>
        <v/>
      </c>
      <c r="AO71" t="str">
        <f>IF(ISBLANK(JP!AR75),"","x")</f>
        <v/>
      </c>
      <c r="AP71" t="str">
        <f>IF(ISBLANK(JP!AS75),"","x")</f>
        <v/>
      </c>
      <c r="AQ71" t="str">
        <f>IF(ISBLANK(JP!AT75),"","x")</f>
        <v/>
      </c>
      <c r="AR71" t="str">
        <f>IF(ISBLANK(JP!AU75),"","x")</f>
        <v/>
      </c>
      <c r="AS71" t="str">
        <f>IF(ISBLANK(JP!AV75),"","x")</f>
        <v/>
      </c>
      <c r="AT71" t="str">
        <f>IF(ISBLANK(JP!AW75),"","x")</f>
        <v/>
      </c>
      <c r="AU71" t="str">
        <f>IF(ISBLANK(JP!AX75),"","x")</f>
        <v/>
      </c>
    </row>
    <row r="72" spans="2:47">
      <c r="B72">
        <f>IF(ISBLANK(JP!AZ76),"",JP!AZ76)</f>
        <v>10044684</v>
      </c>
      <c r="C72" t="str">
        <f>IF(ISBLANK(JP!BA76),"",JP!BA76)</f>
        <v>ASHWIN SUPER MARKET</v>
      </c>
      <c r="D72" t="str">
        <f>IF(ISBLANK(JP!BC76),"",JP!BC76)</f>
        <v>176 YIO CHU KANG ROAD</v>
      </c>
      <c r="E72">
        <f>IF(ISBLANK(JP!BB76),"",JP!BB76)</f>
        <v>1</v>
      </c>
      <c r="F72" t="str">
        <f>IF(ISBLANK(JP!D76),"","x")</f>
        <v/>
      </c>
      <c r="G72" t="str">
        <f>IF(ISBLANK(JP!E76),"","x")</f>
        <v/>
      </c>
      <c r="H72" t="str">
        <f>IF(ISBLANK(JP!F76),"","x")</f>
        <v/>
      </c>
      <c r="I72" t="str">
        <f>IF(ISBLANK(JP!G76),"","x")</f>
        <v/>
      </c>
      <c r="J72" t="str">
        <f>IF(ISBLANK(JP!H76),"","x")</f>
        <v/>
      </c>
      <c r="K72" t="str">
        <f>IF(ISBLANK(JP!I76),"","x")</f>
        <v/>
      </c>
      <c r="L72" t="str">
        <f>IF(ISBLANK(JP!J76),"","x")</f>
        <v/>
      </c>
      <c r="M72" t="str">
        <f>IF(ISBLANK(JP!L76),"","x")</f>
        <v/>
      </c>
      <c r="N72" t="str">
        <f>IF(ISBLANK(JP!M76),"","x")</f>
        <v/>
      </c>
      <c r="O72" t="str">
        <f>IF(ISBLANK(JP!N76),"","x")</f>
        <v/>
      </c>
      <c r="P72" t="str">
        <f>IF(ISBLANK(JP!O76),"","x")</f>
        <v/>
      </c>
      <c r="Q72" t="str">
        <f>IF(ISBLANK(JP!P76),"","x")</f>
        <v/>
      </c>
      <c r="R72" t="str">
        <f>IF(ISBLANK(JP!Q76),"","x")</f>
        <v/>
      </c>
      <c r="S72" t="str">
        <f>IF(ISBLANK(JP!R76),"","x")</f>
        <v/>
      </c>
      <c r="T72" t="str">
        <f>IF(ISBLANK(JP!T76),"","x")</f>
        <v/>
      </c>
      <c r="U72" t="str">
        <f>IF(ISBLANK(JP!U76),"","x")</f>
        <v/>
      </c>
      <c r="V72" t="str">
        <f>IF(ISBLANK(JP!V76),"","x")</f>
        <v/>
      </c>
      <c r="W72" t="str">
        <f>IF(ISBLANK(JP!W76),"","x")</f>
        <v/>
      </c>
      <c r="X72" t="str">
        <f>IF(ISBLANK(JP!X76),"","x")</f>
        <v/>
      </c>
      <c r="Y72" t="str">
        <f>IF(ISBLANK(JP!Y76),"","x")</f>
        <v/>
      </c>
      <c r="Z72" t="str">
        <f>IF(ISBLANK(JP!Z76),"","x")</f>
        <v/>
      </c>
      <c r="AA72" t="str">
        <f>IF(ISBLANK(JP!AB76),"","x")</f>
        <v/>
      </c>
      <c r="AB72" t="str">
        <f>IF(ISBLANK(JP!AC76),"","x")</f>
        <v/>
      </c>
      <c r="AC72" t="str">
        <f>IF(ISBLANK(JP!AD76),"","x")</f>
        <v/>
      </c>
      <c r="AD72" t="str">
        <f>IF(ISBLANK(JP!AE76),"","x")</f>
        <v>x</v>
      </c>
      <c r="AE72" t="str">
        <f>IF(ISBLANK(JP!AF76),"","x")</f>
        <v/>
      </c>
      <c r="AF72" t="str">
        <f>IF(ISBLANK(JP!AG76),"","x")</f>
        <v/>
      </c>
      <c r="AG72" t="str">
        <f>IF(ISBLANK(JP!AH76),"","x")</f>
        <v/>
      </c>
      <c r="AH72" t="str">
        <f>IF(ISBLANK(JP!AJ76),"","x")</f>
        <v/>
      </c>
      <c r="AI72" t="str">
        <f>IF(ISBLANK(JP!AK76),"","x")</f>
        <v/>
      </c>
      <c r="AJ72" t="str">
        <f>IF(ISBLANK(JP!AL76),"","x")</f>
        <v/>
      </c>
      <c r="AK72" t="str">
        <f>IF(ISBLANK(JP!AM76),"","x")</f>
        <v/>
      </c>
      <c r="AL72" t="str">
        <f>IF(ISBLANK(JP!AN76),"","x")</f>
        <v/>
      </c>
      <c r="AM72" t="str">
        <f>IF(ISBLANK(JP!AO76),"","x")</f>
        <v/>
      </c>
      <c r="AN72" t="str">
        <f>IF(ISBLANK(JP!AP76),"","x")</f>
        <v/>
      </c>
      <c r="AO72" t="str">
        <f>IF(ISBLANK(JP!AR76),"","x")</f>
        <v/>
      </c>
      <c r="AP72" t="str">
        <f>IF(ISBLANK(JP!AS76),"","x")</f>
        <v/>
      </c>
      <c r="AQ72" t="str">
        <f>IF(ISBLANK(JP!AT76),"","x")</f>
        <v/>
      </c>
      <c r="AR72" t="str">
        <f>IF(ISBLANK(JP!AU76),"","x")</f>
        <v/>
      </c>
      <c r="AS72" t="str">
        <f>IF(ISBLANK(JP!AV76),"","x")</f>
        <v/>
      </c>
      <c r="AT72" t="str">
        <f>IF(ISBLANK(JP!AW76),"","x")</f>
        <v/>
      </c>
      <c r="AU72" t="str">
        <f>IF(ISBLANK(JP!AX76),"","x")</f>
        <v/>
      </c>
    </row>
    <row r="73" spans="2:47">
      <c r="B73">
        <f>IF(ISBLANK(JP!AZ77),"",JP!AZ77)</f>
        <v>10002899</v>
      </c>
      <c r="C73" t="str">
        <f>IF(ISBLANK(JP!BA77),"",JP!BA77)</f>
        <v>TEE SENG</v>
      </c>
      <c r="D73" t="str">
        <f>IF(ISBLANK(JP!BC77),"",JP!BC77)</f>
        <v>31 ROSYTH ROAD</v>
      </c>
      <c r="E73">
        <f>IF(ISBLANK(JP!BB77),"",JP!BB77)</f>
        <v>1</v>
      </c>
      <c r="F73" t="str">
        <f>IF(ISBLANK(JP!D77),"","x")</f>
        <v/>
      </c>
      <c r="G73" t="str">
        <f>IF(ISBLANK(JP!E77),"","x")</f>
        <v/>
      </c>
      <c r="H73" t="str">
        <f>IF(ISBLANK(JP!F77),"","x")</f>
        <v/>
      </c>
      <c r="I73" t="str">
        <f>IF(ISBLANK(JP!G77),"","x")</f>
        <v/>
      </c>
      <c r="J73" t="str">
        <f>IF(ISBLANK(JP!H77),"","x")</f>
        <v/>
      </c>
      <c r="K73" t="str">
        <f>IF(ISBLANK(JP!I77),"","x")</f>
        <v/>
      </c>
      <c r="L73" t="str">
        <f>IF(ISBLANK(JP!J77),"","x")</f>
        <v/>
      </c>
      <c r="M73" t="str">
        <f>IF(ISBLANK(JP!L77),"","x")</f>
        <v/>
      </c>
      <c r="N73" t="str">
        <f>IF(ISBLANK(JP!M77),"","x")</f>
        <v/>
      </c>
      <c r="O73" t="str">
        <f>IF(ISBLANK(JP!N77),"","x")</f>
        <v/>
      </c>
      <c r="P73" t="str">
        <f>IF(ISBLANK(JP!O77),"","x")</f>
        <v/>
      </c>
      <c r="Q73" t="str">
        <f>IF(ISBLANK(JP!P77),"","x")</f>
        <v/>
      </c>
      <c r="R73" t="str">
        <f>IF(ISBLANK(JP!Q77),"","x")</f>
        <v/>
      </c>
      <c r="S73" t="str">
        <f>IF(ISBLANK(JP!R77),"","x")</f>
        <v/>
      </c>
      <c r="T73" t="str">
        <f>IF(ISBLANK(JP!T77),"","x")</f>
        <v/>
      </c>
      <c r="U73" t="str">
        <f>IF(ISBLANK(JP!U77),"","x")</f>
        <v/>
      </c>
      <c r="V73" t="str">
        <f>IF(ISBLANK(JP!V77),"","x")</f>
        <v/>
      </c>
      <c r="W73" t="str">
        <f>IF(ISBLANK(JP!W77),"","x")</f>
        <v/>
      </c>
      <c r="X73" t="str">
        <f>IF(ISBLANK(JP!X77),"","x")</f>
        <v/>
      </c>
      <c r="Y73" t="str">
        <f>IF(ISBLANK(JP!Y77),"","x")</f>
        <v/>
      </c>
      <c r="Z73" t="str">
        <f>IF(ISBLANK(JP!Z77),"","x")</f>
        <v/>
      </c>
      <c r="AA73" t="str">
        <f>IF(ISBLANK(JP!AB77),"","x")</f>
        <v/>
      </c>
      <c r="AB73" t="str">
        <f>IF(ISBLANK(JP!AC77),"","x")</f>
        <v/>
      </c>
      <c r="AC73" t="str">
        <f>IF(ISBLANK(JP!AD77),"","x")</f>
        <v/>
      </c>
      <c r="AD73" t="str">
        <f>IF(ISBLANK(JP!AE77),"","x")</f>
        <v/>
      </c>
      <c r="AE73" t="str">
        <f>IF(ISBLANK(JP!AF77),"","x")</f>
        <v/>
      </c>
      <c r="AF73" t="str">
        <f>IF(ISBLANK(JP!AG77),"","x")</f>
        <v/>
      </c>
      <c r="AG73" t="str">
        <f>IF(ISBLANK(JP!AH77),"","x")</f>
        <v/>
      </c>
      <c r="AH73" t="str">
        <f>IF(ISBLANK(JP!AJ77),"","x")</f>
        <v/>
      </c>
      <c r="AI73" t="str">
        <f>IF(ISBLANK(JP!AK77),"","x")</f>
        <v/>
      </c>
      <c r="AJ73" t="str">
        <f>IF(ISBLANK(JP!AL77),"","x")</f>
        <v>x</v>
      </c>
      <c r="AK73" t="str">
        <f>IF(ISBLANK(JP!AM77),"","x")</f>
        <v/>
      </c>
      <c r="AL73" t="str">
        <f>IF(ISBLANK(JP!AN77),"","x")</f>
        <v/>
      </c>
      <c r="AM73" t="str">
        <f>IF(ISBLANK(JP!AO77),"","x")</f>
        <v/>
      </c>
      <c r="AN73" t="str">
        <f>IF(ISBLANK(JP!AP77),"","x")</f>
        <v/>
      </c>
      <c r="AO73" t="str">
        <f>IF(ISBLANK(JP!AR77),"","x")</f>
        <v/>
      </c>
      <c r="AP73" t="str">
        <f>IF(ISBLANK(JP!AS77),"","x")</f>
        <v/>
      </c>
      <c r="AQ73" t="str">
        <f>IF(ISBLANK(JP!AT77),"","x")</f>
        <v/>
      </c>
      <c r="AR73" t="str">
        <f>IF(ISBLANK(JP!AU77),"","x")</f>
        <v/>
      </c>
      <c r="AS73" t="str">
        <f>IF(ISBLANK(JP!AV77),"","x")</f>
        <v/>
      </c>
      <c r="AT73" t="str">
        <f>IF(ISBLANK(JP!AW77),"","x")</f>
        <v/>
      </c>
      <c r="AU73" t="str">
        <f>IF(ISBLANK(JP!AX77),"","x")</f>
        <v/>
      </c>
    </row>
    <row r="74" spans="2:47">
      <c r="B74">
        <f>IF(ISBLANK(JP!AZ78),"",JP!AZ78)</f>
        <v>10044280</v>
      </c>
      <c r="C74" t="str">
        <f>IF(ISBLANK(JP!BA78),"",JP!BA78)</f>
        <v>M28 MINIMART (COMPASSVALE)</v>
      </c>
      <c r="D74" t="str">
        <f>IF(ISBLANK(JP!BC78),"",JP!BC78)</f>
        <v>289C COMPASSVALE CRESCENT</v>
      </c>
      <c r="E74">
        <f>IF(ISBLANK(JP!BB78),"",JP!BB78)</f>
        <v>1</v>
      </c>
      <c r="F74" t="str">
        <f>IF(ISBLANK(JP!D78),"","x")</f>
        <v/>
      </c>
      <c r="G74" t="str">
        <f>IF(ISBLANK(JP!E78),"","x")</f>
        <v/>
      </c>
      <c r="H74" t="str">
        <f>IF(ISBLANK(JP!F78),"","x")</f>
        <v/>
      </c>
      <c r="I74" t="str">
        <f>IF(ISBLANK(JP!G78),"","x")</f>
        <v/>
      </c>
      <c r="J74" t="str">
        <f>IF(ISBLANK(JP!H78),"","x")</f>
        <v/>
      </c>
      <c r="K74" t="str">
        <f>IF(ISBLANK(JP!I78),"","x")</f>
        <v/>
      </c>
      <c r="L74" t="str">
        <f>IF(ISBLANK(JP!J78),"","x")</f>
        <v/>
      </c>
      <c r="M74" t="str">
        <f>IF(ISBLANK(JP!L78),"","x")</f>
        <v/>
      </c>
      <c r="N74" t="str">
        <f>IF(ISBLANK(JP!M78),"","x")</f>
        <v/>
      </c>
      <c r="O74" t="str">
        <f>IF(ISBLANK(JP!N78),"","x")</f>
        <v/>
      </c>
      <c r="P74" t="str">
        <f>IF(ISBLANK(JP!O78),"","x")</f>
        <v/>
      </c>
      <c r="Q74" t="str">
        <f>IF(ISBLANK(JP!P78),"","x")</f>
        <v/>
      </c>
      <c r="R74" t="str">
        <f>IF(ISBLANK(JP!Q78),"","x")</f>
        <v/>
      </c>
      <c r="S74" t="str">
        <f>IF(ISBLANK(JP!R78),"","x")</f>
        <v/>
      </c>
      <c r="T74" t="str">
        <f>IF(ISBLANK(JP!T78),"","x")</f>
        <v/>
      </c>
      <c r="U74" t="str">
        <f>IF(ISBLANK(JP!U78),"","x")</f>
        <v/>
      </c>
      <c r="V74" t="str">
        <f>IF(ISBLANK(JP!V78),"","x")</f>
        <v/>
      </c>
      <c r="W74" t="str">
        <f>IF(ISBLANK(JP!W78),"","x")</f>
        <v/>
      </c>
      <c r="X74" t="str">
        <f>IF(ISBLANK(JP!X78),"","x")</f>
        <v/>
      </c>
      <c r="Y74" t="str">
        <f>IF(ISBLANK(JP!Y78),"","x")</f>
        <v/>
      </c>
      <c r="Z74" t="str">
        <f>IF(ISBLANK(JP!Z78),"","x")</f>
        <v/>
      </c>
      <c r="AA74" t="str">
        <f>IF(ISBLANK(JP!AB78),"","x")</f>
        <v/>
      </c>
      <c r="AB74" t="str">
        <f>IF(ISBLANK(JP!AC78),"","x")</f>
        <v/>
      </c>
      <c r="AC74" t="str">
        <f>IF(ISBLANK(JP!AD78),"","x")</f>
        <v/>
      </c>
      <c r="AD74" t="str">
        <f>IF(ISBLANK(JP!AE78),"","x")</f>
        <v/>
      </c>
      <c r="AE74" t="str">
        <f>IF(ISBLANK(JP!AF78),"","x")</f>
        <v/>
      </c>
      <c r="AF74" t="str">
        <f>IF(ISBLANK(JP!AG78),"","x")</f>
        <v/>
      </c>
      <c r="AG74" t="str">
        <f>IF(ISBLANK(JP!AH78),"","x")</f>
        <v/>
      </c>
      <c r="AH74" t="str">
        <f>IF(ISBLANK(JP!AJ78),"","x")</f>
        <v/>
      </c>
      <c r="AI74" t="str">
        <f>IF(ISBLANK(JP!AK78),"","x")</f>
        <v/>
      </c>
      <c r="AJ74" t="str">
        <f>IF(ISBLANK(JP!AL78),"","x")</f>
        <v>x</v>
      </c>
      <c r="AK74" t="str">
        <f>IF(ISBLANK(JP!AM78),"","x")</f>
        <v/>
      </c>
      <c r="AL74" t="str">
        <f>IF(ISBLANK(JP!AN78),"","x")</f>
        <v/>
      </c>
      <c r="AM74" t="str">
        <f>IF(ISBLANK(JP!AO78),"","x")</f>
        <v/>
      </c>
      <c r="AN74" t="str">
        <f>IF(ISBLANK(JP!AP78),"","x")</f>
        <v/>
      </c>
      <c r="AO74" t="str">
        <f>IF(ISBLANK(JP!AR78),"","x")</f>
        <v/>
      </c>
      <c r="AP74" t="str">
        <f>IF(ISBLANK(JP!AS78),"","x")</f>
        <v/>
      </c>
      <c r="AQ74" t="str">
        <f>IF(ISBLANK(JP!AT78),"","x")</f>
        <v/>
      </c>
      <c r="AR74" t="str">
        <f>IF(ISBLANK(JP!AU78),"","x")</f>
        <v/>
      </c>
      <c r="AS74" t="str">
        <f>IF(ISBLANK(JP!AV78),"","x")</f>
        <v/>
      </c>
      <c r="AT74" t="str">
        <f>IF(ISBLANK(JP!AW78),"","x")</f>
        <v/>
      </c>
      <c r="AU74" t="str">
        <f>IF(ISBLANK(JP!AX78),"","x")</f>
        <v/>
      </c>
    </row>
    <row r="75" spans="2:47">
      <c r="B75">
        <f>IF(ISBLANK(JP!AZ79),"",JP!AZ79)</f>
        <v>10044069</v>
      </c>
      <c r="C75" t="str">
        <f>IF(ISBLANK(JP!BA79),"",JP!BA79)</f>
        <v>SRI ANNAPOORANI TRADING PRIVATE LIMITED</v>
      </c>
      <c r="D75" t="str">
        <f>IF(ISBLANK(JP!BC79),"",JP!BC79)</f>
        <v>18 SUNGEI KADUT STREET 2</v>
      </c>
      <c r="E75">
        <f>IF(ISBLANK(JP!BB79),"",JP!BB79)</f>
        <v>1</v>
      </c>
      <c r="F75" t="str">
        <f>IF(ISBLANK(JP!D79),"","x")</f>
        <v/>
      </c>
      <c r="G75" t="str">
        <f>IF(ISBLANK(JP!E79),"","x")</f>
        <v/>
      </c>
      <c r="H75" t="str">
        <f>IF(ISBLANK(JP!F79),"","x")</f>
        <v/>
      </c>
      <c r="I75" t="str">
        <f>IF(ISBLANK(JP!G79),"","x")</f>
        <v/>
      </c>
      <c r="J75" t="str">
        <f>IF(ISBLANK(JP!H79),"","x")</f>
        <v/>
      </c>
      <c r="K75" t="str">
        <f>IF(ISBLANK(JP!I79),"","x")</f>
        <v/>
      </c>
      <c r="L75" t="str">
        <f>IF(ISBLANK(JP!J79),"","x")</f>
        <v/>
      </c>
      <c r="M75" t="str">
        <f>IF(ISBLANK(JP!L79),"","x")</f>
        <v/>
      </c>
      <c r="N75" t="str">
        <f>IF(ISBLANK(JP!M79),"","x")</f>
        <v/>
      </c>
      <c r="O75" t="str">
        <f>IF(ISBLANK(JP!N79),"","x")</f>
        <v/>
      </c>
      <c r="P75" t="str">
        <f>IF(ISBLANK(JP!O79),"","x")</f>
        <v/>
      </c>
      <c r="Q75" t="str">
        <f>IF(ISBLANK(JP!P79),"","x")</f>
        <v/>
      </c>
      <c r="R75" t="str">
        <f>IF(ISBLANK(JP!Q79),"","x")</f>
        <v/>
      </c>
      <c r="S75" t="str">
        <f>IF(ISBLANK(JP!R79),"","x")</f>
        <v/>
      </c>
      <c r="T75" t="str">
        <f>IF(ISBLANK(JP!T79),"","x")</f>
        <v/>
      </c>
      <c r="U75" t="str">
        <f>IF(ISBLANK(JP!U79),"","x")</f>
        <v/>
      </c>
      <c r="V75" t="str">
        <f>IF(ISBLANK(JP!V79),"","x")</f>
        <v/>
      </c>
      <c r="W75" t="str">
        <f>IF(ISBLANK(JP!W79),"","x")</f>
        <v/>
      </c>
      <c r="X75" t="str">
        <f>IF(ISBLANK(JP!X79),"","x")</f>
        <v/>
      </c>
      <c r="Y75" t="str">
        <f>IF(ISBLANK(JP!Y79),"","x")</f>
        <v/>
      </c>
      <c r="Z75" t="str">
        <f>IF(ISBLANK(JP!Z79),"","x")</f>
        <v/>
      </c>
      <c r="AA75" t="str">
        <f>IF(ISBLANK(JP!AB79),"","x")</f>
        <v/>
      </c>
      <c r="AB75" t="str">
        <f>IF(ISBLANK(JP!AC79),"","x")</f>
        <v/>
      </c>
      <c r="AC75" t="str">
        <f>IF(ISBLANK(JP!AD79),"","x")</f>
        <v/>
      </c>
      <c r="AD75" t="str">
        <f>IF(ISBLANK(JP!AE79),"","x")</f>
        <v/>
      </c>
      <c r="AE75" t="str">
        <f>IF(ISBLANK(JP!AF79),"","x")</f>
        <v/>
      </c>
      <c r="AF75" t="str">
        <f>IF(ISBLANK(JP!AG79),"","x")</f>
        <v>x</v>
      </c>
      <c r="AG75" t="str">
        <f>IF(ISBLANK(JP!AH79),"","x")</f>
        <v/>
      </c>
      <c r="AH75" t="str">
        <f>IF(ISBLANK(JP!AJ79),"","x")</f>
        <v/>
      </c>
      <c r="AI75" t="str">
        <f>IF(ISBLANK(JP!AK79),"","x")</f>
        <v/>
      </c>
      <c r="AJ75" t="str">
        <f>IF(ISBLANK(JP!AL79),"","x")</f>
        <v/>
      </c>
      <c r="AK75" t="str">
        <f>IF(ISBLANK(JP!AM79),"","x")</f>
        <v/>
      </c>
      <c r="AL75" t="str">
        <f>IF(ISBLANK(JP!AN79),"","x")</f>
        <v/>
      </c>
      <c r="AM75" t="str">
        <f>IF(ISBLANK(JP!AO79),"","x")</f>
        <v/>
      </c>
      <c r="AN75" t="str">
        <f>IF(ISBLANK(JP!AP79),"","x")</f>
        <v/>
      </c>
      <c r="AO75" t="str">
        <f>IF(ISBLANK(JP!AR79),"","x")</f>
        <v/>
      </c>
      <c r="AP75" t="str">
        <f>IF(ISBLANK(JP!AS79),"","x")</f>
        <v/>
      </c>
      <c r="AQ75" t="str">
        <f>IF(ISBLANK(JP!AT79),"","x")</f>
        <v/>
      </c>
      <c r="AR75" t="str">
        <f>IF(ISBLANK(JP!AU79),"","x")</f>
        <v/>
      </c>
      <c r="AS75" t="str">
        <f>IF(ISBLANK(JP!AV79),"","x")</f>
        <v/>
      </c>
      <c r="AT75" t="str">
        <f>IF(ISBLANK(JP!AW79),"","x")</f>
        <v/>
      </c>
      <c r="AU75" t="str">
        <f>IF(ISBLANK(JP!AX79),"","x")</f>
        <v/>
      </c>
    </row>
    <row r="76" spans="2:47">
      <c r="B76">
        <f>IF(ISBLANK(JP!AZ80),"",JP!AZ80)</f>
        <v>10046272</v>
      </c>
      <c r="C76" t="str">
        <f>IF(ISBLANK(JP!BA80),"",JP!BA80)</f>
        <v>S POWER SUPERMART</v>
      </c>
      <c r="D76" t="str">
        <f>IF(ISBLANK(JP!BC80),"",JP!BC80)</f>
        <v>18 SUNGEI KADUT STREET 2</v>
      </c>
      <c r="E76">
        <f>IF(ISBLANK(JP!BB80),"",JP!BB80)</f>
        <v>1</v>
      </c>
      <c r="F76" t="str">
        <f>IF(ISBLANK(JP!D80),"","x")</f>
        <v/>
      </c>
      <c r="G76" t="str">
        <f>IF(ISBLANK(JP!E80),"","x")</f>
        <v/>
      </c>
      <c r="H76" t="str">
        <f>IF(ISBLANK(JP!F80),"","x")</f>
        <v/>
      </c>
      <c r="I76" t="str">
        <f>IF(ISBLANK(JP!G80),"","x")</f>
        <v/>
      </c>
      <c r="J76" t="str">
        <f>IF(ISBLANK(JP!H80),"","x")</f>
        <v/>
      </c>
      <c r="K76" t="str">
        <f>IF(ISBLANK(JP!I80),"","x")</f>
        <v/>
      </c>
      <c r="L76" t="str">
        <f>IF(ISBLANK(JP!J80),"","x")</f>
        <v/>
      </c>
      <c r="M76" t="str">
        <f>IF(ISBLANK(JP!L80),"","x")</f>
        <v/>
      </c>
      <c r="N76" t="str">
        <f>IF(ISBLANK(JP!M80),"","x")</f>
        <v/>
      </c>
      <c r="O76" t="str">
        <f>IF(ISBLANK(JP!N80),"","x")</f>
        <v/>
      </c>
      <c r="P76" t="str">
        <f>IF(ISBLANK(JP!O80),"","x")</f>
        <v/>
      </c>
      <c r="Q76" t="str">
        <f>IF(ISBLANK(JP!P80),"","x")</f>
        <v/>
      </c>
      <c r="R76" t="str">
        <f>IF(ISBLANK(JP!Q80),"","x")</f>
        <v/>
      </c>
      <c r="S76" t="str">
        <f>IF(ISBLANK(JP!R80),"","x")</f>
        <v/>
      </c>
      <c r="T76" t="str">
        <f>IF(ISBLANK(JP!T80),"","x")</f>
        <v/>
      </c>
      <c r="U76" t="str">
        <f>IF(ISBLANK(JP!U80),"","x")</f>
        <v/>
      </c>
      <c r="V76" t="str">
        <f>IF(ISBLANK(JP!V80),"","x")</f>
        <v/>
      </c>
      <c r="W76" t="str">
        <f>IF(ISBLANK(JP!W80),"","x")</f>
        <v/>
      </c>
      <c r="X76" t="str">
        <f>IF(ISBLANK(JP!X80),"","x")</f>
        <v>x</v>
      </c>
      <c r="Y76" t="str">
        <f>IF(ISBLANK(JP!Y80),"","x")</f>
        <v/>
      </c>
      <c r="Z76" t="str">
        <f>IF(ISBLANK(JP!Z80),"","x")</f>
        <v/>
      </c>
      <c r="AA76" t="str">
        <f>IF(ISBLANK(JP!AB80),"","x")</f>
        <v/>
      </c>
      <c r="AB76" t="str">
        <f>IF(ISBLANK(JP!AC80),"","x")</f>
        <v/>
      </c>
      <c r="AC76" t="str">
        <f>IF(ISBLANK(JP!AD80),"","x")</f>
        <v/>
      </c>
      <c r="AD76" t="str">
        <f>IF(ISBLANK(JP!AE80),"","x")</f>
        <v/>
      </c>
      <c r="AE76" t="str">
        <f>IF(ISBLANK(JP!AF80),"","x")</f>
        <v/>
      </c>
      <c r="AF76" t="str">
        <f>IF(ISBLANK(JP!AG80),"","x")</f>
        <v/>
      </c>
      <c r="AG76" t="str">
        <f>IF(ISBLANK(JP!AH80),"","x")</f>
        <v/>
      </c>
      <c r="AH76" t="str">
        <f>IF(ISBLANK(JP!AJ80),"","x")</f>
        <v/>
      </c>
      <c r="AI76" t="str">
        <f>IF(ISBLANK(JP!AK80),"","x")</f>
        <v/>
      </c>
      <c r="AJ76" t="str">
        <f>IF(ISBLANK(JP!AL80),"","x")</f>
        <v/>
      </c>
      <c r="AK76" t="str">
        <f>IF(ISBLANK(JP!AM80),"","x")</f>
        <v/>
      </c>
      <c r="AL76" t="str">
        <f>IF(ISBLANK(JP!AN80),"","x")</f>
        <v/>
      </c>
      <c r="AM76" t="str">
        <f>IF(ISBLANK(JP!AO80),"","x")</f>
        <v/>
      </c>
      <c r="AN76" t="str">
        <f>IF(ISBLANK(JP!AP80),"","x")</f>
        <v/>
      </c>
      <c r="AO76" t="str">
        <f>IF(ISBLANK(JP!AR80),"","x")</f>
        <v/>
      </c>
      <c r="AP76" t="str">
        <f>IF(ISBLANK(JP!AS80),"","x")</f>
        <v/>
      </c>
      <c r="AQ76" t="str">
        <f>IF(ISBLANK(JP!AT80),"","x")</f>
        <v/>
      </c>
      <c r="AR76" t="str">
        <f>IF(ISBLANK(JP!AU80),"","x")</f>
        <v/>
      </c>
      <c r="AS76" t="str">
        <f>IF(ISBLANK(JP!AV80),"","x")</f>
        <v/>
      </c>
      <c r="AT76" t="str">
        <f>IF(ISBLANK(JP!AW80),"","x")</f>
        <v/>
      </c>
      <c r="AU76" t="str">
        <f>IF(ISBLANK(JP!AX80),"","x")</f>
        <v/>
      </c>
    </row>
    <row r="77" spans="2:47">
      <c r="B77">
        <f>IF(ISBLANK(JP!AZ81),"",JP!AZ81)</f>
        <v>10040014</v>
      </c>
      <c r="C77" t="str">
        <f>IF(ISBLANK(JP!BA81),"",JP!BA81)</f>
        <v>SKL MINI MART</v>
      </c>
      <c r="D77" t="str">
        <f>IF(ISBLANK(JP!BC81),"",JP!BC81)</f>
        <v>5 SUNGEI KADUT AVENUE</v>
      </c>
      <c r="E77">
        <f>IF(ISBLANK(JP!BB81),"",JP!BB81)</f>
        <v>1</v>
      </c>
      <c r="F77" t="str">
        <f>IF(ISBLANK(JP!D81),"","x")</f>
        <v/>
      </c>
      <c r="G77" t="str">
        <f>IF(ISBLANK(JP!E81),"","x")</f>
        <v/>
      </c>
      <c r="H77" t="str">
        <f>IF(ISBLANK(JP!F81),"","x")</f>
        <v/>
      </c>
      <c r="I77" t="str">
        <f>IF(ISBLANK(JP!G81),"","x")</f>
        <v/>
      </c>
      <c r="J77" t="str">
        <f>IF(ISBLANK(JP!H81),"","x")</f>
        <v/>
      </c>
      <c r="K77" t="str">
        <f>IF(ISBLANK(JP!I81),"","x")</f>
        <v/>
      </c>
      <c r="L77" t="str">
        <f>IF(ISBLANK(JP!J81),"","x")</f>
        <v/>
      </c>
      <c r="M77" t="str">
        <f>IF(ISBLANK(JP!L81),"","x")</f>
        <v/>
      </c>
      <c r="N77" t="str">
        <f>IF(ISBLANK(JP!M81),"","x")</f>
        <v/>
      </c>
      <c r="O77" t="str">
        <f>IF(ISBLANK(JP!N81),"","x")</f>
        <v/>
      </c>
      <c r="P77" t="str">
        <f>IF(ISBLANK(JP!O81),"","x")</f>
        <v/>
      </c>
      <c r="Q77" t="str">
        <f>IF(ISBLANK(JP!P81),"","x")</f>
        <v/>
      </c>
      <c r="R77" t="str">
        <f>IF(ISBLANK(JP!Q81),"","x")</f>
        <v/>
      </c>
      <c r="S77" t="str">
        <f>IF(ISBLANK(JP!R81),"","x")</f>
        <v/>
      </c>
      <c r="T77" t="str">
        <f>IF(ISBLANK(JP!T81),"","x")</f>
        <v/>
      </c>
      <c r="U77" t="str">
        <f>IF(ISBLANK(JP!U81),"","x")</f>
        <v/>
      </c>
      <c r="V77" t="str">
        <f>IF(ISBLANK(JP!V81),"","x")</f>
        <v/>
      </c>
      <c r="W77" t="str">
        <f>IF(ISBLANK(JP!W81),"","x")</f>
        <v/>
      </c>
      <c r="X77" t="str">
        <f>IF(ISBLANK(JP!X81),"","x")</f>
        <v>x</v>
      </c>
      <c r="Y77" t="str">
        <f>IF(ISBLANK(JP!Y81),"","x")</f>
        <v/>
      </c>
      <c r="Z77" t="str">
        <f>IF(ISBLANK(JP!Z81),"","x")</f>
        <v/>
      </c>
      <c r="AA77" t="str">
        <f>IF(ISBLANK(JP!AB81),"","x")</f>
        <v/>
      </c>
      <c r="AB77" t="str">
        <f>IF(ISBLANK(JP!AC81),"","x")</f>
        <v/>
      </c>
      <c r="AC77" t="str">
        <f>IF(ISBLANK(JP!AD81),"","x")</f>
        <v/>
      </c>
      <c r="AD77" t="str">
        <f>IF(ISBLANK(JP!AE81),"","x")</f>
        <v/>
      </c>
      <c r="AE77" t="str">
        <f>IF(ISBLANK(JP!AF81),"","x")</f>
        <v/>
      </c>
      <c r="AF77" t="str">
        <f>IF(ISBLANK(JP!AG81),"","x")</f>
        <v/>
      </c>
      <c r="AG77" t="str">
        <f>IF(ISBLANK(JP!AH81),"","x")</f>
        <v/>
      </c>
      <c r="AH77" t="str">
        <f>IF(ISBLANK(JP!AJ81),"","x")</f>
        <v/>
      </c>
      <c r="AI77" t="str">
        <f>IF(ISBLANK(JP!AK81),"","x")</f>
        <v/>
      </c>
      <c r="AJ77" t="str">
        <f>IF(ISBLANK(JP!AL81),"","x")</f>
        <v/>
      </c>
      <c r="AK77" t="str">
        <f>IF(ISBLANK(JP!AM81),"","x")</f>
        <v/>
      </c>
      <c r="AL77" t="str">
        <f>IF(ISBLANK(JP!AN81),"","x")</f>
        <v/>
      </c>
      <c r="AM77" t="str">
        <f>IF(ISBLANK(JP!AO81),"","x")</f>
        <v/>
      </c>
      <c r="AN77" t="str">
        <f>IF(ISBLANK(JP!AP81),"","x")</f>
        <v/>
      </c>
      <c r="AO77" t="str">
        <f>IF(ISBLANK(JP!AR81),"","x")</f>
        <v/>
      </c>
      <c r="AP77" t="str">
        <f>IF(ISBLANK(JP!AS81),"","x")</f>
        <v/>
      </c>
      <c r="AQ77" t="str">
        <f>IF(ISBLANK(JP!AT81),"","x")</f>
        <v/>
      </c>
      <c r="AR77" t="str">
        <f>IF(ISBLANK(JP!AU81),"","x")</f>
        <v/>
      </c>
      <c r="AS77" t="str">
        <f>IF(ISBLANK(JP!AV81),"","x")</f>
        <v/>
      </c>
      <c r="AT77" t="str">
        <f>IF(ISBLANK(JP!AW81),"","x")</f>
        <v/>
      </c>
      <c r="AU77" t="str">
        <f>IF(ISBLANK(JP!AX81),"","x")</f>
        <v/>
      </c>
    </row>
    <row r="78" spans="2:47">
      <c r="B78">
        <f>IF(ISBLANK(JP!AZ82),"",JP!AZ82)</f>
        <v>10045991</v>
      </c>
      <c r="C78" t="str">
        <f>IF(ISBLANK(JP!BA82),"",JP!BA82)</f>
        <v>ANISHPRABA INTERNATIONAL PTE LTD(MANDAI)</v>
      </c>
      <c r="D78" t="str">
        <f>IF(ISBLANK(JP!BC82),"",JP!BC82)</f>
        <v>6D MANDAI ESTATE</v>
      </c>
      <c r="E78">
        <f>IF(ISBLANK(JP!BB82),"",JP!BB82)</f>
        <v>1</v>
      </c>
      <c r="F78" t="str">
        <f>IF(ISBLANK(JP!D82),"","x")</f>
        <v/>
      </c>
      <c r="G78" t="str">
        <f>IF(ISBLANK(JP!E82),"","x")</f>
        <v/>
      </c>
      <c r="H78" t="str">
        <f>IF(ISBLANK(JP!F82),"","x")</f>
        <v/>
      </c>
      <c r="I78" t="str">
        <f>IF(ISBLANK(JP!G82),"","x")</f>
        <v/>
      </c>
      <c r="J78" t="str">
        <f>IF(ISBLANK(JP!H82),"","x")</f>
        <v/>
      </c>
      <c r="K78" t="str">
        <f>IF(ISBLANK(JP!I82),"","x")</f>
        <v/>
      </c>
      <c r="L78" t="str">
        <f>IF(ISBLANK(JP!J82),"","x")</f>
        <v/>
      </c>
      <c r="M78" t="str">
        <f>IF(ISBLANK(JP!L82),"","x")</f>
        <v/>
      </c>
      <c r="N78" t="str">
        <f>IF(ISBLANK(JP!M82),"","x")</f>
        <v/>
      </c>
      <c r="O78" t="str">
        <f>IF(ISBLANK(JP!N82),"","x")</f>
        <v/>
      </c>
      <c r="P78" t="str">
        <f>IF(ISBLANK(JP!O82),"","x")</f>
        <v>x</v>
      </c>
      <c r="Q78" t="str">
        <f>IF(ISBLANK(JP!P82),"","x")</f>
        <v/>
      </c>
      <c r="R78" t="str">
        <f>IF(ISBLANK(JP!Q82),"","x")</f>
        <v/>
      </c>
      <c r="S78" t="str">
        <f>IF(ISBLANK(JP!R82),"","x")</f>
        <v/>
      </c>
      <c r="T78" t="str">
        <f>IF(ISBLANK(JP!T82),"","x")</f>
        <v/>
      </c>
      <c r="U78" t="str">
        <f>IF(ISBLANK(JP!U82),"","x")</f>
        <v/>
      </c>
      <c r="V78" t="str">
        <f>IF(ISBLANK(JP!V82),"","x")</f>
        <v/>
      </c>
      <c r="W78" t="str">
        <f>IF(ISBLANK(JP!W82),"","x")</f>
        <v/>
      </c>
      <c r="X78" t="str">
        <f>IF(ISBLANK(JP!X82),"","x")</f>
        <v/>
      </c>
      <c r="Y78" t="str">
        <f>IF(ISBLANK(JP!Y82),"","x")</f>
        <v/>
      </c>
      <c r="Z78" t="str">
        <f>IF(ISBLANK(JP!Z82),"","x")</f>
        <v/>
      </c>
      <c r="AA78" t="str">
        <f>IF(ISBLANK(JP!AB82),"","x")</f>
        <v/>
      </c>
      <c r="AB78" t="str">
        <f>IF(ISBLANK(JP!AC82),"","x")</f>
        <v/>
      </c>
      <c r="AC78" t="str">
        <f>IF(ISBLANK(JP!AD82),"","x")</f>
        <v/>
      </c>
      <c r="AD78" t="str">
        <f>IF(ISBLANK(JP!AE82),"","x")</f>
        <v/>
      </c>
      <c r="AE78" t="str">
        <f>IF(ISBLANK(JP!AF82),"","x")</f>
        <v/>
      </c>
      <c r="AF78" t="str">
        <f>IF(ISBLANK(JP!AG82),"","x")</f>
        <v/>
      </c>
      <c r="AG78" t="str">
        <f>IF(ISBLANK(JP!AH82),"","x")</f>
        <v/>
      </c>
      <c r="AH78" t="str">
        <f>IF(ISBLANK(JP!AJ82),"","x")</f>
        <v/>
      </c>
      <c r="AI78" t="str">
        <f>IF(ISBLANK(JP!AK82),"","x")</f>
        <v/>
      </c>
      <c r="AJ78" t="str">
        <f>IF(ISBLANK(JP!AL82),"","x")</f>
        <v/>
      </c>
      <c r="AK78" t="str">
        <f>IF(ISBLANK(JP!AM82),"","x")</f>
        <v/>
      </c>
      <c r="AL78" t="str">
        <f>IF(ISBLANK(JP!AN82),"","x")</f>
        <v/>
      </c>
      <c r="AM78" t="str">
        <f>IF(ISBLANK(JP!AO82),"","x")</f>
        <v/>
      </c>
      <c r="AN78" t="str">
        <f>IF(ISBLANK(JP!AP82),"","x")</f>
        <v/>
      </c>
      <c r="AO78" t="str">
        <f>IF(ISBLANK(JP!AR82),"","x")</f>
        <v/>
      </c>
      <c r="AP78" t="str">
        <f>IF(ISBLANK(JP!AS82),"","x")</f>
        <v/>
      </c>
      <c r="AQ78" t="str">
        <f>IF(ISBLANK(JP!AT82),"","x")</f>
        <v/>
      </c>
      <c r="AR78" t="str">
        <f>IF(ISBLANK(JP!AU82),"","x")</f>
        <v/>
      </c>
      <c r="AS78" t="str">
        <f>IF(ISBLANK(JP!AV82),"","x")</f>
        <v/>
      </c>
      <c r="AT78" t="str">
        <f>IF(ISBLANK(JP!AW82),"","x")</f>
        <v/>
      </c>
      <c r="AU78" t="str">
        <f>IF(ISBLANK(JP!AX82),"","x")</f>
        <v/>
      </c>
    </row>
    <row r="79" spans="2:47">
      <c r="B79">
        <f>IF(ISBLANK(JP!AZ83),"",JP!AZ83)</f>
        <v>10044118</v>
      </c>
      <c r="C79" t="str">
        <f>IF(ISBLANK(JP!BA83),"",JP!BA83)</f>
        <v>S U STAR TRADING</v>
      </c>
      <c r="D79" t="str">
        <f>IF(ISBLANK(JP!BC83),"",JP!BC83)</f>
        <v>18 MARSILING LANE</v>
      </c>
      <c r="E79">
        <f>IF(ISBLANK(JP!BB83),"",JP!BB83)</f>
        <v>1</v>
      </c>
      <c r="F79" t="str">
        <f>IF(ISBLANK(JP!D83),"","x")</f>
        <v/>
      </c>
      <c r="G79" t="str">
        <f>IF(ISBLANK(JP!E83),"","x")</f>
        <v/>
      </c>
      <c r="H79" t="str">
        <f>IF(ISBLANK(JP!F83),"","x")</f>
        <v/>
      </c>
      <c r="I79" t="str">
        <f>IF(ISBLANK(JP!G83),"","x")</f>
        <v/>
      </c>
      <c r="J79" t="str">
        <f>IF(ISBLANK(JP!H83),"","x")</f>
        <v/>
      </c>
      <c r="K79" t="str">
        <f>IF(ISBLANK(JP!I83),"","x")</f>
        <v/>
      </c>
      <c r="L79" t="str">
        <f>IF(ISBLANK(JP!J83),"","x")</f>
        <v/>
      </c>
      <c r="M79" t="str">
        <f>IF(ISBLANK(JP!L83),"","x")</f>
        <v/>
      </c>
      <c r="N79" t="str">
        <f>IF(ISBLANK(JP!M83),"","x")</f>
        <v/>
      </c>
      <c r="O79" t="str">
        <f>IF(ISBLANK(JP!N83),"","x")</f>
        <v/>
      </c>
      <c r="P79" t="str">
        <f>IF(ISBLANK(JP!O83),"","x")</f>
        <v>x</v>
      </c>
      <c r="Q79" t="str">
        <f>IF(ISBLANK(JP!P83),"","x")</f>
        <v/>
      </c>
      <c r="R79" t="str">
        <f>IF(ISBLANK(JP!Q83),"","x")</f>
        <v/>
      </c>
      <c r="S79" t="str">
        <f>IF(ISBLANK(JP!R83),"","x")</f>
        <v/>
      </c>
      <c r="T79" t="str">
        <f>IF(ISBLANK(JP!T83),"","x")</f>
        <v/>
      </c>
      <c r="U79" t="str">
        <f>IF(ISBLANK(JP!U83),"","x")</f>
        <v/>
      </c>
      <c r="V79" t="str">
        <f>IF(ISBLANK(JP!V83),"","x")</f>
        <v/>
      </c>
      <c r="W79" t="str">
        <f>IF(ISBLANK(JP!W83),"","x")</f>
        <v/>
      </c>
      <c r="X79" t="str">
        <f>IF(ISBLANK(JP!X83),"","x")</f>
        <v/>
      </c>
      <c r="Y79" t="str">
        <f>IF(ISBLANK(JP!Y83),"","x")</f>
        <v/>
      </c>
      <c r="Z79" t="str">
        <f>IF(ISBLANK(JP!Z83),"","x")</f>
        <v/>
      </c>
      <c r="AA79" t="str">
        <f>IF(ISBLANK(JP!AB83),"","x")</f>
        <v/>
      </c>
      <c r="AB79" t="str">
        <f>IF(ISBLANK(JP!AC83),"","x")</f>
        <v/>
      </c>
      <c r="AC79" t="str">
        <f>IF(ISBLANK(JP!AD83),"","x")</f>
        <v/>
      </c>
      <c r="AD79" t="str">
        <f>IF(ISBLANK(JP!AE83),"","x")</f>
        <v/>
      </c>
      <c r="AE79" t="str">
        <f>IF(ISBLANK(JP!AF83),"","x")</f>
        <v/>
      </c>
      <c r="AF79" t="str">
        <f>IF(ISBLANK(JP!AG83),"","x")</f>
        <v/>
      </c>
      <c r="AG79" t="str">
        <f>IF(ISBLANK(JP!AH83),"","x")</f>
        <v/>
      </c>
      <c r="AH79" t="str">
        <f>IF(ISBLANK(JP!AJ83),"","x")</f>
        <v/>
      </c>
      <c r="AI79" t="str">
        <f>IF(ISBLANK(JP!AK83),"","x")</f>
        <v/>
      </c>
      <c r="AJ79" t="str">
        <f>IF(ISBLANK(JP!AL83),"","x")</f>
        <v/>
      </c>
      <c r="AK79" t="str">
        <f>IF(ISBLANK(JP!AM83),"","x")</f>
        <v/>
      </c>
      <c r="AL79" t="str">
        <f>IF(ISBLANK(JP!AN83),"","x")</f>
        <v/>
      </c>
      <c r="AM79" t="str">
        <f>IF(ISBLANK(JP!AO83),"","x")</f>
        <v/>
      </c>
      <c r="AN79" t="str">
        <f>IF(ISBLANK(JP!AP83),"","x")</f>
        <v/>
      </c>
      <c r="AO79" t="str">
        <f>IF(ISBLANK(JP!AR83),"","x")</f>
        <v/>
      </c>
      <c r="AP79" t="str">
        <f>IF(ISBLANK(JP!AS83),"","x")</f>
        <v/>
      </c>
      <c r="AQ79" t="str">
        <f>IF(ISBLANK(JP!AT83),"","x")</f>
        <v/>
      </c>
      <c r="AR79" t="str">
        <f>IF(ISBLANK(JP!AU83),"","x")</f>
        <v/>
      </c>
      <c r="AS79" t="str">
        <f>IF(ISBLANK(JP!AV83),"","x")</f>
        <v/>
      </c>
      <c r="AT79" t="str">
        <f>IF(ISBLANK(JP!AW83),"","x")</f>
        <v/>
      </c>
      <c r="AU79" t="str">
        <f>IF(ISBLANK(JP!AX83),"","x")</f>
        <v/>
      </c>
    </row>
    <row r="80" spans="2:47">
      <c r="B80">
        <f>IF(ISBLANK(JP!AZ84),"",JP!AZ84)</f>
        <v>10046044</v>
      </c>
      <c r="C80" t="str">
        <f>IF(ISBLANK(JP!BA84),"",JP!BA84)</f>
        <v>TAI SIN CHINESE MEDICINE HALL</v>
      </c>
      <c r="D80" t="str">
        <f>IF(ISBLANK(JP!BC84),"",JP!BC84)</f>
        <v>19 MARSILING LANE</v>
      </c>
      <c r="E80">
        <f>IF(ISBLANK(JP!BB84),"",JP!BB84)</f>
        <v>1</v>
      </c>
      <c r="F80" t="str">
        <f>IF(ISBLANK(JP!D84),"","x")</f>
        <v/>
      </c>
      <c r="G80" t="str">
        <f>IF(ISBLANK(JP!E84),"","x")</f>
        <v/>
      </c>
      <c r="H80" t="str">
        <f>IF(ISBLANK(JP!F84),"","x")</f>
        <v/>
      </c>
      <c r="I80" t="str">
        <f>IF(ISBLANK(JP!G84),"","x")</f>
        <v/>
      </c>
      <c r="J80" t="str">
        <f>IF(ISBLANK(JP!H84),"","x")</f>
        <v/>
      </c>
      <c r="K80" t="str">
        <f>IF(ISBLANK(JP!I84),"","x")</f>
        <v/>
      </c>
      <c r="L80" t="str">
        <f>IF(ISBLANK(JP!J84),"","x")</f>
        <v/>
      </c>
      <c r="M80" t="str">
        <f>IF(ISBLANK(JP!L84),"","x")</f>
        <v/>
      </c>
      <c r="N80" t="str">
        <f>IF(ISBLANK(JP!M84),"","x")</f>
        <v/>
      </c>
      <c r="O80" t="str">
        <f>IF(ISBLANK(JP!N84),"","x")</f>
        <v/>
      </c>
      <c r="P80" t="str">
        <f>IF(ISBLANK(JP!O84),"","x")</f>
        <v>x</v>
      </c>
      <c r="Q80" t="str">
        <f>IF(ISBLANK(JP!P84),"","x")</f>
        <v/>
      </c>
      <c r="R80" t="str">
        <f>IF(ISBLANK(JP!Q84),"","x")</f>
        <v/>
      </c>
      <c r="S80" t="str">
        <f>IF(ISBLANK(JP!R84),"","x")</f>
        <v/>
      </c>
      <c r="T80" t="str">
        <f>IF(ISBLANK(JP!T84),"","x")</f>
        <v/>
      </c>
      <c r="U80" t="str">
        <f>IF(ISBLANK(JP!U84),"","x")</f>
        <v/>
      </c>
      <c r="V80" t="str">
        <f>IF(ISBLANK(JP!V84),"","x")</f>
        <v/>
      </c>
      <c r="W80" t="str">
        <f>IF(ISBLANK(JP!W84),"","x")</f>
        <v/>
      </c>
      <c r="X80" t="str">
        <f>IF(ISBLANK(JP!X84),"","x")</f>
        <v/>
      </c>
      <c r="Y80" t="str">
        <f>IF(ISBLANK(JP!Y84),"","x")</f>
        <v/>
      </c>
      <c r="Z80" t="str">
        <f>IF(ISBLANK(JP!Z84),"","x")</f>
        <v/>
      </c>
      <c r="AA80" t="str">
        <f>IF(ISBLANK(JP!AB84),"","x")</f>
        <v/>
      </c>
      <c r="AB80" t="str">
        <f>IF(ISBLANK(JP!AC84),"","x")</f>
        <v/>
      </c>
      <c r="AC80" t="str">
        <f>IF(ISBLANK(JP!AD84),"","x")</f>
        <v/>
      </c>
      <c r="AD80" t="str">
        <f>IF(ISBLANK(JP!AE84),"","x")</f>
        <v/>
      </c>
      <c r="AE80" t="str">
        <f>IF(ISBLANK(JP!AF84),"","x")</f>
        <v/>
      </c>
      <c r="AF80" t="str">
        <f>IF(ISBLANK(JP!AG84),"","x")</f>
        <v/>
      </c>
      <c r="AG80" t="str">
        <f>IF(ISBLANK(JP!AH84),"","x")</f>
        <v/>
      </c>
      <c r="AH80" t="str">
        <f>IF(ISBLANK(JP!AJ84),"","x")</f>
        <v/>
      </c>
      <c r="AI80" t="str">
        <f>IF(ISBLANK(JP!AK84),"","x")</f>
        <v/>
      </c>
      <c r="AJ80" t="str">
        <f>IF(ISBLANK(JP!AL84),"","x")</f>
        <v/>
      </c>
      <c r="AK80" t="str">
        <f>IF(ISBLANK(JP!AM84),"","x")</f>
        <v/>
      </c>
      <c r="AL80" t="str">
        <f>IF(ISBLANK(JP!AN84),"","x")</f>
        <v/>
      </c>
      <c r="AM80" t="str">
        <f>IF(ISBLANK(JP!AO84),"","x")</f>
        <v/>
      </c>
      <c r="AN80" t="str">
        <f>IF(ISBLANK(JP!AP84),"","x")</f>
        <v/>
      </c>
      <c r="AO80" t="str">
        <f>IF(ISBLANK(JP!AR84),"","x")</f>
        <v/>
      </c>
      <c r="AP80" t="str">
        <f>IF(ISBLANK(JP!AS84),"","x")</f>
        <v/>
      </c>
      <c r="AQ80" t="str">
        <f>IF(ISBLANK(JP!AT84),"","x")</f>
        <v/>
      </c>
      <c r="AR80" t="str">
        <f>IF(ISBLANK(JP!AU84),"","x")</f>
        <v/>
      </c>
      <c r="AS80" t="str">
        <f>IF(ISBLANK(JP!AV84),"","x")</f>
        <v/>
      </c>
      <c r="AT80" t="str">
        <f>IF(ISBLANK(JP!AW84),"","x")</f>
        <v/>
      </c>
      <c r="AU80" t="str">
        <f>IF(ISBLANK(JP!AX84),"","x")</f>
        <v/>
      </c>
    </row>
    <row r="81" spans="2:47">
      <c r="B81">
        <f>IF(ISBLANK(JP!AZ85),"",JP!AZ85)</f>
        <v>10038811</v>
      </c>
      <c r="C81" t="str">
        <f>IF(ISBLANK(JP!BA85),"",JP!BA85)</f>
        <v>RAVIS SUPERMART (111 WOODLANDS)</v>
      </c>
      <c r="D81" t="str">
        <f>IF(ISBLANK(JP!BC85),"",JP!BC85)</f>
        <v>111 WOODLANDS STREET 13</v>
      </c>
      <c r="E81">
        <f>IF(ISBLANK(JP!BB85),"",JP!BB85)</f>
        <v>1</v>
      </c>
      <c r="F81" t="str">
        <f>IF(ISBLANK(JP!D85),"","x")</f>
        <v/>
      </c>
      <c r="G81" t="str">
        <f>IF(ISBLANK(JP!E85),"","x")</f>
        <v/>
      </c>
      <c r="H81" t="str">
        <f>IF(ISBLANK(JP!F85),"","x")</f>
        <v/>
      </c>
      <c r="I81" t="str">
        <f>IF(ISBLANK(JP!G85),"","x")</f>
        <v>x</v>
      </c>
      <c r="J81" t="str">
        <f>IF(ISBLANK(JP!H85),"","x")</f>
        <v/>
      </c>
      <c r="K81" t="str">
        <f>IF(ISBLANK(JP!I85),"","x")</f>
        <v/>
      </c>
      <c r="L81" t="str">
        <f>IF(ISBLANK(JP!J85),"","x")</f>
        <v/>
      </c>
      <c r="M81" t="str">
        <f>IF(ISBLANK(JP!L85),"","x")</f>
        <v/>
      </c>
      <c r="N81" t="str">
        <f>IF(ISBLANK(JP!M85),"","x")</f>
        <v/>
      </c>
      <c r="O81" t="str">
        <f>IF(ISBLANK(JP!N85),"","x")</f>
        <v/>
      </c>
      <c r="P81" t="str">
        <f>IF(ISBLANK(JP!O85),"","x")</f>
        <v/>
      </c>
      <c r="Q81" t="str">
        <f>IF(ISBLANK(JP!P85),"","x")</f>
        <v/>
      </c>
      <c r="R81" t="str">
        <f>IF(ISBLANK(JP!Q85),"","x")</f>
        <v/>
      </c>
      <c r="S81" t="str">
        <f>IF(ISBLANK(JP!R85),"","x")</f>
        <v/>
      </c>
      <c r="T81" t="str">
        <f>IF(ISBLANK(JP!T85),"","x")</f>
        <v/>
      </c>
      <c r="U81" t="str">
        <f>IF(ISBLANK(JP!U85),"","x")</f>
        <v/>
      </c>
      <c r="V81" t="str">
        <f>IF(ISBLANK(JP!V85),"","x")</f>
        <v/>
      </c>
      <c r="W81" t="str">
        <f>IF(ISBLANK(JP!W85),"","x")</f>
        <v/>
      </c>
      <c r="X81" t="str">
        <f>IF(ISBLANK(JP!X85),"","x")</f>
        <v/>
      </c>
      <c r="Y81" t="str">
        <f>IF(ISBLANK(JP!Y85),"","x")</f>
        <v/>
      </c>
      <c r="Z81" t="str">
        <f>IF(ISBLANK(JP!Z85),"","x")</f>
        <v/>
      </c>
      <c r="AA81" t="str">
        <f>IF(ISBLANK(JP!AB85),"","x")</f>
        <v/>
      </c>
      <c r="AB81" t="str">
        <f>IF(ISBLANK(JP!AC85),"","x")</f>
        <v/>
      </c>
      <c r="AC81" t="str">
        <f>IF(ISBLANK(JP!AD85),"","x")</f>
        <v/>
      </c>
      <c r="AD81" t="str">
        <f>IF(ISBLANK(JP!AE85),"","x")</f>
        <v/>
      </c>
      <c r="AE81" t="str">
        <f>IF(ISBLANK(JP!AF85),"","x")</f>
        <v/>
      </c>
      <c r="AF81" t="str">
        <f>IF(ISBLANK(JP!AG85),"","x")</f>
        <v/>
      </c>
      <c r="AG81" t="str">
        <f>IF(ISBLANK(JP!AH85),"","x")</f>
        <v/>
      </c>
      <c r="AH81" t="str">
        <f>IF(ISBLANK(JP!AJ85),"","x")</f>
        <v/>
      </c>
      <c r="AI81" t="str">
        <f>IF(ISBLANK(JP!AK85),"","x")</f>
        <v/>
      </c>
      <c r="AJ81" t="str">
        <f>IF(ISBLANK(JP!AL85),"","x")</f>
        <v/>
      </c>
      <c r="AK81" t="str">
        <f>IF(ISBLANK(JP!AM85),"","x")</f>
        <v/>
      </c>
      <c r="AL81" t="str">
        <f>IF(ISBLANK(JP!AN85),"","x")</f>
        <v/>
      </c>
      <c r="AM81" t="str">
        <f>IF(ISBLANK(JP!AO85),"","x")</f>
        <v/>
      </c>
      <c r="AN81" t="str">
        <f>IF(ISBLANK(JP!AP85),"","x")</f>
        <v/>
      </c>
      <c r="AO81" t="str">
        <f>IF(ISBLANK(JP!AR85),"","x")</f>
        <v/>
      </c>
      <c r="AP81" t="str">
        <f>IF(ISBLANK(JP!AS85),"","x")</f>
        <v/>
      </c>
      <c r="AQ81" t="str">
        <f>IF(ISBLANK(JP!AT85),"","x")</f>
        <v/>
      </c>
      <c r="AR81" t="str">
        <f>IF(ISBLANK(JP!AU85),"","x")</f>
        <v/>
      </c>
      <c r="AS81" t="str">
        <f>IF(ISBLANK(JP!AV85),"","x")</f>
        <v/>
      </c>
      <c r="AT81" t="str">
        <f>IF(ISBLANK(JP!AW85),"","x")</f>
        <v/>
      </c>
      <c r="AU81" t="str">
        <f>IF(ISBLANK(JP!AX85),"","x")</f>
        <v/>
      </c>
    </row>
    <row r="82" spans="2:47">
      <c r="B82">
        <f>IF(ISBLANK(JP!AZ86),"",JP!AZ86)</f>
        <v>10012276</v>
      </c>
      <c r="C82" t="str">
        <f>IF(ISBLANK(JP!BA86),"",JP!BA86)</f>
        <v>CHIP HUAT UNITED TRDG</v>
      </c>
      <c r="D82" t="str">
        <f>IF(ISBLANK(JP!BC86),"",JP!BC86)</f>
        <v>132 MARSILING RISE</v>
      </c>
      <c r="E82">
        <f>IF(ISBLANK(JP!BB86),"",JP!BB86)</f>
        <v>1</v>
      </c>
      <c r="F82" t="str">
        <f>IF(ISBLANK(JP!D86),"","x")</f>
        <v/>
      </c>
      <c r="G82" t="str">
        <f>IF(ISBLANK(JP!E86),"","x")</f>
        <v/>
      </c>
      <c r="H82" t="str">
        <f>IF(ISBLANK(JP!F86),"","x")</f>
        <v/>
      </c>
      <c r="I82" t="str">
        <f>IF(ISBLANK(JP!G86),"","x")</f>
        <v>x</v>
      </c>
      <c r="J82" t="str">
        <f>IF(ISBLANK(JP!H86),"","x")</f>
        <v/>
      </c>
      <c r="K82" t="str">
        <f>IF(ISBLANK(JP!I86),"","x")</f>
        <v/>
      </c>
      <c r="L82" t="str">
        <f>IF(ISBLANK(JP!J86),"","x")</f>
        <v/>
      </c>
      <c r="M82" t="str">
        <f>IF(ISBLANK(JP!L86),"","x")</f>
        <v/>
      </c>
      <c r="N82" t="str">
        <f>IF(ISBLANK(JP!M86),"","x")</f>
        <v/>
      </c>
      <c r="O82" t="str">
        <f>IF(ISBLANK(JP!N86),"","x")</f>
        <v/>
      </c>
      <c r="P82" t="str">
        <f>IF(ISBLANK(JP!O86),"","x")</f>
        <v/>
      </c>
      <c r="Q82" t="str">
        <f>IF(ISBLANK(JP!P86),"","x")</f>
        <v/>
      </c>
      <c r="R82" t="str">
        <f>IF(ISBLANK(JP!Q86),"","x")</f>
        <v/>
      </c>
      <c r="S82" t="str">
        <f>IF(ISBLANK(JP!R86),"","x")</f>
        <v/>
      </c>
      <c r="T82" t="str">
        <f>IF(ISBLANK(JP!T86),"","x")</f>
        <v/>
      </c>
      <c r="U82" t="str">
        <f>IF(ISBLANK(JP!U86),"","x")</f>
        <v/>
      </c>
      <c r="V82" t="str">
        <f>IF(ISBLANK(JP!V86),"","x")</f>
        <v/>
      </c>
      <c r="W82" t="str">
        <f>IF(ISBLANK(JP!W86),"","x")</f>
        <v/>
      </c>
      <c r="X82" t="str">
        <f>IF(ISBLANK(JP!X86),"","x")</f>
        <v/>
      </c>
      <c r="Y82" t="str">
        <f>IF(ISBLANK(JP!Y86),"","x")</f>
        <v/>
      </c>
      <c r="Z82" t="str">
        <f>IF(ISBLANK(JP!Z86),"","x")</f>
        <v/>
      </c>
      <c r="AA82" t="str">
        <f>IF(ISBLANK(JP!AB86),"","x")</f>
        <v/>
      </c>
      <c r="AB82" t="str">
        <f>IF(ISBLANK(JP!AC86),"","x")</f>
        <v/>
      </c>
      <c r="AC82" t="str">
        <f>IF(ISBLANK(JP!AD86),"","x")</f>
        <v/>
      </c>
      <c r="AD82" t="str">
        <f>IF(ISBLANK(JP!AE86),"","x")</f>
        <v/>
      </c>
      <c r="AE82" t="str">
        <f>IF(ISBLANK(JP!AF86),"","x")</f>
        <v/>
      </c>
      <c r="AF82" t="str">
        <f>IF(ISBLANK(JP!AG86),"","x")</f>
        <v/>
      </c>
      <c r="AG82" t="str">
        <f>IF(ISBLANK(JP!AH86),"","x")</f>
        <v/>
      </c>
      <c r="AH82" t="str">
        <f>IF(ISBLANK(JP!AJ86),"","x")</f>
        <v/>
      </c>
      <c r="AI82" t="str">
        <f>IF(ISBLANK(JP!AK86),"","x")</f>
        <v/>
      </c>
      <c r="AJ82" t="str">
        <f>IF(ISBLANK(JP!AL86),"","x")</f>
        <v/>
      </c>
      <c r="AK82" t="str">
        <f>IF(ISBLANK(JP!AM86),"","x")</f>
        <v/>
      </c>
      <c r="AL82" t="str">
        <f>IF(ISBLANK(JP!AN86),"","x")</f>
        <v/>
      </c>
      <c r="AM82" t="str">
        <f>IF(ISBLANK(JP!AO86),"","x")</f>
        <v/>
      </c>
      <c r="AN82" t="str">
        <f>IF(ISBLANK(JP!AP86),"","x")</f>
        <v/>
      </c>
      <c r="AO82" t="str">
        <f>IF(ISBLANK(JP!AR86),"","x")</f>
        <v/>
      </c>
      <c r="AP82" t="str">
        <f>IF(ISBLANK(JP!AS86),"","x")</f>
        <v/>
      </c>
      <c r="AQ82" t="str">
        <f>IF(ISBLANK(JP!AT86),"","x")</f>
        <v/>
      </c>
      <c r="AR82" t="str">
        <f>IF(ISBLANK(JP!AU86),"","x")</f>
        <v/>
      </c>
      <c r="AS82" t="str">
        <f>IF(ISBLANK(JP!AV86),"","x")</f>
        <v/>
      </c>
      <c r="AT82" t="str">
        <f>IF(ISBLANK(JP!AW86),"","x")</f>
        <v/>
      </c>
      <c r="AU82" t="str">
        <f>IF(ISBLANK(JP!AX86),"","x")</f>
        <v/>
      </c>
    </row>
    <row r="83" spans="2:47">
      <c r="B83">
        <f>IF(ISBLANK(JP!AZ87),"",JP!AZ87)</f>
        <v>10026356</v>
      </c>
      <c r="C83" t="str">
        <f>IF(ISBLANK(JP!BA87),"",JP!BA87)</f>
        <v>KALAIS MINI MART (MARSILING)</v>
      </c>
      <c r="D83" t="str">
        <f>IF(ISBLANK(JP!BC87),"",JP!BC87)</f>
        <v>136 MARSILING ROAD</v>
      </c>
      <c r="E83">
        <f>IF(ISBLANK(JP!BB87),"",JP!BB87)</f>
        <v>1</v>
      </c>
      <c r="F83" t="str">
        <f>IF(ISBLANK(JP!D87),"","x")</f>
        <v/>
      </c>
      <c r="G83" t="str">
        <f>IF(ISBLANK(JP!E87),"","x")</f>
        <v/>
      </c>
      <c r="H83" t="str">
        <f>IF(ISBLANK(JP!F87),"","x")</f>
        <v/>
      </c>
      <c r="I83" t="str">
        <f>IF(ISBLANK(JP!G87),"","x")</f>
        <v>x</v>
      </c>
      <c r="J83" t="str">
        <f>IF(ISBLANK(JP!H87),"","x")</f>
        <v/>
      </c>
      <c r="K83" t="str">
        <f>IF(ISBLANK(JP!I87),"","x")</f>
        <v/>
      </c>
      <c r="L83" t="str">
        <f>IF(ISBLANK(JP!J87),"","x")</f>
        <v/>
      </c>
      <c r="M83" t="str">
        <f>IF(ISBLANK(JP!L87),"","x")</f>
        <v/>
      </c>
      <c r="N83" t="str">
        <f>IF(ISBLANK(JP!M87),"","x")</f>
        <v/>
      </c>
      <c r="O83" t="str">
        <f>IF(ISBLANK(JP!N87),"","x")</f>
        <v/>
      </c>
      <c r="P83" t="str">
        <f>IF(ISBLANK(JP!O87),"","x")</f>
        <v/>
      </c>
      <c r="Q83" t="str">
        <f>IF(ISBLANK(JP!P87),"","x")</f>
        <v/>
      </c>
      <c r="R83" t="str">
        <f>IF(ISBLANK(JP!Q87),"","x")</f>
        <v/>
      </c>
      <c r="S83" t="str">
        <f>IF(ISBLANK(JP!R87),"","x")</f>
        <v/>
      </c>
      <c r="T83" t="str">
        <f>IF(ISBLANK(JP!T87),"","x")</f>
        <v/>
      </c>
      <c r="U83" t="str">
        <f>IF(ISBLANK(JP!U87),"","x")</f>
        <v/>
      </c>
      <c r="V83" t="str">
        <f>IF(ISBLANK(JP!V87),"","x")</f>
        <v/>
      </c>
      <c r="W83" t="str">
        <f>IF(ISBLANK(JP!W87),"","x")</f>
        <v/>
      </c>
      <c r="X83" t="str">
        <f>IF(ISBLANK(JP!X87),"","x")</f>
        <v/>
      </c>
      <c r="Y83" t="str">
        <f>IF(ISBLANK(JP!Y87),"","x")</f>
        <v/>
      </c>
      <c r="Z83" t="str">
        <f>IF(ISBLANK(JP!Z87),"","x")</f>
        <v/>
      </c>
      <c r="AA83" t="str">
        <f>IF(ISBLANK(JP!AB87),"","x")</f>
        <v/>
      </c>
      <c r="AB83" t="str">
        <f>IF(ISBLANK(JP!AC87),"","x")</f>
        <v/>
      </c>
      <c r="AC83" t="str">
        <f>IF(ISBLANK(JP!AD87),"","x")</f>
        <v/>
      </c>
      <c r="AD83" t="str">
        <f>IF(ISBLANK(JP!AE87),"","x")</f>
        <v/>
      </c>
      <c r="AE83" t="str">
        <f>IF(ISBLANK(JP!AF87),"","x")</f>
        <v/>
      </c>
      <c r="AF83" t="str">
        <f>IF(ISBLANK(JP!AG87),"","x")</f>
        <v/>
      </c>
      <c r="AG83" t="str">
        <f>IF(ISBLANK(JP!AH87),"","x")</f>
        <v/>
      </c>
      <c r="AH83" t="str">
        <f>IF(ISBLANK(JP!AJ87),"","x")</f>
        <v/>
      </c>
      <c r="AI83" t="str">
        <f>IF(ISBLANK(JP!AK87),"","x")</f>
        <v/>
      </c>
      <c r="AJ83" t="str">
        <f>IF(ISBLANK(JP!AL87),"","x")</f>
        <v/>
      </c>
      <c r="AK83" t="str">
        <f>IF(ISBLANK(JP!AM87),"","x")</f>
        <v/>
      </c>
      <c r="AL83" t="str">
        <f>IF(ISBLANK(JP!AN87),"","x")</f>
        <v/>
      </c>
      <c r="AM83" t="str">
        <f>IF(ISBLANK(JP!AO87),"","x")</f>
        <v/>
      </c>
      <c r="AN83" t="str">
        <f>IF(ISBLANK(JP!AP87),"","x")</f>
        <v/>
      </c>
      <c r="AO83" t="str">
        <f>IF(ISBLANK(JP!AR87),"","x")</f>
        <v/>
      </c>
      <c r="AP83" t="str">
        <f>IF(ISBLANK(JP!AS87),"","x")</f>
        <v/>
      </c>
      <c r="AQ83" t="str">
        <f>IF(ISBLANK(JP!AT87),"","x")</f>
        <v/>
      </c>
      <c r="AR83" t="str">
        <f>IF(ISBLANK(JP!AU87),"","x")</f>
        <v/>
      </c>
      <c r="AS83" t="str">
        <f>IF(ISBLANK(JP!AV87),"","x")</f>
        <v/>
      </c>
      <c r="AT83" t="str">
        <f>IF(ISBLANK(JP!AW87),"","x")</f>
        <v/>
      </c>
      <c r="AU83" t="str">
        <f>IF(ISBLANK(JP!AX87),"","x")</f>
        <v/>
      </c>
    </row>
    <row r="84" spans="2:47">
      <c r="B84">
        <f>IF(ISBLANK(JP!AZ88),"",JP!AZ88)</f>
        <v>10044216</v>
      </c>
      <c r="C84" t="str">
        <f>IF(ISBLANK(JP!BA88),"",JP!BA88)</f>
        <v>GOOD PRICE CENTRE (MARSILING)</v>
      </c>
      <c r="D84" t="str">
        <f>IF(ISBLANK(JP!BC88),"",JP!BC88)</f>
        <v>136 MARSILING ROAD</v>
      </c>
      <c r="E84">
        <f>IF(ISBLANK(JP!BB88),"",JP!BB88)</f>
        <v>1</v>
      </c>
      <c r="F84" t="str">
        <f>IF(ISBLANK(JP!D88),"","x")</f>
        <v/>
      </c>
      <c r="G84" t="str">
        <f>IF(ISBLANK(JP!E88),"","x")</f>
        <v/>
      </c>
      <c r="H84" t="str">
        <f>IF(ISBLANK(JP!F88),"","x")</f>
        <v/>
      </c>
      <c r="I84" t="str">
        <f>IF(ISBLANK(JP!G88),"","x")</f>
        <v>x</v>
      </c>
      <c r="J84" t="str">
        <f>IF(ISBLANK(JP!H88),"","x")</f>
        <v/>
      </c>
      <c r="K84" t="str">
        <f>IF(ISBLANK(JP!I88),"","x")</f>
        <v/>
      </c>
      <c r="L84" t="str">
        <f>IF(ISBLANK(JP!J88),"","x")</f>
        <v/>
      </c>
      <c r="M84" t="str">
        <f>IF(ISBLANK(JP!L88),"","x")</f>
        <v/>
      </c>
      <c r="N84" t="str">
        <f>IF(ISBLANK(JP!M88),"","x")</f>
        <v/>
      </c>
      <c r="O84" t="str">
        <f>IF(ISBLANK(JP!N88),"","x")</f>
        <v/>
      </c>
      <c r="P84" t="str">
        <f>IF(ISBLANK(JP!O88),"","x")</f>
        <v/>
      </c>
      <c r="Q84" t="str">
        <f>IF(ISBLANK(JP!P88),"","x")</f>
        <v/>
      </c>
      <c r="R84" t="str">
        <f>IF(ISBLANK(JP!Q88),"","x")</f>
        <v/>
      </c>
      <c r="S84" t="str">
        <f>IF(ISBLANK(JP!R88),"","x")</f>
        <v/>
      </c>
      <c r="T84" t="str">
        <f>IF(ISBLANK(JP!T88),"","x")</f>
        <v/>
      </c>
      <c r="U84" t="str">
        <f>IF(ISBLANK(JP!U88),"","x")</f>
        <v/>
      </c>
      <c r="V84" t="str">
        <f>IF(ISBLANK(JP!V88),"","x")</f>
        <v/>
      </c>
      <c r="W84" t="str">
        <f>IF(ISBLANK(JP!W88),"","x")</f>
        <v/>
      </c>
      <c r="X84" t="str">
        <f>IF(ISBLANK(JP!X88),"","x")</f>
        <v/>
      </c>
      <c r="Y84" t="str">
        <f>IF(ISBLANK(JP!Y88),"","x")</f>
        <v/>
      </c>
      <c r="Z84" t="str">
        <f>IF(ISBLANK(JP!Z88),"","x")</f>
        <v/>
      </c>
      <c r="AA84" t="str">
        <f>IF(ISBLANK(JP!AB88),"","x")</f>
        <v/>
      </c>
      <c r="AB84" t="str">
        <f>IF(ISBLANK(JP!AC88),"","x")</f>
        <v/>
      </c>
      <c r="AC84" t="str">
        <f>IF(ISBLANK(JP!AD88),"","x")</f>
        <v/>
      </c>
      <c r="AD84" t="str">
        <f>IF(ISBLANK(JP!AE88),"","x")</f>
        <v/>
      </c>
      <c r="AE84" t="str">
        <f>IF(ISBLANK(JP!AF88),"","x")</f>
        <v/>
      </c>
      <c r="AF84" t="str">
        <f>IF(ISBLANK(JP!AG88),"","x")</f>
        <v/>
      </c>
      <c r="AG84" t="str">
        <f>IF(ISBLANK(JP!AH88),"","x")</f>
        <v/>
      </c>
      <c r="AH84" t="str">
        <f>IF(ISBLANK(JP!AJ88),"","x")</f>
        <v/>
      </c>
      <c r="AI84" t="str">
        <f>IF(ISBLANK(JP!AK88),"","x")</f>
        <v/>
      </c>
      <c r="AJ84" t="str">
        <f>IF(ISBLANK(JP!AL88),"","x")</f>
        <v/>
      </c>
      <c r="AK84" t="str">
        <f>IF(ISBLANK(JP!AM88),"","x")</f>
        <v/>
      </c>
      <c r="AL84" t="str">
        <f>IF(ISBLANK(JP!AN88),"","x")</f>
        <v/>
      </c>
      <c r="AM84" t="str">
        <f>IF(ISBLANK(JP!AO88),"","x")</f>
        <v/>
      </c>
      <c r="AN84" t="str">
        <f>IF(ISBLANK(JP!AP88),"","x")</f>
        <v/>
      </c>
      <c r="AO84" t="str">
        <f>IF(ISBLANK(JP!AR88),"","x")</f>
        <v/>
      </c>
      <c r="AP84" t="str">
        <f>IF(ISBLANK(JP!AS88),"","x")</f>
        <v/>
      </c>
      <c r="AQ84" t="str">
        <f>IF(ISBLANK(JP!AT88),"","x")</f>
        <v/>
      </c>
      <c r="AR84" t="str">
        <f>IF(ISBLANK(JP!AU88),"","x")</f>
        <v/>
      </c>
      <c r="AS84" t="str">
        <f>IF(ISBLANK(JP!AV88),"","x")</f>
        <v/>
      </c>
      <c r="AT84" t="str">
        <f>IF(ISBLANK(JP!AW88),"","x")</f>
        <v/>
      </c>
      <c r="AU84" t="str">
        <f>IF(ISBLANK(JP!AX88),"","x")</f>
        <v/>
      </c>
    </row>
    <row r="85" spans="2:47">
      <c r="B85">
        <f>IF(ISBLANK(JP!AZ89),"",JP!AZ89)</f>
        <v>10045188</v>
      </c>
      <c r="C85" t="str">
        <f>IF(ISBLANK(JP!BA89),"",JP!BA89)</f>
        <v>LIAN SENG MINIMART</v>
      </c>
      <c r="D85" t="str">
        <f>IF(ISBLANK(JP!BC89),"",JP!BC89)</f>
        <v>136 MARSILING ROAD</v>
      </c>
      <c r="E85">
        <f>IF(ISBLANK(JP!BB89),"",JP!BB89)</f>
        <v>1</v>
      </c>
      <c r="F85" t="str">
        <f>IF(ISBLANK(JP!D89),"","x")</f>
        <v/>
      </c>
      <c r="G85" t="str">
        <f>IF(ISBLANK(JP!E89),"","x")</f>
        <v/>
      </c>
      <c r="H85" t="str">
        <f>IF(ISBLANK(JP!F89),"","x")</f>
        <v/>
      </c>
      <c r="I85" t="str">
        <f>IF(ISBLANK(JP!G89),"","x")</f>
        <v>x</v>
      </c>
      <c r="J85" t="str">
        <f>IF(ISBLANK(JP!H89),"","x")</f>
        <v/>
      </c>
      <c r="K85" t="str">
        <f>IF(ISBLANK(JP!I89),"","x")</f>
        <v/>
      </c>
      <c r="L85" t="str">
        <f>IF(ISBLANK(JP!J89),"","x")</f>
        <v/>
      </c>
      <c r="M85" t="str">
        <f>IF(ISBLANK(JP!L89),"","x")</f>
        <v/>
      </c>
      <c r="N85" t="str">
        <f>IF(ISBLANK(JP!M89),"","x")</f>
        <v/>
      </c>
      <c r="O85" t="str">
        <f>IF(ISBLANK(JP!N89),"","x")</f>
        <v/>
      </c>
      <c r="P85" t="str">
        <f>IF(ISBLANK(JP!O89),"","x")</f>
        <v/>
      </c>
      <c r="Q85" t="str">
        <f>IF(ISBLANK(JP!P89),"","x")</f>
        <v/>
      </c>
      <c r="R85" t="str">
        <f>IF(ISBLANK(JP!Q89),"","x")</f>
        <v/>
      </c>
      <c r="S85" t="str">
        <f>IF(ISBLANK(JP!R89),"","x")</f>
        <v/>
      </c>
      <c r="T85" t="str">
        <f>IF(ISBLANK(JP!T89),"","x")</f>
        <v/>
      </c>
      <c r="U85" t="str">
        <f>IF(ISBLANK(JP!U89),"","x")</f>
        <v/>
      </c>
      <c r="V85" t="str">
        <f>IF(ISBLANK(JP!V89),"","x")</f>
        <v/>
      </c>
      <c r="W85" t="str">
        <f>IF(ISBLANK(JP!W89),"","x")</f>
        <v/>
      </c>
      <c r="X85" t="str">
        <f>IF(ISBLANK(JP!X89),"","x")</f>
        <v/>
      </c>
      <c r="Y85" t="str">
        <f>IF(ISBLANK(JP!Y89),"","x")</f>
        <v/>
      </c>
      <c r="Z85" t="str">
        <f>IF(ISBLANK(JP!Z89),"","x")</f>
        <v/>
      </c>
      <c r="AA85" t="str">
        <f>IF(ISBLANK(JP!AB89),"","x")</f>
        <v/>
      </c>
      <c r="AB85" t="str">
        <f>IF(ISBLANK(JP!AC89),"","x")</f>
        <v/>
      </c>
      <c r="AC85" t="str">
        <f>IF(ISBLANK(JP!AD89),"","x")</f>
        <v/>
      </c>
      <c r="AD85" t="str">
        <f>IF(ISBLANK(JP!AE89),"","x")</f>
        <v/>
      </c>
      <c r="AE85" t="str">
        <f>IF(ISBLANK(JP!AF89),"","x")</f>
        <v/>
      </c>
      <c r="AF85" t="str">
        <f>IF(ISBLANK(JP!AG89),"","x")</f>
        <v/>
      </c>
      <c r="AG85" t="str">
        <f>IF(ISBLANK(JP!AH89),"","x")</f>
        <v/>
      </c>
      <c r="AH85" t="str">
        <f>IF(ISBLANK(JP!AJ89),"","x")</f>
        <v/>
      </c>
      <c r="AI85" t="str">
        <f>IF(ISBLANK(JP!AK89),"","x")</f>
        <v/>
      </c>
      <c r="AJ85" t="str">
        <f>IF(ISBLANK(JP!AL89),"","x")</f>
        <v/>
      </c>
      <c r="AK85" t="str">
        <f>IF(ISBLANK(JP!AM89),"","x")</f>
        <v/>
      </c>
      <c r="AL85" t="str">
        <f>IF(ISBLANK(JP!AN89),"","x")</f>
        <v/>
      </c>
      <c r="AM85" t="str">
        <f>IF(ISBLANK(JP!AO89),"","x")</f>
        <v/>
      </c>
      <c r="AN85" t="str">
        <f>IF(ISBLANK(JP!AP89),"","x")</f>
        <v/>
      </c>
      <c r="AO85" t="str">
        <f>IF(ISBLANK(JP!AR89),"","x")</f>
        <v/>
      </c>
      <c r="AP85" t="str">
        <f>IF(ISBLANK(JP!AS89),"","x")</f>
        <v/>
      </c>
      <c r="AQ85" t="str">
        <f>IF(ISBLANK(JP!AT89),"","x")</f>
        <v/>
      </c>
      <c r="AR85" t="str">
        <f>IF(ISBLANK(JP!AU89),"","x")</f>
        <v/>
      </c>
      <c r="AS85" t="str">
        <f>IF(ISBLANK(JP!AV89),"","x")</f>
        <v/>
      </c>
      <c r="AT85" t="str">
        <f>IF(ISBLANK(JP!AW89),"","x")</f>
        <v/>
      </c>
      <c r="AU85" t="str">
        <f>IF(ISBLANK(JP!AX89),"","x")</f>
        <v/>
      </c>
    </row>
    <row r="86" spans="2:47">
      <c r="B86">
        <f>IF(ISBLANK(JP!AZ90),"",JP!AZ90)</f>
        <v>10044851</v>
      </c>
      <c r="C86" t="str">
        <f>IF(ISBLANK(JP!BA90),"",JP!BA90)</f>
        <v>SGS INCORPORATED (VALE STORE 167)</v>
      </c>
      <c r="D86" t="str">
        <f>IF(ISBLANK(JP!BC90),"",JP!BC90)</f>
        <v>167 WOODLANDS STREET 11</v>
      </c>
      <c r="E86">
        <f>IF(ISBLANK(JP!BB90),"",JP!BB90)</f>
        <v>1</v>
      </c>
      <c r="F86" t="str">
        <f>IF(ISBLANK(JP!D90),"","x")</f>
        <v/>
      </c>
      <c r="G86" t="str">
        <f>IF(ISBLANK(JP!E90),"","x")</f>
        <v/>
      </c>
      <c r="H86" t="str">
        <f>IF(ISBLANK(JP!F90),"","x")</f>
        <v/>
      </c>
      <c r="I86" t="str">
        <f>IF(ISBLANK(JP!G90),"","x")</f>
        <v>x</v>
      </c>
      <c r="J86" t="str">
        <f>IF(ISBLANK(JP!H90),"","x")</f>
        <v/>
      </c>
      <c r="K86" t="str">
        <f>IF(ISBLANK(JP!I90),"","x")</f>
        <v/>
      </c>
      <c r="L86" t="str">
        <f>IF(ISBLANK(JP!J90),"","x")</f>
        <v/>
      </c>
      <c r="M86" t="str">
        <f>IF(ISBLANK(JP!L90),"","x")</f>
        <v/>
      </c>
      <c r="N86" t="str">
        <f>IF(ISBLANK(JP!M90),"","x")</f>
        <v/>
      </c>
      <c r="O86" t="str">
        <f>IF(ISBLANK(JP!N90),"","x")</f>
        <v/>
      </c>
      <c r="P86" t="str">
        <f>IF(ISBLANK(JP!O90),"","x")</f>
        <v/>
      </c>
      <c r="Q86" t="str">
        <f>IF(ISBLANK(JP!P90),"","x")</f>
        <v/>
      </c>
      <c r="R86" t="str">
        <f>IF(ISBLANK(JP!Q90),"","x")</f>
        <v/>
      </c>
      <c r="S86" t="str">
        <f>IF(ISBLANK(JP!R90),"","x")</f>
        <v/>
      </c>
      <c r="T86" t="str">
        <f>IF(ISBLANK(JP!T90),"","x")</f>
        <v/>
      </c>
      <c r="U86" t="str">
        <f>IF(ISBLANK(JP!U90),"","x")</f>
        <v/>
      </c>
      <c r="V86" t="str">
        <f>IF(ISBLANK(JP!V90),"","x")</f>
        <v/>
      </c>
      <c r="W86" t="str">
        <f>IF(ISBLANK(JP!W90),"","x")</f>
        <v/>
      </c>
      <c r="X86" t="str">
        <f>IF(ISBLANK(JP!X90),"","x")</f>
        <v/>
      </c>
      <c r="Y86" t="str">
        <f>IF(ISBLANK(JP!Y90),"","x")</f>
        <v/>
      </c>
      <c r="Z86" t="str">
        <f>IF(ISBLANK(JP!Z90),"","x")</f>
        <v/>
      </c>
      <c r="AA86" t="str">
        <f>IF(ISBLANK(JP!AB90),"","x")</f>
        <v/>
      </c>
      <c r="AB86" t="str">
        <f>IF(ISBLANK(JP!AC90),"","x")</f>
        <v/>
      </c>
      <c r="AC86" t="str">
        <f>IF(ISBLANK(JP!AD90),"","x")</f>
        <v/>
      </c>
      <c r="AD86" t="str">
        <f>IF(ISBLANK(JP!AE90),"","x")</f>
        <v/>
      </c>
      <c r="AE86" t="str">
        <f>IF(ISBLANK(JP!AF90),"","x")</f>
        <v/>
      </c>
      <c r="AF86" t="str">
        <f>IF(ISBLANK(JP!AG90),"","x")</f>
        <v/>
      </c>
      <c r="AG86" t="str">
        <f>IF(ISBLANK(JP!AH90),"","x")</f>
        <v/>
      </c>
      <c r="AH86" t="str">
        <f>IF(ISBLANK(JP!AJ90),"","x")</f>
        <v/>
      </c>
      <c r="AI86" t="str">
        <f>IF(ISBLANK(JP!AK90),"","x")</f>
        <v/>
      </c>
      <c r="AJ86" t="str">
        <f>IF(ISBLANK(JP!AL90),"","x")</f>
        <v/>
      </c>
      <c r="AK86" t="str">
        <f>IF(ISBLANK(JP!AM90),"","x")</f>
        <v/>
      </c>
      <c r="AL86" t="str">
        <f>IF(ISBLANK(JP!AN90),"","x")</f>
        <v/>
      </c>
      <c r="AM86" t="str">
        <f>IF(ISBLANK(JP!AO90),"","x")</f>
        <v/>
      </c>
      <c r="AN86" t="str">
        <f>IF(ISBLANK(JP!AP90),"","x")</f>
        <v/>
      </c>
      <c r="AO86" t="str">
        <f>IF(ISBLANK(JP!AR90),"","x")</f>
        <v/>
      </c>
      <c r="AP86" t="str">
        <f>IF(ISBLANK(JP!AS90),"","x")</f>
        <v/>
      </c>
      <c r="AQ86" t="str">
        <f>IF(ISBLANK(JP!AT90),"","x")</f>
        <v/>
      </c>
      <c r="AR86" t="str">
        <f>IF(ISBLANK(JP!AU90),"","x")</f>
        <v/>
      </c>
      <c r="AS86" t="str">
        <f>IF(ISBLANK(JP!AV90),"","x")</f>
        <v/>
      </c>
      <c r="AT86" t="str">
        <f>IF(ISBLANK(JP!AW90),"","x")</f>
        <v/>
      </c>
      <c r="AU86" t="str">
        <f>IF(ISBLANK(JP!AX90),"","x")</f>
        <v/>
      </c>
    </row>
    <row r="87" spans="2:47">
      <c r="B87">
        <f>IF(ISBLANK(JP!AZ91),"",JP!AZ91)</f>
        <v>10039486</v>
      </c>
      <c r="C87" t="str">
        <f>IF(ISBLANK(JP!BA91),"",JP!BA91)</f>
        <v>HENG HOCK MINIMART</v>
      </c>
      <c r="D87" t="str">
        <f>IF(ISBLANK(JP!BC91),"",JP!BC91)</f>
        <v>210 MARSILING CRESCENT</v>
      </c>
      <c r="E87">
        <f>IF(ISBLANK(JP!BB91),"",JP!BB91)</f>
        <v>1</v>
      </c>
      <c r="F87" t="str">
        <f>IF(ISBLANK(JP!D91),"","x")</f>
        <v/>
      </c>
      <c r="G87" t="str">
        <f>IF(ISBLANK(JP!E91),"","x")</f>
        <v/>
      </c>
      <c r="H87" t="str">
        <f>IF(ISBLANK(JP!F91),"","x")</f>
        <v/>
      </c>
      <c r="I87" t="str">
        <f>IF(ISBLANK(JP!G91),"","x")</f>
        <v/>
      </c>
      <c r="J87" t="str">
        <f>IF(ISBLANK(JP!H91),"","x")</f>
        <v/>
      </c>
      <c r="K87" t="str">
        <f>IF(ISBLANK(JP!I91),"","x")</f>
        <v/>
      </c>
      <c r="L87" t="str">
        <f>IF(ISBLANK(JP!J91),"","x")</f>
        <v/>
      </c>
      <c r="M87" t="str">
        <f>IF(ISBLANK(JP!L91),"","x")</f>
        <v/>
      </c>
      <c r="N87" t="str">
        <f>IF(ISBLANK(JP!M91),"","x")</f>
        <v/>
      </c>
      <c r="O87" t="str">
        <f>IF(ISBLANK(JP!N91),"","x")</f>
        <v>x</v>
      </c>
      <c r="P87" t="str">
        <f>IF(ISBLANK(JP!O91),"","x")</f>
        <v/>
      </c>
      <c r="Q87" t="str">
        <f>IF(ISBLANK(JP!P91),"","x")</f>
        <v/>
      </c>
      <c r="R87" t="str">
        <f>IF(ISBLANK(JP!Q91),"","x")</f>
        <v/>
      </c>
      <c r="S87" t="str">
        <f>IF(ISBLANK(JP!R91),"","x")</f>
        <v/>
      </c>
      <c r="T87" t="str">
        <f>IF(ISBLANK(JP!T91),"","x")</f>
        <v/>
      </c>
      <c r="U87" t="str">
        <f>IF(ISBLANK(JP!U91),"","x")</f>
        <v/>
      </c>
      <c r="V87" t="str">
        <f>IF(ISBLANK(JP!V91),"","x")</f>
        <v/>
      </c>
      <c r="W87" t="str">
        <f>IF(ISBLANK(JP!W91),"","x")</f>
        <v/>
      </c>
      <c r="X87" t="str">
        <f>IF(ISBLANK(JP!X91),"","x")</f>
        <v/>
      </c>
      <c r="Y87" t="str">
        <f>IF(ISBLANK(JP!Y91),"","x")</f>
        <v/>
      </c>
      <c r="Z87" t="str">
        <f>IF(ISBLANK(JP!Z91),"","x")</f>
        <v/>
      </c>
      <c r="AA87" t="str">
        <f>IF(ISBLANK(JP!AB91),"","x")</f>
        <v/>
      </c>
      <c r="AB87" t="str">
        <f>IF(ISBLANK(JP!AC91),"","x")</f>
        <v/>
      </c>
      <c r="AC87" t="str">
        <f>IF(ISBLANK(JP!AD91),"","x")</f>
        <v/>
      </c>
      <c r="AD87" t="str">
        <f>IF(ISBLANK(JP!AE91),"","x")</f>
        <v/>
      </c>
      <c r="AE87" t="str">
        <f>IF(ISBLANK(JP!AF91),"","x")</f>
        <v/>
      </c>
      <c r="AF87" t="str">
        <f>IF(ISBLANK(JP!AG91),"","x")</f>
        <v/>
      </c>
      <c r="AG87" t="str">
        <f>IF(ISBLANK(JP!AH91),"","x")</f>
        <v/>
      </c>
      <c r="AH87" t="str">
        <f>IF(ISBLANK(JP!AJ91),"","x")</f>
        <v/>
      </c>
      <c r="AI87" t="str">
        <f>IF(ISBLANK(JP!AK91),"","x")</f>
        <v/>
      </c>
      <c r="AJ87" t="str">
        <f>IF(ISBLANK(JP!AL91),"","x")</f>
        <v/>
      </c>
      <c r="AK87" t="str">
        <f>IF(ISBLANK(JP!AM91),"","x")</f>
        <v/>
      </c>
      <c r="AL87" t="str">
        <f>IF(ISBLANK(JP!AN91),"","x")</f>
        <v/>
      </c>
      <c r="AM87" t="str">
        <f>IF(ISBLANK(JP!AO91),"","x")</f>
        <v/>
      </c>
      <c r="AN87" t="str">
        <f>IF(ISBLANK(JP!AP91),"","x")</f>
        <v/>
      </c>
      <c r="AO87" t="str">
        <f>IF(ISBLANK(JP!AR91),"","x")</f>
        <v/>
      </c>
      <c r="AP87" t="str">
        <f>IF(ISBLANK(JP!AS91),"","x")</f>
        <v/>
      </c>
      <c r="AQ87" t="str">
        <f>IF(ISBLANK(JP!AT91),"","x")</f>
        <v/>
      </c>
      <c r="AR87" t="str">
        <f>IF(ISBLANK(JP!AU91),"","x")</f>
        <v/>
      </c>
      <c r="AS87" t="str">
        <f>IF(ISBLANK(JP!AV91),"","x")</f>
        <v/>
      </c>
      <c r="AT87" t="str">
        <f>IF(ISBLANK(JP!AW91),"","x")</f>
        <v/>
      </c>
      <c r="AU87" t="str">
        <f>IF(ISBLANK(JP!AX91),"","x")</f>
        <v/>
      </c>
    </row>
    <row r="88" spans="2:47">
      <c r="B88">
        <f>IF(ISBLANK(JP!AZ92),"",JP!AZ92)</f>
        <v>10045005</v>
      </c>
      <c r="C88" t="str">
        <f>IF(ISBLANK(JP!BA92),"",JP!BA92)</f>
        <v>WANN AUN TONG MEDICAL HALL</v>
      </c>
      <c r="D88" t="str">
        <f>IF(ISBLANK(JP!BC92),"",JP!BC92)</f>
        <v>302 WOODLANDS STREET 31</v>
      </c>
      <c r="E88">
        <f>IF(ISBLANK(JP!BB92),"",JP!BB92)</f>
        <v>1</v>
      </c>
      <c r="F88" t="str">
        <f>IF(ISBLANK(JP!D92),"","x")</f>
        <v/>
      </c>
      <c r="G88" t="str">
        <f>IF(ISBLANK(JP!E92),"","x")</f>
        <v/>
      </c>
      <c r="H88" t="str">
        <f>IF(ISBLANK(JP!F92),"","x")</f>
        <v/>
      </c>
      <c r="I88" t="str">
        <f>IF(ISBLANK(JP!G92),"","x")</f>
        <v/>
      </c>
      <c r="J88" t="str">
        <f>IF(ISBLANK(JP!H92),"","x")</f>
        <v/>
      </c>
      <c r="K88" t="str">
        <f>IF(ISBLANK(JP!I92),"","x")</f>
        <v/>
      </c>
      <c r="L88" t="str">
        <f>IF(ISBLANK(JP!J92),"","x")</f>
        <v/>
      </c>
      <c r="M88" t="str">
        <f>IF(ISBLANK(JP!L92),"","x")</f>
        <v/>
      </c>
      <c r="N88" t="str">
        <f>IF(ISBLANK(JP!M92),"","x")</f>
        <v/>
      </c>
      <c r="O88" t="str">
        <f>IF(ISBLANK(JP!N92),"","x")</f>
        <v>x</v>
      </c>
      <c r="P88" t="str">
        <f>IF(ISBLANK(JP!O92),"","x")</f>
        <v/>
      </c>
      <c r="Q88" t="str">
        <f>IF(ISBLANK(JP!P92),"","x")</f>
        <v/>
      </c>
      <c r="R88" t="str">
        <f>IF(ISBLANK(JP!Q92),"","x")</f>
        <v/>
      </c>
      <c r="S88" t="str">
        <f>IF(ISBLANK(JP!R92),"","x")</f>
        <v/>
      </c>
      <c r="T88" t="str">
        <f>IF(ISBLANK(JP!T92),"","x")</f>
        <v/>
      </c>
      <c r="U88" t="str">
        <f>IF(ISBLANK(JP!U92),"","x")</f>
        <v/>
      </c>
      <c r="V88" t="str">
        <f>IF(ISBLANK(JP!V92),"","x")</f>
        <v/>
      </c>
      <c r="W88" t="str">
        <f>IF(ISBLANK(JP!W92),"","x")</f>
        <v/>
      </c>
      <c r="X88" t="str">
        <f>IF(ISBLANK(JP!X92),"","x")</f>
        <v/>
      </c>
      <c r="Y88" t="str">
        <f>IF(ISBLANK(JP!Y92),"","x")</f>
        <v/>
      </c>
      <c r="Z88" t="str">
        <f>IF(ISBLANK(JP!Z92),"","x")</f>
        <v/>
      </c>
      <c r="AA88" t="str">
        <f>IF(ISBLANK(JP!AB92),"","x")</f>
        <v/>
      </c>
      <c r="AB88" t="str">
        <f>IF(ISBLANK(JP!AC92),"","x")</f>
        <v/>
      </c>
      <c r="AC88" t="str">
        <f>IF(ISBLANK(JP!AD92),"","x")</f>
        <v/>
      </c>
      <c r="AD88" t="str">
        <f>IF(ISBLANK(JP!AE92),"","x")</f>
        <v/>
      </c>
      <c r="AE88" t="str">
        <f>IF(ISBLANK(JP!AF92),"","x")</f>
        <v/>
      </c>
      <c r="AF88" t="str">
        <f>IF(ISBLANK(JP!AG92),"","x")</f>
        <v/>
      </c>
      <c r="AG88" t="str">
        <f>IF(ISBLANK(JP!AH92),"","x")</f>
        <v/>
      </c>
      <c r="AH88" t="str">
        <f>IF(ISBLANK(JP!AJ92),"","x")</f>
        <v/>
      </c>
      <c r="AI88" t="str">
        <f>IF(ISBLANK(JP!AK92),"","x")</f>
        <v/>
      </c>
      <c r="AJ88" t="str">
        <f>IF(ISBLANK(JP!AL92),"","x")</f>
        <v/>
      </c>
      <c r="AK88" t="str">
        <f>IF(ISBLANK(JP!AM92),"","x")</f>
        <v/>
      </c>
      <c r="AL88" t="str">
        <f>IF(ISBLANK(JP!AN92),"","x")</f>
        <v/>
      </c>
      <c r="AM88" t="str">
        <f>IF(ISBLANK(JP!AO92),"","x")</f>
        <v/>
      </c>
      <c r="AN88" t="str">
        <f>IF(ISBLANK(JP!AP92),"","x")</f>
        <v/>
      </c>
      <c r="AO88" t="str">
        <f>IF(ISBLANK(JP!AR92),"","x")</f>
        <v/>
      </c>
      <c r="AP88" t="str">
        <f>IF(ISBLANK(JP!AS92),"","x")</f>
        <v/>
      </c>
      <c r="AQ88" t="str">
        <f>IF(ISBLANK(JP!AT92),"","x")</f>
        <v/>
      </c>
      <c r="AR88" t="str">
        <f>IF(ISBLANK(JP!AU92),"","x")</f>
        <v/>
      </c>
      <c r="AS88" t="str">
        <f>IF(ISBLANK(JP!AV92),"","x")</f>
        <v/>
      </c>
      <c r="AT88" t="str">
        <f>IF(ISBLANK(JP!AW92),"","x")</f>
        <v/>
      </c>
      <c r="AU88" t="str">
        <f>IF(ISBLANK(JP!AX92),"","x")</f>
        <v/>
      </c>
    </row>
    <row r="89" spans="2:47">
      <c r="B89">
        <f>IF(ISBLANK(JP!AZ93),"",JP!AZ93)</f>
        <v>10015469</v>
      </c>
      <c r="C89" t="str">
        <f>IF(ISBLANK(JP!BA93),"",JP!BA93)</f>
        <v>98 TRADING</v>
      </c>
      <c r="D89" t="str">
        <f>IF(ISBLANK(JP!BC93),"",JP!BC93)</f>
        <v>304 WOODLANDS AVENUE 1</v>
      </c>
      <c r="E89">
        <f>IF(ISBLANK(JP!BB93),"",JP!BB93)</f>
        <v>1</v>
      </c>
      <c r="F89" t="str">
        <f>IF(ISBLANK(JP!D93),"","x")</f>
        <v/>
      </c>
      <c r="G89" t="str">
        <f>IF(ISBLANK(JP!E93),"","x")</f>
        <v/>
      </c>
      <c r="H89" t="str">
        <f>IF(ISBLANK(JP!F93),"","x")</f>
        <v/>
      </c>
      <c r="I89" t="str">
        <f>IF(ISBLANK(JP!G93),"","x")</f>
        <v/>
      </c>
      <c r="J89" t="str">
        <f>IF(ISBLANK(JP!H93),"","x")</f>
        <v/>
      </c>
      <c r="K89" t="str">
        <f>IF(ISBLANK(JP!I93),"","x")</f>
        <v/>
      </c>
      <c r="L89" t="str">
        <f>IF(ISBLANK(JP!J93),"","x")</f>
        <v/>
      </c>
      <c r="M89" t="str">
        <f>IF(ISBLANK(JP!L93),"","x")</f>
        <v/>
      </c>
      <c r="N89" t="str">
        <f>IF(ISBLANK(JP!M93),"","x")</f>
        <v/>
      </c>
      <c r="O89" t="str">
        <f>IF(ISBLANK(JP!N93),"","x")</f>
        <v>x</v>
      </c>
      <c r="P89" t="str">
        <f>IF(ISBLANK(JP!O93),"","x")</f>
        <v/>
      </c>
      <c r="Q89" t="str">
        <f>IF(ISBLANK(JP!P93),"","x")</f>
        <v/>
      </c>
      <c r="R89" t="str">
        <f>IF(ISBLANK(JP!Q93),"","x")</f>
        <v/>
      </c>
      <c r="S89" t="str">
        <f>IF(ISBLANK(JP!R93),"","x")</f>
        <v/>
      </c>
      <c r="T89" t="str">
        <f>IF(ISBLANK(JP!T93),"","x")</f>
        <v/>
      </c>
      <c r="U89" t="str">
        <f>IF(ISBLANK(JP!U93),"","x")</f>
        <v/>
      </c>
      <c r="V89" t="str">
        <f>IF(ISBLANK(JP!V93),"","x")</f>
        <v/>
      </c>
      <c r="W89" t="str">
        <f>IF(ISBLANK(JP!W93),"","x")</f>
        <v/>
      </c>
      <c r="X89" t="str">
        <f>IF(ISBLANK(JP!X93),"","x")</f>
        <v/>
      </c>
      <c r="Y89" t="str">
        <f>IF(ISBLANK(JP!Y93),"","x")</f>
        <v/>
      </c>
      <c r="Z89" t="str">
        <f>IF(ISBLANK(JP!Z93),"","x")</f>
        <v/>
      </c>
      <c r="AA89" t="str">
        <f>IF(ISBLANK(JP!AB93),"","x")</f>
        <v/>
      </c>
      <c r="AB89" t="str">
        <f>IF(ISBLANK(JP!AC93),"","x")</f>
        <v/>
      </c>
      <c r="AC89" t="str">
        <f>IF(ISBLANK(JP!AD93),"","x")</f>
        <v/>
      </c>
      <c r="AD89" t="str">
        <f>IF(ISBLANK(JP!AE93),"","x")</f>
        <v/>
      </c>
      <c r="AE89" t="str">
        <f>IF(ISBLANK(JP!AF93),"","x")</f>
        <v/>
      </c>
      <c r="AF89" t="str">
        <f>IF(ISBLANK(JP!AG93),"","x")</f>
        <v/>
      </c>
      <c r="AG89" t="str">
        <f>IF(ISBLANK(JP!AH93),"","x")</f>
        <v/>
      </c>
      <c r="AH89" t="str">
        <f>IF(ISBLANK(JP!AJ93),"","x")</f>
        <v/>
      </c>
      <c r="AI89" t="str">
        <f>IF(ISBLANK(JP!AK93),"","x")</f>
        <v/>
      </c>
      <c r="AJ89" t="str">
        <f>IF(ISBLANK(JP!AL93),"","x")</f>
        <v/>
      </c>
      <c r="AK89" t="str">
        <f>IF(ISBLANK(JP!AM93),"","x")</f>
        <v/>
      </c>
      <c r="AL89" t="str">
        <f>IF(ISBLANK(JP!AN93),"","x")</f>
        <v/>
      </c>
      <c r="AM89" t="str">
        <f>IF(ISBLANK(JP!AO93),"","x")</f>
        <v/>
      </c>
      <c r="AN89" t="str">
        <f>IF(ISBLANK(JP!AP93),"","x")</f>
        <v/>
      </c>
      <c r="AO89" t="str">
        <f>IF(ISBLANK(JP!AR93),"","x")</f>
        <v/>
      </c>
      <c r="AP89" t="str">
        <f>IF(ISBLANK(JP!AS93),"","x")</f>
        <v/>
      </c>
      <c r="AQ89" t="str">
        <f>IF(ISBLANK(JP!AT93),"","x")</f>
        <v/>
      </c>
      <c r="AR89" t="str">
        <f>IF(ISBLANK(JP!AU93),"","x")</f>
        <v/>
      </c>
      <c r="AS89" t="str">
        <f>IF(ISBLANK(JP!AV93),"","x")</f>
        <v/>
      </c>
      <c r="AT89" t="str">
        <f>IF(ISBLANK(JP!AW93),"","x")</f>
        <v/>
      </c>
      <c r="AU89" t="str">
        <f>IF(ISBLANK(JP!AX93),"","x")</f>
        <v/>
      </c>
    </row>
    <row r="90" spans="2:47">
      <c r="B90">
        <f>IF(ISBLANK(JP!AZ94),"",JP!AZ94)</f>
        <v>10043204</v>
      </c>
      <c r="C90" t="str">
        <f>IF(ISBLANK(JP!BA94),"",JP!BA94)</f>
        <v>UNIQUE-BITS</v>
      </c>
      <c r="D90" t="str">
        <f>IF(ISBLANK(JP!BC94),"",JP!BC94)</f>
        <v>304 WOODLANDS STREET 31</v>
      </c>
      <c r="E90">
        <f>IF(ISBLANK(JP!BB94),"",JP!BB94)</f>
        <v>1</v>
      </c>
      <c r="F90" t="str">
        <f>IF(ISBLANK(JP!D94),"","x")</f>
        <v/>
      </c>
      <c r="G90" t="str">
        <f>IF(ISBLANK(JP!E94),"","x")</f>
        <v/>
      </c>
      <c r="H90" t="str">
        <f>IF(ISBLANK(JP!F94),"","x")</f>
        <v/>
      </c>
      <c r="I90" t="str">
        <f>IF(ISBLANK(JP!G94),"","x")</f>
        <v/>
      </c>
      <c r="J90" t="str">
        <f>IF(ISBLANK(JP!H94),"","x")</f>
        <v/>
      </c>
      <c r="K90" t="str">
        <f>IF(ISBLANK(JP!I94),"","x")</f>
        <v/>
      </c>
      <c r="L90" t="str">
        <f>IF(ISBLANK(JP!J94),"","x")</f>
        <v/>
      </c>
      <c r="M90" t="str">
        <f>IF(ISBLANK(JP!L94),"","x")</f>
        <v/>
      </c>
      <c r="N90" t="str">
        <f>IF(ISBLANK(JP!M94),"","x")</f>
        <v/>
      </c>
      <c r="O90" t="str">
        <f>IF(ISBLANK(JP!N94),"","x")</f>
        <v>x</v>
      </c>
      <c r="P90" t="str">
        <f>IF(ISBLANK(JP!O94),"","x")</f>
        <v/>
      </c>
      <c r="Q90" t="str">
        <f>IF(ISBLANK(JP!P94),"","x")</f>
        <v/>
      </c>
      <c r="R90" t="str">
        <f>IF(ISBLANK(JP!Q94),"","x")</f>
        <v/>
      </c>
      <c r="S90" t="str">
        <f>IF(ISBLANK(JP!R94),"","x")</f>
        <v/>
      </c>
      <c r="T90" t="str">
        <f>IF(ISBLANK(JP!T94),"","x")</f>
        <v/>
      </c>
      <c r="U90" t="str">
        <f>IF(ISBLANK(JP!U94),"","x")</f>
        <v/>
      </c>
      <c r="V90" t="str">
        <f>IF(ISBLANK(JP!V94),"","x")</f>
        <v/>
      </c>
      <c r="W90" t="str">
        <f>IF(ISBLANK(JP!W94),"","x")</f>
        <v/>
      </c>
      <c r="X90" t="str">
        <f>IF(ISBLANK(JP!X94),"","x")</f>
        <v/>
      </c>
      <c r="Y90" t="str">
        <f>IF(ISBLANK(JP!Y94),"","x")</f>
        <v/>
      </c>
      <c r="Z90" t="str">
        <f>IF(ISBLANK(JP!Z94),"","x")</f>
        <v/>
      </c>
      <c r="AA90" t="str">
        <f>IF(ISBLANK(JP!AB94),"","x")</f>
        <v/>
      </c>
      <c r="AB90" t="str">
        <f>IF(ISBLANK(JP!AC94),"","x")</f>
        <v/>
      </c>
      <c r="AC90" t="str">
        <f>IF(ISBLANK(JP!AD94),"","x")</f>
        <v/>
      </c>
      <c r="AD90" t="str">
        <f>IF(ISBLANK(JP!AE94),"","x")</f>
        <v/>
      </c>
      <c r="AE90" t="str">
        <f>IF(ISBLANK(JP!AF94),"","x")</f>
        <v/>
      </c>
      <c r="AF90" t="str">
        <f>IF(ISBLANK(JP!AG94),"","x")</f>
        <v/>
      </c>
      <c r="AG90" t="str">
        <f>IF(ISBLANK(JP!AH94),"","x")</f>
        <v/>
      </c>
      <c r="AH90" t="str">
        <f>IF(ISBLANK(JP!AJ94),"","x")</f>
        <v/>
      </c>
      <c r="AI90" t="str">
        <f>IF(ISBLANK(JP!AK94),"","x")</f>
        <v/>
      </c>
      <c r="AJ90" t="str">
        <f>IF(ISBLANK(JP!AL94),"","x")</f>
        <v/>
      </c>
      <c r="AK90" t="str">
        <f>IF(ISBLANK(JP!AM94),"","x")</f>
        <v/>
      </c>
      <c r="AL90" t="str">
        <f>IF(ISBLANK(JP!AN94),"","x")</f>
        <v/>
      </c>
      <c r="AM90" t="str">
        <f>IF(ISBLANK(JP!AO94),"","x")</f>
        <v/>
      </c>
      <c r="AN90" t="str">
        <f>IF(ISBLANK(JP!AP94),"","x")</f>
        <v/>
      </c>
      <c r="AO90" t="str">
        <f>IF(ISBLANK(JP!AR94),"","x")</f>
        <v/>
      </c>
      <c r="AP90" t="str">
        <f>IF(ISBLANK(JP!AS94),"","x")</f>
        <v/>
      </c>
      <c r="AQ90" t="str">
        <f>IF(ISBLANK(JP!AT94),"","x")</f>
        <v/>
      </c>
      <c r="AR90" t="str">
        <f>IF(ISBLANK(JP!AU94),"","x")</f>
        <v/>
      </c>
      <c r="AS90" t="str">
        <f>IF(ISBLANK(JP!AV94),"","x")</f>
        <v/>
      </c>
      <c r="AT90" t="str">
        <f>IF(ISBLANK(JP!AW94),"","x")</f>
        <v/>
      </c>
      <c r="AU90" t="str">
        <f>IF(ISBLANK(JP!AX94),"","x")</f>
        <v/>
      </c>
    </row>
    <row r="91" spans="2:47">
      <c r="B91">
        <f>IF(ISBLANK(JP!AZ95),"",JP!AZ95)</f>
        <v>10044819</v>
      </c>
      <c r="C91" t="str">
        <f>IF(ISBLANK(JP!BA95),"",JP!BA95)</f>
        <v>SM MART (WOODLANDS)</v>
      </c>
      <c r="D91" t="str">
        <f>IF(ISBLANK(JP!BC95),"",JP!BC95)</f>
        <v>304 WOODLANDS STREET 31</v>
      </c>
      <c r="E91">
        <f>IF(ISBLANK(JP!BB95),"",JP!BB95)</f>
        <v>1</v>
      </c>
      <c r="F91" t="str">
        <f>IF(ISBLANK(JP!D95),"","x")</f>
        <v/>
      </c>
      <c r="G91" t="str">
        <f>IF(ISBLANK(JP!E95),"","x")</f>
        <v/>
      </c>
      <c r="H91" t="str">
        <f>IF(ISBLANK(JP!F95),"","x")</f>
        <v/>
      </c>
      <c r="I91" t="str">
        <f>IF(ISBLANK(JP!G95),"","x")</f>
        <v/>
      </c>
      <c r="J91" t="str">
        <f>IF(ISBLANK(JP!H95),"","x")</f>
        <v/>
      </c>
      <c r="K91" t="str">
        <f>IF(ISBLANK(JP!I95),"","x")</f>
        <v/>
      </c>
      <c r="L91" t="str">
        <f>IF(ISBLANK(JP!J95),"","x")</f>
        <v/>
      </c>
      <c r="M91" t="str">
        <f>IF(ISBLANK(JP!L95),"","x")</f>
        <v/>
      </c>
      <c r="N91" t="str">
        <f>IF(ISBLANK(JP!M95),"","x")</f>
        <v/>
      </c>
      <c r="O91" t="str">
        <f>IF(ISBLANK(JP!N95),"","x")</f>
        <v>x</v>
      </c>
      <c r="P91" t="str">
        <f>IF(ISBLANK(JP!O95),"","x")</f>
        <v/>
      </c>
      <c r="Q91" t="str">
        <f>IF(ISBLANK(JP!P95),"","x")</f>
        <v/>
      </c>
      <c r="R91" t="str">
        <f>IF(ISBLANK(JP!Q95),"","x")</f>
        <v/>
      </c>
      <c r="S91" t="str">
        <f>IF(ISBLANK(JP!R95),"","x")</f>
        <v/>
      </c>
      <c r="T91" t="str">
        <f>IF(ISBLANK(JP!T95),"","x")</f>
        <v/>
      </c>
      <c r="U91" t="str">
        <f>IF(ISBLANK(JP!U95),"","x")</f>
        <v/>
      </c>
      <c r="V91" t="str">
        <f>IF(ISBLANK(JP!V95),"","x")</f>
        <v/>
      </c>
      <c r="W91" t="str">
        <f>IF(ISBLANK(JP!W95),"","x")</f>
        <v/>
      </c>
      <c r="X91" t="str">
        <f>IF(ISBLANK(JP!X95),"","x")</f>
        <v/>
      </c>
      <c r="Y91" t="str">
        <f>IF(ISBLANK(JP!Y95),"","x")</f>
        <v/>
      </c>
      <c r="Z91" t="str">
        <f>IF(ISBLANK(JP!Z95),"","x")</f>
        <v/>
      </c>
      <c r="AA91" t="str">
        <f>IF(ISBLANK(JP!AB95),"","x")</f>
        <v/>
      </c>
      <c r="AB91" t="str">
        <f>IF(ISBLANK(JP!AC95),"","x")</f>
        <v/>
      </c>
      <c r="AC91" t="str">
        <f>IF(ISBLANK(JP!AD95),"","x")</f>
        <v/>
      </c>
      <c r="AD91" t="str">
        <f>IF(ISBLANK(JP!AE95),"","x")</f>
        <v/>
      </c>
      <c r="AE91" t="str">
        <f>IF(ISBLANK(JP!AF95),"","x")</f>
        <v/>
      </c>
      <c r="AF91" t="str">
        <f>IF(ISBLANK(JP!AG95),"","x")</f>
        <v/>
      </c>
      <c r="AG91" t="str">
        <f>IF(ISBLANK(JP!AH95),"","x")</f>
        <v/>
      </c>
      <c r="AH91" t="str">
        <f>IF(ISBLANK(JP!AJ95),"","x")</f>
        <v/>
      </c>
      <c r="AI91" t="str">
        <f>IF(ISBLANK(JP!AK95),"","x")</f>
        <v/>
      </c>
      <c r="AJ91" t="str">
        <f>IF(ISBLANK(JP!AL95),"","x")</f>
        <v/>
      </c>
      <c r="AK91" t="str">
        <f>IF(ISBLANK(JP!AM95),"","x")</f>
        <v/>
      </c>
      <c r="AL91" t="str">
        <f>IF(ISBLANK(JP!AN95),"","x")</f>
        <v/>
      </c>
      <c r="AM91" t="str">
        <f>IF(ISBLANK(JP!AO95),"","x")</f>
        <v/>
      </c>
      <c r="AN91" t="str">
        <f>IF(ISBLANK(JP!AP95),"","x")</f>
        <v/>
      </c>
      <c r="AO91" t="str">
        <f>IF(ISBLANK(JP!AR95),"","x")</f>
        <v/>
      </c>
      <c r="AP91" t="str">
        <f>IF(ISBLANK(JP!AS95),"","x")</f>
        <v/>
      </c>
      <c r="AQ91" t="str">
        <f>IF(ISBLANK(JP!AT95),"","x")</f>
        <v/>
      </c>
      <c r="AR91" t="str">
        <f>IF(ISBLANK(JP!AU95),"","x")</f>
        <v/>
      </c>
      <c r="AS91" t="str">
        <f>IF(ISBLANK(JP!AV95),"","x")</f>
        <v/>
      </c>
      <c r="AT91" t="str">
        <f>IF(ISBLANK(JP!AW95),"","x")</f>
        <v/>
      </c>
      <c r="AU91" t="str">
        <f>IF(ISBLANK(JP!AX95),"","x")</f>
        <v/>
      </c>
    </row>
    <row r="92" spans="2:47">
      <c r="B92">
        <f>IF(ISBLANK(JP!AZ96),"",JP!AZ96)</f>
        <v>10024834</v>
      </c>
      <c r="C92" t="str">
        <f>IF(ISBLANK(JP!BA96),"",JP!BA96)</f>
        <v>WIN &amp; NING ENTERPRISE</v>
      </c>
      <c r="D92" t="str">
        <f>IF(ISBLANK(JP!BC96),"",JP!BC96)</f>
        <v>326 WOODLANDS STREET 32</v>
      </c>
      <c r="E92">
        <f>IF(ISBLANK(JP!BB96),"",JP!BB96)</f>
        <v>1</v>
      </c>
      <c r="F92" t="str">
        <f>IF(ISBLANK(JP!D96),"","x")</f>
        <v/>
      </c>
      <c r="G92" t="str">
        <f>IF(ISBLANK(JP!E96),"","x")</f>
        <v/>
      </c>
      <c r="H92" t="str">
        <f>IF(ISBLANK(JP!F96),"","x")</f>
        <v/>
      </c>
      <c r="I92" t="str">
        <f>IF(ISBLANK(JP!G96),"","x")</f>
        <v/>
      </c>
      <c r="J92" t="str">
        <f>IF(ISBLANK(JP!H96),"","x")</f>
        <v/>
      </c>
      <c r="K92" t="str">
        <f>IF(ISBLANK(JP!I96),"","x")</f>
        <v/>
      </c>
      <c r="L92" t="str">
        <f>IF(ISBLANK(JP!J96),"","x")</f>
        <v/>
      </c>
      <c r="M92" t="str">
        <f>IF(ISBLANK(JP!L96),"","x")</f>
        <v/>
      </c>
      <c r="N92" t="str">
        <f>IF(ISBLANK(JP!M96),"","x")</f>
        <v/>
      </c>
      <c r="O92" t="str">
        <f>IF(ISBLANK(JP!N96),"","x")</f>
        <v>x</v>
      </c>
      <c r="P92" t="str">
        <f>IF(ISBLANK(JP!O96),"","x")</f>
        <v/>
      </c>
      <c r="Q92" t="str">
        <f>IF(ISBLANK(JP!P96),"","x")</f>
        <v/>
      </c>
      <c r="R92" t="str">
        <f>IF(ISBLANK(JP!Q96),"","x")</f>
        <v/>
      </c>
      <c r="S92" t="str">
        <f>IF(ISBLANK(JP!R96),"","x")</f>
        <v/>
      </c>
      <c r="T92" t="str">
        <f>IF(ISBLANK(JP!T96),"","x")</f>
        <v/>
      </c>
      <c r="U92" t="str">
        <f>IF(ISBLANK(JP!U96),"","x")</f>
        <v/>
      </c>
      <c r="V92" t="str">
        <f>IF(ISBLANK(JP!V96),"","x")</f>
        <v/>
      </c>
      <c r="W92" t="str">
        <f>IF(ISBLANK(JP!W96),"","x")</f>
        <v/>
      </c>
      <c r="X92" t="str">
        <f>IF(ISBLANK(JP!X96),"","x")</f>
        <v/>
      </c>
      <c r="Y92" t="str">
        <f>IF(ISBLANK(JP!Y96),"","x")</f>
        <v/>
      </c>
      <c r="Z92" t="str">
        <f>IF(ISBLANK(JP!Z96),"","x")</f>
        <v/>
      </c>
      <c r="AA92" t="str">
        <f>IF(ISBLANK(JP!AB96),"","x")</f>
        <v/>
      </c>
      <c r="AB92" t="str">
        <f>IF(ISBLANK(JP!AC96),"","x")</f>
        <v/>
      </c>
      <c r="AC92" t="str">
        <f>IF(ISBLANK(JP!AD96),"","x")</f>
        <v/>
      </c>
      <c r="AD92" t="str">
        <f>IF(ISBLANK(JP!AE96),"","x")</f>
        <v/>
      </c>
      <c r="AE92" t="str">
        <f>IF(ISBLANK(JP!AF96),"","x")</f>
        <v/>
      </c>
      <c r="AF92" t="str">
        <f>IF(ISBLANK(JP!AG96),"","x")</f>
        <v/>
      </c>
      <c r="AG92" t="str">
        <f>IF(ISBLANK(JP!AH96),"","x")</f>
        <v/>
      </c>
      <c r="AH92" t="str">
        <f>IF(ISBLANK(JP!AJ96),"","x")</f>
        <v/>
      </c>
      <c r="AI92" t="str">
        <f>IF(ISBLANK(JP!AK96),"","x")</f>
        <v/>
      </c>
      <c r="AJ92" t="str">
        <f>IF(ISBLANK(JP!AL96),"","x")</f>
        <v/>
      </c>
      <c r="AK92" t="str">
        <f>IF(ISBLANK(JP!AM96),"","x")</f>
        <v/>
      </c>
      <c r="AL92" t="str">
        <f>IF(ISBLANK(JP!AN96),"","x")</f>
        <v/>
      </c>
      <c r="AM92" t="str">
        <f>IF(ISBLANK(JP!AO96),"","x")</f>
        <v/>
      </c>
      <c r="AN92" t="str">
        <f>IF(ISBLANK(JP!AP96),"","x")</f>
        <v/>
      </c>
      <c r="AO92" t="str">
        <f>IF(ISBLANK(JP!AR96),"","x")</f>
        <v/>
      </c>
      <c r="AP92" t="str">
        <f>IF(ISBLANK(JP!AS96),"","x")</f>
        <v/>
      </c>
      <c r="AQ92" t="str">
        <f>IF(ISBLANK(JP!AT96),"","x")</f>
        <v/>
      </c>
      <c r="AR92" t="str">
        <f>IF(ISBLANK(JP!AU96),"","x")</f>
        <v/>
      </c>
      <c r="AS92" t="str">
        <f>IF(ISBLANK(JP!AV96),"","x")</f>
        <v/>
      </c>
      <c r="AT92" t="str">
        <f>IF(ISBLANK(JP!AW96),"","x")</f>
        <v/>
      </c>
      <c r="AU92" t="str">
        <f>IF(ISBLANK(JP!AX96),"","x")</f>
        <v/>
      </c>
    </row>
    <row r="93" spans="2:47">
      <c r="B93">
        <f>IF(ISBLANK(JP!AZ97),"",JP!AZ97)</f>
        <v>10041964</v>
      </c>
      <c r="C93" t="str">
        <f>IF(ISBLANK(JP!BA97),"",JP!BA97)</f>
        <v>ANGEL SUPERMART</v>
      </c>
      <c r="D93" t="str">
        <f>IF(ISBLANK(JP!BC97),"",JP!BC97)</f>
        <v>326 WOODLANDS STREET 32</v>
      </c>
      <c r="E93">
        <f>IF(ISBLANK(JP!BB97),"",JP!BB97)</f>
        <v>1</v>
      </c>
      <c r="F93" t="str">
        <f>IF(ISBLANK(JP!D97),"","x")</f>
        <v/>
      </c>
      <c r="G93" t="str">
        <f>IF(ISBLANK(JP!E97),"","x")</f>
        <v/>
      </c>
      <c r="H93" t="str">
        <f>IF(ISBLANK(JP!F97),"","x")</f>
        <v/>
      </c>
      <c r="I93" t="str">
        <f>IF(ISBLANK(JP!G97),"","x")</f>
        <v/>
      </c>
      <c r="J93" t="str">
        <f>IF(ISBLANK(JP!H97),"","x")</f>
        <v/>
      </c>
      <c r="K93" t="str">
        <f>IF(ISBLANK(JP!I97),"","x")</f>
        <v/>
      </c>
      <c r="L93" t="str">
        <f>IF(ISBLANK(JP!J97),"","x")</f>
        <v/>
      </c>
      <c r="M93" t="str">
        <f>IF(ISBLANK(JP!L97),"","x")</f>
        <v/>
      </c>
      <c r="N93" t="str">
        <f>IF(ISBLANK(JP!M97),"","x")</f>
        <v/>
      </c>
      <c r="O93" t="str">
        <f>IF(ISBLANK(JP!N97),"","x")</f>
        <v/>
      </c>
      <c r="P93" t="str">
        <f>IF(ISBLANK(JP!O97),"","x")</f>
        <v/>
      </c>
      <c r="Q93" t="str">
        <f>IF(ISBLANK(JP!P97),"","x")</f>
        <v/>
      </c>
      <c r="R93" t="str">
        <f>IF(ISBLANK(JP!Q97),"","x")</f>
        <v/>
      </c>
      <c r="S93" t="str">
        <f>IF(ISBLANK(JP!R97),"","x")</f>
        <v/>
      </c>
      <c r="T93" t="str">
        <f>IF(ISBLANK(JP!T97),"","x")</f>
        <v/>
      </c>
      <c r="U93" t="str">
        <f>IF(ISBLANK(JP!U97),"","x")</f>
        <v/>
      </c>
      <c r="V93" t="str">
        <f>IF(ISBLANK(JP!V97),"","x")</f>
        <v>x</v>
      </c>
      <c r="W93" t="str">
        <f>IF(ISBLANK(JP!W97),"","x")</f>
        <v/>
      </c>
      <c r="X93" t="str">
        <f>IF(ISBLANK(JP!X97),"","x")</f>
        <v/>
      </c>
      <c r="Y93" t="str">
        <f>IF(ISBLANK(JP!Y97),"","x")</f>
        <v/>
      </c>
      <c r="Z93" t="str">
        <f>IF(ISBLANK(JP!Z97),"","x")</f>
        <v/>
      </c>
      <c r="AA93" t="str">
        <f>IF(ISBLANK(JP!AB97),"","x")</f>
        <v/>
      </c>
      <c r="AB93" t="str">
        <f>IF(ISBLANK(JP!AC97),"","x")</f>
        <v/>
      </c>
      <c r="AC93" t="str">
        <f>IF(ISBLANK(JP!AD97),"","x")</f>
        <v/>
      </c>
      <c r="AD93" t="str">
        <f>IF(ISBLANK(JP!AE97),"","x")</f>
        <v/>
      </c>
      <c r="AE93" t="str">
        <f>IF(ISBLANK(JP!AF97),"","x")</f>
        <v/>
      </c>
      <c r="AF93" t="str">
        <f>IF(ISBLANK(JP!AG97),"","x")</f>
        <v/>
      </c>
      <c r="AG93" t="str">
        <f>IF(ISBLANK(JP!AH97),"","x")</f>
        <v/>
      </c>
      <c r="AH93" t="str">
        <f>IF(ISBLANK(JP!AJ97),"","x")</f>
        <v/>
      </c>
      <c r="AI93" t="str">
        <f>IF(ISBLANK(JP!AK97),"","x")</f>
        <v/>
      </c>
      <c r="AJ93" t="str">
        <f>IF(ISBLANK(JP!AL97),"","x")</f>
        <v>x</v>
      </c>
      <c r="AK93" t="str">
        <f>IF(ISBLANK(JP!AM97),"","x")</f>
        <v/>
      </c>
      <c r="AL93" t="str">
        <f>IF(ISBLANK(JP!AN97),"","x")</f>
        <v/>
      </c>
      <c r="AM93" t="str">
        <f>IF(ISBLANK(JP!AO97),"","x")</f>
        <v/>
      </c>
      <c r="AN93" t="str">
        <f>IF(ISBLANK(JP!AP97),"","x")</f>
        <v/>
      </c>
      <c r="AO93" t="str">
        <f>IF(ISBLANK(JP!AR97),"","x")</f>
        <v/>
      </c>
      <c r="AP93" t="str">
        <f>IF(ISBLANK(JP!AS97),"","x")</f>
        <v/>
      </c>
      <c r="AQ93" t="str">
        <f>IF(ISBLANK(JP!AT97),"","x")</f>
        <v/>
      </c>
      <c r="AR93" t="str">
        <f>IF(ISBLANK(JP!AU97),"","x")</f>
        <v/>
      </c>
      <c r="AS93" t="str">
        <f>IF(ISBLANK(JP!AV97),"","x")</f>
        <v/>
      </c>
      <c r="AT93" t="str">
        <f>IF(ISBLANK(JP!AW97),"","x")</f>
        <v/>
      </c>
      <c r="AU93" t="str">
        <f>IF(ISBLANK(JP!AX97),"","x")</f>
        <v/>
      </c>
    </row>
    <row r="94" spans="2:47">
      <c r="B94">
        <f>IF(ISBLANK(JP!AZ98),"",JP!AZ98)</f>
        <v>10044486</v>
      </c>
      <c r="C94" t="str">
        <f>IF(ISBLANK(JP!BA98),"",JP!BA98)</f>
        <v>SRI KUMARAN MALIGAI KADAI</v>
      </c>
      <c r="D94" t="str">
        <f>IF(ISBLANK(JP!BC98),"",JP!BC98)</f>
        <v>326 WOODLANDS STREET 32</v>
      </c>
      <c r="E94">
        <f>IF(ISBLANK(JP!BB98),"",JP!BB98)</f>
        <v>1</v>
      </c>
      <c r="F94" t="str">
        <f>IF(ISBLANK(JP!D98),"","x")</f>
        <v/>
      </c>
      <c r="G94" t="str">
        <f>IF(ISBLANK(JP!E98),"","x")</f>
        <v/>
      </c>
      <c r="H94" t="str">
        <f>IF(ISBLANK(JP!F98),"","x")</f>
        <v/>
      </c>
      <c r="I94" t="str">
        <f>IF(ISBLANK(JP!G98),"","x")</f>
        <v/>
      </c>
      <c r="J94" t="str">
        <f>IF(ISBLANK(JP!H98),"","x")</f>
        <v/>
      </c>
      <c r="K94" t="str">
        <f>IF(ISBLANK(JP!I98),"","x")</f>
        <v/>
      </c>
      <c r="L94" t="str">
        <f>IF(ISBLANK(JP!J98),"","x")</f>
        <v/>
      </c>
      <c r="M94" t="str">
        <f>IF(ISBLANK(JP!L98),"","x")</f>
        <v/>
      </c>
      <c r="N94" t="str">
        <f>IF(ISBLANK(JP!M98),"","x")</f>
        <v/>
      </c>
      <c r="O94" t="str">
        <f>IF(ISBLANK(JP!N98),"","x")</f>
        <v/>
      </c>
      <c r="P94" t="str">
        <f>IF(ISBLANK(JP!O98),"","x")</f>
        <v/>
      </c>
      <c r="Q94" t="str">
        <f>IF(ISBLANK(JP!P98),"","x")</f>
        <v/>
      </c>
      <c r="R94" t="str">
        <f>IF(ISBLANK(JP!Q98),"","x")</f>
        <v/>
      </c>
      <c r="S94" t="str">
        <f>IF(ISBLANK(JP!R98),"","x")</f>
        <v/>
      </c>
      <c r="T94" t="str">
        <f>IF(ISBLANK(JP!T98),"","x")</f>
        <v/>
      </c>
      <c r="U94" t="str">
        <f>IF(ISBLANK(JP!U98),"","x")</f>
        <v/>
      </c>
      <c r="V94" t="str">
        <f>IF(ISBLANK(JP!V98),"","x")</f>
        <v/>
      </c>
      <c r="W94" t="str">
        <f>IF(ISBLANK(JP!W98),"","x")</f>
        <v/>
      </c>
      <c r="X94" t="str">
        <f>IF(ISBLANK(JP!X98),"","x")</f>
        <v/>
      </c>
      <c r="Y94" t="str">
        <f>IF(ISBLANK(JP!Y98),"","x")</f>
        <v/>
      </c>
      <c r="Z94" t="str">
        <f>IF(ISBLANK(JP!Z98),"","x")</f>
        <v/>
      </c>
      <c r="AA94" t="str">
        <f>IF(ISBLANK(JP!AB98),"","x")</f>
        <v/>
      </c>
      <c r="AB94" t="str">
        <f>IF(ISBLANK(JP!AC98),"","x")</f>
        <v/>
      </c>
      <c r="AC94" t="str">
        <f>IF(ISBLANK(JP!AD98),"","x")</f>
        <v/>
      </c>
      <c r="AD94" t="str">
        <f>IF(ISBLANK(JP!AE98),"","x")</f>
        <v/>
      </c>
      <c r="AE94" t="str">
        <f>IF(ISBLANK(JP!AF98),"","x")</f>
        <v/>
      </c>
      <c r="AF94" t="str">
        <f>IF(ISBLANK(JP!AG98),"","x")</f>
        <v/>
      </c>
      <c r="AG94" t="str">
        <f>IF(ISBLANK(JP!AH98),"","x")</f>
        <v/>
      </c>
      <c r="AH94" t="str">
        <f>IF(ISBLANK(JP!AJ98),"","x")</f>
        <v/>
      </c>
      <c r="AI94" t="str">
        <f>IF(ISBLANK(JP!AK98),"","x")</f>
        <v/>
      </c>
      <c r="AJ94" t="str">
        <f>IF(ISBLANK(JP!AL98),"","x")</f>
        <v>x</v>
      </c>
      <c r="AK94" t="str">
        <f>IF(ISBLANK(JP!AM98),"","x")</f>
        <v/>
      </c>
      <c r="AL94" t="str">
        <f>IF(ISBLANK(JP!AN98),"","x")</f>
        <v/>
      </c>
      <c r="AM94" t="str">
        <f>IF(ISBLANK(JP!AO98),"","x")</f>
        <v/>
      </c>
      <c r="AN94" t="str">
        <f>IF(ISBLANK(JP!AP98),"","x")</f>
        <v/>
      </c>
      <c r="AO94" t="str">
        <f>IF(ISBLANK(JP!AR98),"","x")</f>
        <v/>
      </c>
      <c r="AP94" t="str">
        <f>IF(ISBLANK(JP!AS98),"","x")</f>
        <v/>
      </c>
      <c r="AQ94" t="str">
        <f>IF(ISBLANK(JP!AT98),"","x")</f>
        <v/>
      </c>
      <c r="AR94" t="str">
        <f>IF(ISBLANK(JP!AU98),"","x")</f>
        <v/>
      </c>
      <c r="AS94" t="str">
        <f>IF(ISBLANK(JP!AV98),"","x")</f>
        <v/>
      </c>
      <c r="AT94" t="str">
        <f>IF(ISBLANK(JP!AW98),"","x")</f>
        <v/>
      </c>
      <c r="AU94" t="str">
        <f>IF(ISBLANK(JP!AX98),"","x")</f>
        <v/>
      </c>
    </row>
    <row r="95" spans="2:47">
      <c r="B95">
        <f>IF(ISBLANK(JP!AZ99),"",JP!AZ99)</f>
        <v>10040377</v>
      </c>
      <c r="C95" t="str">
        <f>IF(ISBLANK(JP!BA99),"",JP!BA99)</f>
        <v>ENTRUST PROVISION</v>
      </c>
      <c r="D95" t="str">
        <f>IF(ISBLANK(JP!BC99),"",JP!BC99)</f>
        <v>548 WOODLANDS DRIVE 44</v>
      </c>
      <c r="E95">
        <f>IF(ISBLANK(JP!BB99),"",JP!BB99)</f>
        <v>1</v>
      </c>
      <c r="F95" t="str">
        <f>IF(ISBLANK(JP!D99),"","x")</f>
        <v/>
      </c>
      <c r="G95" t="str">
        <f>IF(ISBLANK(JP!E99),"","x")</f>
        <v/>
      </c>
      <c r="H95" t="str">
        <f>IF(ISBLANK(JP!F99),"","x")</f>
        <v/>
      </c>
      <c r="I95" t="str">
        <f>IF(ISBLANK(JP!G99),"","x")</f>
        <v/>
      </c>
      <c r="J95" t="str">
        <f>IF(ISBLANK(JP!H99),"","x")</f>
        <v/>
      </c>
      <c r="K95" t="str">
        <f>IF(ISBLANK(JP!I99),"","x")</f>
        <v/>
      </c>
      <c r="L95" t="str">
        <f>IF(ISBLANK(JP!J99),"","x")</f>
        <v/>
      </c>
      <c r="M95" t="str">
        <f>IF(ISBLANK(JP!L99),"","x")</f>
        <v/>
      </c>
      <c r="N95" t="str">
        <f>IF(ISBLANK(JP!M99),"","x")</f>
        <v/>
      </c>
      <c r="O95" t="str">
        <f>IF(ISBLANK(JP!N99),"","x")</f>
        <v/>
      </c>
      <c r="P95" t="str">
        <f>IF(ISBLANK(JP!O99),"","x")</f>
        <v/>
      </c>
      <c r="Q95" t="str">
        <f>IF(ISBLANK(JP!P99),"","x")</f>
        <v/>
      </c>
      <c r="R95" t="str">
        <f>IF(ISBLANK(JP!Q99),"","x")</f>
        <v/>
      </c>
      <c r="S95" t="str">
        <f>IF(ISBLANK(JP!R99),"","x")</f>
        <v/>
      </c>
      <c r="T95" t="str">
        <f>IF(ISBLANK(JP!T99),"","x")</f>
        <v/>
      </c>
      <c r="U95" t="str">
        <f>IF(ISBLANK(JP!U99),"","x")</f>
        <v/>
      </c>
      <c r="V95" t="str">
        <f>IF(ISBLANK(JP!V99),"","x")</f>
        <v/>
      </c>
      <c r="W95" t="str">
        <f>IF(ISBLANK(JP!W99),"","x")</f>
        <v/>
      </c>
      <c r="X95" t="str">
        <f>IF(ISBLANK(JP!X99),"","x")</f>
        <v/>
      </c>
      <c r="Y95" t="str">
        <f>IF(ISBLANK(JP!Y99),"","x")</f>
        <v/>
      </c>
      <c r="Z95" t="str">
        <f>IF(ISBLANK(JP!Z99),"","x")</f>
        <v/>
      </c>
      <c r="AA95" t="str">
        <f>IF(ISBLANK(JP!AB99),"","x")</f>
        <v/>
      </c>
      <c r="AB95" t="str">
        <f>IF(ISBLANK(JP!AC99),"","x")</f>
        <v/>
      </c>
      <c r="AC95" t="str">
        <f>IF(ISBLANK(JP!AD99),"","x")</f>
        <v/>
      </c>
      <c r="AD95" t="str">
        <f>IF(ISBLANK(JP!AE99),"","x")</f>
        <v/>
      </c>
      <c r="AE95" t="str">
        <f>IF(ISBLANK(JP!AF99),"","x")</f>
        <v/>
      </c>
      <c r="AF95" t="str">
        <f>IF(ISBLANK(JP!AG99),"","x")</f>
        <v/>
      </c>
      <c r="AG95" t="str">
        <f>IF(ISBLANK(JP!AH99),"","x")</f>
        <v/>
      </c>
      <c r="AH95" t="str">
        <f>IF(ISBLANK(JP!AJ99),"","x")</f>
        <v/>
      </c>
      <c r="AI95" t="str">
        <f>IF(ISBLANK(JP!AK99),"","x")</f>
        <v/>
      </c>
      <c r="AJ95" t="str">
        <f>IF(ISBLANK(JP!AL99),"","x")</f>
        <v>x</v>
      </c>
      <c r="AK95" t="str">
        <f>IF(ISBLANK(JP!AM99),"","x")</f>
        <v/>
      </c>
      <c r="AL95" t="str">
        <f>IF(ISBLANK(JP!AN99),"","x")</f>
        <v/>
      </c>
      <c r="AM95" t="str">
        <f>IF(ISBLANK(JP!AO99),"","x")</f>
        <v/>
      </c>
      <c r="AN95" t="str">
        <f>IF(ISBLANK(JP!AP99),"","x")</f>
        <v/>
      </c>
      <c r="AO95" t="str">
        <f>IF(ISBLANK(JP!AR99),"","x")</f>
        <v/>
      </c>
      <c r="AP95" t="str">
        <f>IF(ISBLANK(JP!AS99),"","x")</f>
        <v/>
      </c>
      <c r="AQ95" t="str">
        <f>IF(ISBLANK(JP!AT99),"","x")</f>
        <v/>
      </c>
      <c r="AR95" t="str">
        <f>IF(ISBLANK(JP!AU99),"","x")</f>
        <v/>
      </c>
      <c r="AS95" t="str">
        <f>IF(ISBLANK(JP!AV99),"","x")</f>
        <v/>
      </c>
      <c r="AT95" t="str">
        <f>IF(ISBLANK(JP!AW99),"","x")</f>
        <v/>
      </c>
      <c r="AU95" t="str">
        <f>IF(ISBLANK(JP!AX99),"","x")</f>
        <v/>
      </c>
    </row>
    <row r="96" spans="2:47">
      <c r="B96">
        <f>IF(ISBLANK(JP!AZ100),"",JP!AZ100)</f>
        <v>10040706</v>
      </c>
      <c r="C96" t="str">
        <f>IF(ISBLANK(JP!BA100),"",JP!BA100)</f>
        <v>REAL BUY</v>
      </c>
      <c r="D96" t="str">
        <f>IF(ISBLANK(JP!BC100),"",JP!BC100)</f>
        <v>548 WOODLANDS DRIVE 44</v>
      </c>
      <c r="E96">
        <f>IF(ISBLANK(JP!BB100),"",JP!BB100)</f>
        <v>1</v>
      </c>
      <c r="F96" t="str">
        <f>IF(ISBLANK(JP!D100),"","x")</f>
        <v/>
      </c>
      <c r="G96" t="str">
        <f>IF(ISBLANK(JP!E100),"","x")</f>
        <v/>
      </c>
      <c r="H96" t="str">
        <f>IF(ISBLANK(JP!F100),"","x")</f>
        <v/>
      </c>
      <c r="I96" t="str">
        <f>IF(ISBLANK(JP!G100),"","x")</f>
        <v/>
      </c>
      <c r="J96" t="str">
        <f>IF(ISBLANK(JP!H100),"","x")</f>
        <v/>
      </c>
      <c r="K96" t="str">
        <f>IF(ISBLANK(JP!I100),"","x")</f>
        <v/>
      </c>
      <c r="L96" t="str">
        <f>IF(ISBLANK(JP!J100),"","x")</f>
        <v/>
      </c>
      <c r="M96" t="str">
        <f>IF(ISBLANK(JP!L100),"","x")</f>
        <v/>
      </c>
      <c r="N96" t="str">
        <f>IF(ISBLANK(JP!M100),"","x")</f>
        <v/>
      </c>
      <c r="O96" t="str">
        <f>IF(ISBLANK(JP!N100),"","x")</f>
        <v/>
      </c>
      <c r="P96" t="str">
        <f>IF(ISBLANK(JP!O100),"","x")</f>
        <v/>
      </c>
      <c r="Q96" t="str">
        <f>IF(ISBLANK(JP!P100),"","x")</f>
        <v/>
      </c>
      <c r="R96" t="str">
        <f>IF(ISBLANK(JP!Q100),"","x")</f>
        <v/>
      </c>
      <c r="S96" t="str">
        <f>IF(ISBLANK(JP!R100),"","x")</f>
        <v/>
      </c>
      <c r="T96" t="str">
        <f>IF(ISBLANK(JP!T100),"","x")</f>
        <v/>
      </c>
      <c r="U96" t="str">
        <f>IF(ISBLANK(JP!U100),"","x")</f>
        <v/>
      </c>
      <c r="V96" t="str">
        <f>IF(ISBLANK(JP!V100),"","x")</f>
        <v/>
      </c>
      <c r="W96" t="str">
        <f>IF(ISBLANK(JP!W100),"","x")</f>
        <v/>
      </c>
      <c r="X96" t="str">
        <f>IF(ISBLANK(JP!X100),"","x")</f>
        <v/>
      </c>
      <c r="Y96" t="str">
        <f>IF(ISBLANK(JP!Y100),"","x")</f>
        <v/>
      </c>
      <c r="Z96" t="str">
        <f>IF(ISBLANK(JP!Z100),"","x")</f>
        <v/>
      </c>
      <c r="AA96" t="str">
        <f>IF(ISBLANK(JP!AB100),"","x")</f>
        <v/>
      </c>
      <c r="AB96" t="str">
        <f>IF(ISBLANK(JP!AC100),"","x")</f>
        <v/>
      </c>
      <c r="AC96" t="str">
        <f>IF(ISBLANK(JP!AD100),"","x")</f>
        <v/>
      </c>
      <c r="AD96" t="str">
        <f>IF(ISBLANK(JP!AE100),"","x")</f>
        <v/>
      </c>
      <c r="AE96" t="str">
        <f>IF(ISBLANK(JP!AF100),"","x")</f>
        <v/>
      </c>
      <c r="AF96" t="str">
        <f>IF(ISBLANK(JP!AG100),"","x")</f>
        <v/>
      </c>
      <c r="AG96" t="str">
        <f>IF(ISBLANK(JP!AH100),"","x")</f>
        <v/>
      </c>
      <c r="AH96" t="str">
        <f>IF(ISBLANK(JP!AJ100),"","x")</f>
        <v/>
      </c>
      <c r="AI96" t="str">
        <f>IF(ISBLANK(JP!AK100),"","x")</f>
        <v/>
      </c>
      <c r="AJ96" t="str">
        <f>IF(ISBLANK(JP!AL100),"","x")</f>
        <v>x</v>
      </c>
      <c r="AK96" t="str">
        <f>IF(ISBLANK(JP!AM100),"","x")</f>
        <v/>
      </c>
      <c r="AL96" t="str">
        <f>IF(ISBLANK(JP!AN100),"","x")</f>
        <v/>
      </c>
      <c r="AM96" t="str">
        <f>IF(ISBLANK(JP!AO100),"","x")</f>
        <v/>
      </c>
      <c r="AN96" t="str">
        <f>IF(ISBLANK(JP!AP100),"","x")</f>
        <v/>
      </c>
      <c r="AO96" t="str">
        <f>IF(ISBLANK(JP!AR100),"","x")</f>
        <v/>
      </c>
      <c r="AP96" t="str">
        <f>IF(ISBLANK(JP!AS100),"","x")</f>
        <v/>
      </c>
      <c r="AQ96" t="str">
        <f>IF(ISBLANK(JP!AT100),"","x")</f>
        <v/>
      </c>
      <c r="AR96" t="str">
        <f>IF(ISBLANK(JP!AU100),"","x")</f>
        <v/>
      </c>
      <c r="AS96" t="str">
        <f>IF(ISBLANK(JP!AV100),"","x")</f>
        <v/>
      </c>
      <c r="AT96" t="str">
        <f>IF(ISBLANK(JP!AW100),"","x")</f>
        <v/>
      </c>
      <c r="AU96" t="str">
        <f>IF(ISBLANK(JP!AX100),"","x")</f>
        <v/>
      </c>
    </row>
    <row r="97" spans="2:47">
      <c r="B97">
        <f>IF(ISBLANK(JP!AZ101),"",JP!AZ101)</f>
        <v>10044580</v>
      </c>
      <c r="C97" t="str">
        <f>IF(ISBLANK(JP!BA101),"",JP!BA101)</f>
        <v>TAI SIN HEALTHCARE AND CHINESE MEDICINE</v>
      </c>
      <c r="D97" t="str">
        <f>IF(ISBLANK(JP!BC101),"",JP!BC101)</f>
        <v>548 WOODLANDS DRIVE 44</v>
      </c>
      <c r="E97">
        <f>IF(ISBLANK(JP!BB101),"",JP!BB101)</f>
        <v>1</v>
      </c>
      <c r="F97" t="str">
        <f>IF(ISBLANK(JP!D101),"","x")</f>
        <v/>
      </c>
      <c r="G97" t="str">
        <f>IF(ISBLANK(JP!E101),"","x")</f>
        <v/>
      </c>
      <c r="H97" t="str">
        <f>IF(ISBLANK(JP!F101),"","x")</f>
        <v/>
      </c>
      <c r="I97" t="str">
        <f>IF(ISBLANK(JP!G101),"","x")</f>
        <v/>
      </c>
      <c r="J97" t="str">
        <f>IF(ISBLANK(JP!H101),"","x")</f>
        <v/>
      </c>
      <c r="K97" t="str">
        <f>IF(ISBLANK(JP!I101),"","x")</f>
        <v/>
      </c>
      <c r="L97" t="str">
        <f>IF(ISBLANK(JP!J101),"","x")</f>
        <v/>
      </c>
      <c r="M97" t="str">
        <f>IF(ISBLANK(JP!L101),"","x")</f>
        <v/>
      </c>
      <c r="N97" t="str">
        <f>IF(ISBLANK(JP!M101),"","x")</f>
        <v/>
      </c>
      <c r="O97" t="str">
        <f>IF(ISBLANK(JP!N101),"","x")</f>
        <v/>
      </c>
      <c r="P97" t="str">
        <f>IF(ISBLANK(JP!O101),"","x")</f>
        <v/>
      </c>
      <c r="Q97" t="str">
        <f>IF(ISBLANK(JP!P101),"","x")</f>
        <v/>
      </c>
      <c r="R97" t="str">
        <f>IF(ISBLANK(JP!Q101),"","x")</f>
        <v/>
      </c>
      <c r="S97" t="str">
        <f>IF(ISBLANK(JP!R101),"","x")</f>
        <v/>
      </c>
      <c r="T97" t="str">
        <f>IF(ISBLANK(JP!T101),"","x")</f>
        <v/>
      </c>
      <c r="U97" t="str">
        <f>IF(ISBLANK(JP!U101),"","x")</f>
        <v/>
      </c>
      <c r="V97" t="str">
        <f>IF(ISBLANK(JP!V101),"","x")</f>
        <v/>
      </c>
      <c r="W97" t="str">
        <f>IF(ISBLANK(JP!W101),"","x")</f>
        <v/>
      </c>
      <c r="X97" t="str">
        <f>IF(ISBLANK(JP!X101),"","x")</f>
        <v/>
      </c>
      <c r="Y97" t="str">
        <f>IF(ISBLANK(JP!Y101),"","x")</f>
        <v/>
      </c>
      <c r="Z97" t="str">
        <f>IF(ISBLANK(JP!Z101),"","x")</f>
        <v/>
      </c>
      <c r="AA97" t="str">
        <f>IF(ISBLANK(JP!AB101),"","x")</f>
        <v/>
      </c>
      <c r="AB97" t="str">
        <f>IF(ISBLANK(JP!AC101),"","x")</f>
        <v/>
      </c>
      <c r="AC97" t="str">
        <f>IF(ISBLANK(JP!AD101),"","x")</f>
        <v/>
      </c>
      <c r="AD97" t="str">
        <f>IF(ISBLANK(JP!AE101),"","x")</f>
        <v/>
      </c>
      <c r="AE97" t="str">
        <f>IF(ISBLANK(JP!AF101),"","x")</f>
        <v/>
      </c>
      <c r="AF97" t="str">
        <f>IF(ISBLANK(JP!AG101),"","x")</f>
        <v/>
      </c>
      <c r="AG97" t="str">
        <f>IF(ISBLANK(JP!AH101),"","x")</f>
        <v/>
      </c>
      <c r="AH97" t="str">
        <f>IF(ISBLANK(JP!AJ101),"","x")</f>
        <v/>
      </c>
      <c r="AI97" t="str">
        <f>IF(ISBLANK(JP!AK101),"","x")</f>
        <v/>
      </c>
      <c r="AJ97" t="str">
        <f>IF(ISBLANK(JP!AL101),"","x")</f>
        <v/>
      </c>
      <c r="AK97" t="str">
        <f>IF(ISBLANK(JP!AM101),"","x")</f>
        <v>x</v>
      </c>
      <c r="AL97" t="str">
        <f>IF(ISBLANK(JP!AN101),"","x")</f>
        <v/>
      </c>
      <c r="AM97" t="str">
        <f>IF(ISBLANK(JP!AO101),"","x")</f>
        <v/>
      </c>
      <c r="AN97" t="str">
        <f>IF(ISBLANK(JP!AP101),"","x")</f>
        <v/>
      </c>
      <c r="AO97" t="str">
        <f>IF(ISBLANK(JP!AR101),"","x")</f>
        <v/>
      </c>
      <c r="AP97" t="str">
        <f>IF(ISBLANK(JP!AS101),"","x")</f>
        <v/>
      </c>
      <c r="AQ97" t="str">
        <f>IF(ISBLANK(JP!AT101),"","x")</f>
        <v/>
      </c>
      <c r="AR97" t="str">
        <f>IF(ISBLANK(JP!AU101),"","x")</f>
        <v/>
      </c>
      <c r="AS97" t="str">
        <f>IF(ISBLANK(JP!AV101),"","x")</f>
        <v/>
      </c>
      <c r="AT97" t="str">
        <f>IF(ISBLANK(JP!AW101),"","x")</f>
        <v/>
      </c>
      <c r="AU97" t="str">
        <f>IF(ISBLANK(JP!AX101),"","x")</f>
        <v/>
      </c>
    </row>
    <row r="98" spans="2:47">
      <c r="B98">
        <f>IF(ISBLANK(JP!AZ102),"",JP!AZ102)</f>
        <v>10028946</v>
      </c>
      <c r="C98" t="str">
        <f>IF(ISBLANK(JP!BA102),"",JP!BA102)</f>
        <v>TIAN TIAN LE CONVENIENT STORE</v>
      </c>
      <c r="D98" t="str">
        <f>IF(ISBLANK(JP!BC102),"",JP!BC102)</f>
        <v>688 WOODLANDS DRIVE 75</v>
      </c>
      <c r="E98">
        <f>IF(ISBLANK(JP!BB102),"",JP!BB102)</f>
        <v>1</v>
      </c>
      <c r="F98" t="str">
        <f>IF(ISBLANK(JP!D102),"","x")</f>
        <v/>
      </c>
      <c r="G98" t="str">
        <f>IF(ISBLANK(JP!E102),"","x")</f>
        <v/>
      </c>
      <c r="H98" t="str">
        <f>IF(ISBLANK(JP!F102),"","x")</f>
        <v/>
      </c>
      <c r="I98" t="str">
        <f>IF(ISBLANK(JP!G102),"","x")</f>
        <v/>
      </c>
      <c r="J98" t="str">
        <f>IF(ISBLANK(JP!H102),"","x")</f>
        <v/>
      </c>
      <c r="K98" t="str">
        <f>IF(ISBLANK(JP!I102),"","x")</f>
        <v/>
      </c>
      <c r="L98" t="str">
        <f>IF(ISBLANK(JP!J102),"","x")</f>
        <v/>
      </c>
      <c r="M98" t="str">
        <f>IF(ISBLANK(JP!L102),"","x")</f>
        <v/>
      </c>
      <c r="N98" t="str">
        <f>IF(ISBLANK(JP!M102),"","x")</f>
        <v/>
      </c>
      <c r="O98" t="str">
        <f>IF(ISBLANK(JP!N102),"","x")</f>
        <v/>
      </c>
      <c r="P98" t="str">
        <f>IF(ISBLANK(JP!O102),"","x")</f>
        <v/>
      </c>
      <c r="Q98" t="str">
        <f>IF(ISBLANK(JP!P102),"","x")</f>
        <v/>
      </c>
      <c r="R98" t="str">
        <f>IF(ISBLANK(JP!Q102),"","x")</f>
        <v/>
      </c>
      <c r="S98" t="str">
        <f>IF(ISBLANK(JP!R102),"","x")</f>
        <v/>
      </c>
      <c r="T98" t="str">
        <f>IF(ISBLANK(JP!T102),"","x")</f>
        <v/>
      </c>
      <c r="U98" t="str">
        <f>IF(ISBLANK(JP!U102),"","x")</f>
        <v/>
      </c>
      <c r="V98" t="str">
        <f>IF(ISBLANK(JP!V102),"","x")</f>
        <v/>
      </c>
      <c r="W98" t="str">
        <f>IF(ISBLANK(JP!W102),"","x")</f>
        <v/>
      </c>
      <c r="X98" t="str">
        <f>IF(ISBLANK(JP!X102),"","x")</f>
        <v/>
      </c>
      <c r="Y98" t="str">
        <f>IF(ISBLANK(JP!Y102),"","x")</f>
        <v/>
      </c>
      <c r="Z98" t="str">
        <f>IF(ISBLANK(JP!Z102),"","x")</f>
        <v/>
      </c>
      <c r="AA98" t="str">
        <f>IF(ISBLANK(JP!AB102),"","x")</f>
        <v/>
      </c>
      <c r="AB98" t="str">
        <f>IF(ISBLANK(JP!AC102),"","x")</f>
        <v/>
      </c>
      <c r="AC98" t="str">
        <f>IF(ISBLANK(JP!AD102),"","x")</f>
        <v/>
      </c>
      <c r="AD98" t="str">
        <f>IF(ISBLANK(JP!AE102),"","x")</f>
        <v/>
      </c>
      <c r="AE98" t="str">
        <f>IF(ISBLANK(JP!AF102),"","x")</f>
        <v/>
      </c>
      <c r="AF98" t="str">
        <f>IF(ISBLANK(JP!AG102),"","x")</f>
        <v/>
      </c>
      <c r="AG98" t="str">
        <f>IF(ISBLANK(JP!AH102),"","x")</f>
        <v/>
      </c>
      <c r="AH98" t="str">
        <f>IF(ISBLANK(JP!AJ102),"","x")</f>
        <v/>
      </c>
      <c r="AI98" t="str">
        <f>IF(ISBLANK(JP!AK102),"","x")</f>
        <v/>
      </c>
      <c r="AJ98" t="str">
        <f>IF(ISBLANK(JP!AL102),"","x")</f>
        <v/>
      </c>
      <c r="AK98" t="str">
        <f>IF(ISBLANK(JP!AM102),"","x")</f>
        <v>x</v>
      </c>
      <c r="AL98" t="str">
        <f>IF(ISBLANK(JP!AN102),"","x")</f>
        <v/>
      </c>
      <c r="AM98" t="str">
        <f>IF(ISBLANK(JP!AO102),"","x")</f>
        <v/>
      </c>
      <c r="AN98" t="str">
        <f>IF(ISBLANK(JP!AP102),"","x")</f>
        <v/>
      </c>
      <c r="AO98" t="str">
        <f>IF(ISBLANK(JP!AR102),"","x")</f>
        <v/>
      </c>
      <c r="AP98" t="str">
        <f>IF(ISBLANK(JP!AS102),"","x")</f>
        <v/>
      </c>
      <c r="AQ98" t="str">
        <f>IF(ISBLANK(JP!AT102),"","x")</f>
        <v/>
      </c>
      <c r="AR98" t="str">
        <f>IF(ISBLANK(JP!AU102),"","x")</f>
        <v/>
      </c>
      <c r="AS98" t="str">
        <f>IF(ISBLANK(JP!AV102),"","x")</f>
        <v/>
      </c>
      <c r="AT98" t="str">
        <f>IF(ISBLANK(JP!AW102),"","x")</f>
        <v/>
      </c>
      <c r="AU98" t="str">
        <f>IF(ISBLANK(JP!AX102),"","x")</f>
        <v/>
      </c>
    </row>
    <row r="99" spans="2:47">
      <c r="B99">
        <f>IF(ISBLANK(JP!AZ103),"",JP!AZ103)</f>
        <v>10044215</v>
      </c>
      <c r="C99" t="str">
        <f>IF(ISBLANK(JP!BA103),"",JP!BA103)</f>
        <v>U STARS PTE. LTD. (WOODLANDS)</v>
      </c>
      <c r="D99" t="str">
        <f>IF(ISBLANK(JP!BC103),"",JP!BC103)</f>
        <v>691 WOODLANDS DRIVE</v>
      </c>
      <c r="E99">
        <f>IF(ISBLANK(JP!BB103),"",JP!BB103)</f>
        <v>2</v>
      </c>
      <c r="F99" t="str">
        <f>IF(ISBLANK(JP!D103),"","x")</f>
        <v/>
      </c>
      <c r="G99" t="str">
        <f>IF(ISBLANK(JP!E103),"","x")</f>
        <v/>
      </c>
      <c r="H99" t="str">
        <f>IF(ISBLANK(JP!F103),"","x")</f>
        <v/>
      </c>
      <c r="I99" t="str">
        <f>IF(ISBLANK(JP!G103),"","x")</f>
        <v/>
      </c>
      <c r="J99" t="str">
        <f>IF(ISBLANK(JP!H103),"","x")</f>
        <v/>
      </c>
      <c r="K99" t="str">
        <f>IF(ISBLANK(JP!I103),"","x")</f>
        <v/>
      </c>
      <c r="L99" t="str">
        <f>IF(ISBLANK(JP!J103),"","x")</f>
        <v/>
      </c>
      <c r="M99" t="str">
        <f>IF(ISBLANK(JP!L103),"","x")</f>
        <v/>
      </c>
      <c r="N99" t="str">
        <f>IF(ISBLANK(JP!M103),"","x")</f>
        <v/>
      </c>
      <c r="O99" t="str">
        <f>IF(ISBLANK(JP!N103),"","x")</f>
        <v/>
      </c>
      <c r="P99" t="str">
        <f>IF(ISBLANK(JP!O103),"","x")</f>
        <v/>
      </c>
      <c r="Q99" t="str">
        <f>IF(ISBLANK(JP!P103),"","x")</f>
        <v/>
      </c>
      <c r="R99" t="str">
        <f>IF(ISBLANK(JP!Q103),"","x")</f>
        <v/>
      </c>
      <c r="S99" t="str">
        <f>IF(ISBLANK(JP!R103),"","x")</f>
        <v/>
      </c>
      <c r="T99" t="str">
        <f>IF(ISBLANK(JP!T103),"","x")</f>
        <v/>
      </c>
      <c r="U99" t="str">
        <f>IF(ISBLANK(JP!U103),"","x")</f>
        <v/>
      </c>
      <c r="V99" t="str">
        <f>IF(ISBLANK(JP!V103),"","x")</f>
        <v/>
      </c>
      <c r="W99" t="str">
        <f>IF(ISBLANK(JP!W103),"","x")</f>
        <v>x</v>
      </c>
      <c r="X99" t="str">
        <f>IF(ISBLANK(JP!X103),"","x")</f>
        <v/>
      </c>
      <c r="Y99" t="str">
        <f>IF(ISBLANK(JP!Y103),"","x")</f>
        <v/>
      </c>
      <c r="Z99" t="str">
        <f>IF(ISBLANK(JP!Z103),"","x")</f>
        <v/>
      </c>
      <c r="AA99" t="str">
        <f>IF(ISBLANK(JP!AB103),"","x")</f>
        <v/>
      </c>
      <c r="AB99" t="str">
        <f>IF(ISBLANK(JP!AC103),"","x")</f>
        <v/>
      </c>
      <c r="AC99" t="str">
        <f>IF(ISBLANK(JP!AD103),"","x")</f>
        <v/>
      </c>
      <c r="AD99" t="str">
        <f>IF(ISBLANK(JP!AE103),"","x")</f>
        <v/>
      </c>
      <c r="AE99" t="str">
        <f>IF(ISBLANK(JP!AF103),"","x")</f>
        <v/>
      </c>
      <c r="AF99" t="str">
        <f>IF(ISBLANK(JP!AG103),"","x")</f>
        <v/>
      </c>
      <c r="AG99" t="str">
        <f>IF(ISBLANK(JP!AH103),"","x")</f>
        <v/>
      </c>
      <c r="AH99" t="str">
        <f>IF(ISBLANK(JP!AJ103),"","x")</f>
        <v/>
      </c>
      <c r="AI99" t="str">
        <f>IF(ISBLANK(JP!AK103),"","x")</f>
        <v/>
      </c>
      <c r="AJ99" t="str">
        <f>IF(ISBLANK(JP!AL103),"","x")</f>
        <v/>
      </c>
      <c r="AK99" t="str">
        <f>IF(ISBLANK(JP!AM103),"","x")</f>
        <v>x</v>
      </c>
      <c r="AL99" t="str">
        <f>IF(ISBLANK(JP!AN103),"","x")</f>
        <v/>
      </c>
      <c r="AM99" t="str">
        <f>IF(ISBLANK(JP!AO103),"","x")</f>
        <v/>
      </c>
      <c r="AN99" t="str">
        <f>IF(ISBLANK(JP!AP103),"","x")</f>
        <v/>
      </c>
      <c r="AO99" t="str">
        <f>IF(ISBLANK(JP!AR103),"","x")</f>
        <v/>
      </c>
      <c r="AP99" t="str">
        <f>IF(ISBLANK(JP!AS103),"","x")</f>
        <v/>
      </c>
      <c r="AQ99" t="str">
        <f>IF(ISBLANK(JP!AT103),"","x")</f>
        <v/>
      </c>
      <c r="AR99" t="str">
        <f>IF(ISBLANK(JP!AU103),"","x")</f>
        <v/>
      </c>
      <c r="AS99" t="str">
        <f>IF(ISBLANK(JP!AV103),"","x")</f>
        <v/>
      </c>
      <c r="AT99" t="str">
        <f>IF(ISBLANK(JP!AW103),"","x")</f>
        <v/>
      </c>
      <c r="AU99" t="str">
        <f>IF(ISBLANK(JP!AX103),"","x")</f>
        <v/>
      </c>
    </row>
    <row r="100" spans="2:47">
      <c r="B100">
        <f>IF(ISBLANK(JP!AZ104),"",JP!AZ104)</f>
        <v>10039417</v>
      </c>
      <c r="C100" t="str">
        <f>IF(ISBLANK(JP!BA104),"",JP!BA104)</f>
        <v>KANG YU CHINESE MEDICAL HALL</v>
      </c>
      <c r="D100" t="str">
        <f>IF(ISBLANK(JP!BC104),"",JP!BC104)</f>
        <v>768 WOODLANDS AVENUE 6</v>
      </c>
      <c r="E100">
        <f>IF(ISBLANK(JP!BB104),"",JP!BB104)</f>
        <v>1</v>
      </c>
      <c r="F100" t="str">
        <f>IF(ISBLANK(JP!D104),"","x")</f>
        <v/>
      </c>
      <c r="G100" t="str">
        <f>IF(ISBLANK(JP!E104),"","x")</f>
        <v/>
      </c>
      <c r="H100" t="str">
        <f>IF(ISBLANK(JP!F104),"","x")</f>
        <v/>
      </c>
      <c r="I100" t="str">
        <f>IF(ISBLANK(JP!G104),"","x")</f>
        <v/>
      </c>
      <c r="J100" t="str">
        <f>IF(ISBLANK(JP!H104),"","x")</f>
        <v/>
      </c>
      <c r="K100" t="str">
        <f>IF(ISBLANK(JP!I104),"","x")</f>
        <v/>
      </c>
      <c r="L100" t="str">
        <f>IF(ISBLANK(JP!J104),"","x")</f>
        <v/>
      </c>
      <c r="M100" t="str">
        <f>IF(ISBLANK(JP!L104),"","x")</f>
        <v/>
      </c>
      <c r="N100" t="str">
        <f>IF(ISBLANK(JP!M104),"","x")</f>
        <v/>
      </c>
      <c r="O100" t="str">
        <f>IF(ISBLANK(JP!N104),"","x")</f>
        <v/>
      </c>
      <c r="P100" t="str">
        <f>IF(ISBLANK(JP!O104),"","x")</f>
        <v/>
      </c>
      <c r="Q100" t="str">
        <f>IF(ISBLANK(JP!P104),"","x")</f>
        <v/>
      </c>
      <c r="R100" t="str">
        <f>IF(ISBLANK(JP!Q104),"","x")</f>
        <v/>
      </c>
      <c r="S100" t="str">
        <f>IF(ISBLANK(JP!R104),"","x")</f>
        <v/>
      </c>
      <c r="T100" t="str">
        <f>IF(ISBLANK(JP!T104),"","x")</f>
        <v/>
      </c>
      <c r="U100" t="str">
        <f>IF(ISBLANK(JP!U104),"","x")</f>
        <v/>
      </c>
      <c r="V100" t="str">
        <f>IF(ISBLANK(JP!V104),"","x")</f>
        <v/>
      </c>
      <c r="W100" t="str">
        <f>IF(ISBLANK(JP!W104),"","x")</f>
        <v>x</v>
      </c>
      <c r="X100" t="str">
        <f>IF(ISBLANK(JP!X104),"","x")</f>
        <v/>
      </c>
      <c r="Y100" t="str">
        <f>IF(ISBLANK(JP!Y104),"","x")</f>
        <v/>
      </c>
      <c r="Z100" t="str">
        <f>IF(ISBLANK(JP!Z104),"","x")</f>
        <v/>
      </c>
      <c r="AA100" t="str">
        <f>IF(ISBLANK(JP!AB104),"","x")</f>
        <v/>
      </c>
      <c r="AB100" t="str">
        <f>IF(ISBLANK(JP!AC104),"","x")</f>
        <v/>
      </c>
      <c r="AC100" t="str">
        <f>IF(ISBLANK(JP!AD104),"","x")</f>
        <v/>
      </c>
      <c r="AD100" t="str">
        <f>IF(ISBLANK(JP!AE104),"","x")</f>
        <v/>
      </c>
      <c r="AE100" t="str">
        <f>IF(ISBLANK(JP!AF104),"","x")</f>
        <v/>
      </c>
      <c r="AF100" t="str">
        <f>IF(ISBLANK(JP!AG104),"","x")</f>
        <v/>
      </c>
      <c r="AG100" t="str">
        <f>IF(ISBLANK(JP!AH104),"","x")</f>
        <v/>
      </c>
      <c r="AH100" t="str">
        <f>IF(ISBLANK(JP!AJ104),"","x")</f>
        <v/>
      </c>
      <c r="AI100" t="str">
        <f>IF(ISBLANK(JP!AK104),"","x")</f>
        <v/>
      </c>
      <c r="AJ100" t="str">
        <f>IF(ISBLANK(JP!AL104),"","x")</f>
        <v/>
      </c>
      <c r="AK100" t="str">
        <f>IF(ISBLANK(JP!AM104),"","x")</f>
        <v/>
      </c>
      <c r="AL100" t="str">
        <f>IF(ISBLANK(JP!AN104),"","x")</f>
        <v/>
      </c>
      <c r="AM100" t="str">
        <f>IF(ISBLANK(JP!AO104),"","x")</f>
        <v/>
      </c>
      <c r="AN100" t="str">
        <f>IF(ISBLANK(JP!AP104),"","x")</f>
        <v/>
      </c>
      <c r="AO100" t="str">
        <f>IF(ISBLANK(JP!AR104),"","x")</f>
        <v/>
      </c>
      <c r="AP100" t="str">
        <f>IF(ISBLANK(JP!AS104),"","x")</f>
        <v/>
      </c>
      <c r="AQ100" t="str">
        <f>IF(ISBLANK(JP!AT104),"","x")</f>
        <v/>
      </c>
      <c r="AR100" t="str">
        <f>IF(ISBLANK(JP!AU104),"","x")</f>
        <v/>
      </c>
      <c r="AS100" t="str">
        <f>IF(ISBLANK(JP!AV104),"","x")</f>
        <v/>
      </c>
      <c r="AT100" t="str">
        <f>IF(ISBLANK(JP!AW104),"","x")</f>
        <v/>
      </c>
      <c r="AU100" t="str">
        <f>IF(ISBLANK(JP!AX104),"","x")</f>
        <v/>
      </c>
    </row>
    <row r="101" spans="2:47">
      <c r="B101">
        <f>IF(ISBLANK(JP!AZ105),"",JP!AZ105)</f>
        <v>10041100</v>
      </c>
      <c r="C101" t="str">
        <f>IF(ISBLANK(JP!BA105),"",JP!BA105)</f>
        <v>FORTUNE SUPERMARKET PTE. LTD. (WOODLAND)</v>
      </c>
      <c r="D101" t="str">
        <f>IF(ISBLANK(JP!BC105),"",JP!BC105)</f>
        <v>780 WOODLANDS CRESCENT</v>
      </c>
      <c r="E101">
        <f>IF(ISBLANK(JP!BB105),"",JP!BB105)</f>
        <v>2</v>
      </c>
      <c r="F101" t="str">
        <f>IF(ISBLANK(JP!D105),"","x")</f>
        <v/>
      </c>
      <c r="G101" t="str">
        <f>IF(ISBLANK(JP!E105),"","x")</f>
        <v/>
      </c>
      <c r="H101" t="str">
        <f>IF(ISBLANK(JP!F105),"","x")</f>
        <v/>
      </c>
      <c r="I101" t="str">
        <f>IF(ISBLANK(JP!G105),"","x")</f>
        <v>x</v>
      </c>
      <c r="J101" t="str">
        <f>IF(ISBLANK(JP!H105),"","x")</f>
        <v/>
      </c>
      <c r="K101" t="str">
        <f>IF(ISBLANK(JP!I105),"","x")</f>
        <v/>
      </c>
      <c r="L101" t="str">
        <f>IF(ISBLANK(JP!J105),"","x")</f>
        <v/>
      </c>
      <c r="M101" t="str">
        <f>IF(ISBLANK(JP!L105),"","x")</f>
        <v/>
      </c>
      <c r="N101" t="str">
        <f>IF(ISBLANK(JP!M105),"","x")</f>
        <v/>
      </c>
      <c r="O101" t="str">
        <f>IF(ISBLANK(JP!N105),"","x")</f>
        <v/>
      </c>
      <c r="P101" t="str">
        <f>IF(ISBLANK(JP!O105),"","x")</f>
        <v/>
      </c>
      <c r="Q101" t="str">
        <f>IF(ISBLANK(JP!P105),"","x")</f>
        <v/>
      </c>
      <c r="R101" t="str">
        <f>IF(ISBLANK(JP!Q105),"","x")</f>
        <v/>
      </c>
      <c r="S101" t="str">
        <f>IF(ISBLANK(JP!R105),"","x")</f>
        <v/>
      </c>
      <c r="T101" t="str">
        <f>IF(ISBLANK(JP!T105),"","x")</f>
        <v/>
      </c>
      <c r="U101" t="str">
        <f>IF(ISBLANK(JP!U105),"","x")</f>
        <v/>
      </c>
      <c r="V101" t="str">
        <f>IF(ISBLANK(JP!V105),"","x")</f>
        <v/>
      </c>
      <c r="W101" t="str">
        <f>IF(ISBLANK(JP!W105),"","x")</f>
        <v>x</v>
      </c>
      <c r="X101" t="str">
        <f>IF(ISBLANK(JP!X105),"","x")</f>
        <v/>
      </c>
      <c r="Y101" t="str">
        <f>IF(ISBLANK(JP!Y105),"","x")</f>
        <v/>
      </c>
      <c r="Z101" t="str">
        <f>IF(ISBLANK(JP!Z105),"","x")</f>
        <v/>
      </c>
      <c r="AA101" t="str">
        <f>IF(ISBLANK(JP!AB105),"","x")</f>
        <v/>
      </c>
      <c r="AB101" t="str">
        <f>IF(ISBLANK(JP!AC105),"","x")</f>
        <v/>
      </c>
      <c r="AC101" t="str">
        <f>IF(ISBLANK(JP!AD105),"","x")</f>
        <v/>
      </c>
      <c r="AD101" t="str">
        <f>IF(ISBLANK(JP!AE105),"","x")</f>
        <v/>
      </c>
      <c r="AE101" t="str">
        <f>IF(ISBLANK(JP!AF105),"","x")</f>
        <v/>
      </c>
      <c r="AF101" t="str">
        <f>IF(ISBLANK(JP!AG105),"","x")</f>
        <v/>
      </c>
      <c r="AG101" t="str">
        <f>IF(ISBLANK(JP!AH105),"","x")</f>
        <v/>
      </c>
      <c r="AH101" t="str">
        <f>IF(ISBLANK(JP!AJ105),"","x")</f>
        <v/>
      </c>
      <c r="AI101" t="str">
        <f>IF(ISBLANK(JP!AK105),"","x")</f>
        <v/>
      </c>
      <c r="AJ101" t="str">
        <f>IF(ISBLANK(JP!AL105),"","x")</f>
        <v/>
      </c>
      <c r="AK101" t="str">
        <f>IF(ISBLANK(JP!AM105),"","x")</f>
        <v/>
      </c>
      <c r="AL101" t="str">
        <f>IF(ISBLANK(JP!AN105),"","x")</f>
        <v/>
      </c>
      <c r="AM101" t="str">
        <f>IF(ISBLANK(JP!AO105),"","x")</f>
        <v/>
      </c>
      <c r="AN101" t="str">
        <f>IF(ISBLANK(JP!AP105),"","x")</f>
        <v/>
      </c>
      <c r="AO101" t="str">
        <f>IF(ISBLANK(JP!AR105),"","x")</f>
        <v/>
      </c>
      <c r="AP101" t="str">
        <f>IF(ISBLANK(JP!AS105),"","x")</f>
        <v/>
      </c>
      <c r="AQ101" t="str">
        <f>IF(ISBLANK(JP!AT105),"","x")</f>
        <v/>
      </c>
      <c r="AR101" t="str">
        <f>IF(ISBLANK(JP!AU105),"","x")</f>
        <v/>
      </c>
      <c r="AS101" t="str">
        <f>IF(ISBLANK(JP!AV105),"","x")</f>
        <v/>
      </c>
      <c r="AT101" t="str">
        <f>IF(ISBLANK(JP!AW105),"","x")</f>
        <v/>
      </c>
      <c r="AU101" t="str">
        <f>IF(ISBLANK(JP!AX105),"","x")</f>
        <v/>
      </c>
    </row>
    <row r="102" spans="2:47">
      <c r="B102">
        <f>IF(ISBLANK(JP!AZ106),"",JP!AZ106)</f>
        <v>10043249</v>
      </c>
      <c r="C102" t="str">
        <f>IF(ISBLANK(JP!BA106),"",JP!BA106)</f>
        <v>SRI KRISHNA MART</v>
      </c>
      <c r="D102" t="str">
        <f>IF(ISBLANK(JP!BC106),"",JP!BC106)</f>
        <v>780 WOODLANDS CRESCENT</v>
      </c>
      <c r="E102">
        <f>IF(ISBLANK(JP!BB106),"",JP!BB106)</f>
        <v>1</v>
      </c>
      <c r="F102" t="str">
        <f>IF(ISBLANK(JP!D106),"","x")</f>
        <v/>
      </c>
      <c r="G102" t="str">
        <f>IF(ISBLANK(JP!E106),"","x")</f>
        <v/>
      </c>
      <c r="H102" t="str">
        <f>IF(ISBLANK(JP!F106),"","x")</f>
        <v/>
      </c>
      <c r="I102" t="str">
        <f>IF(ISBLANK(JP!G106),"","x")</f>
        <v/>
      </c>
      <c r="J102" t="str">
        <f>IF(ISBLANK(JP!H106),"","x")</f>
        <v/>
      </c>
      <c r="K102" t="str">
        <f>IF(ISBLANK(JP!I106),"","x")</f>
        <v/>
      </c>
      <c r="L102" t="str">
        <f>IF(ISBLANK(JP!J106),"","x")</f>
        <v/>
      </c>
      <c r="M102" t="str">
        <f>IF(ISBLANK(JP!L106),"","x")</f>
        <v/>
      </c>
      <c r="N102" t="str">
        <f>IF(ISBLANK(JP!M106),"","x")</f>
        <v/>
      </c>
      <c r="O102" t="str">
        <f>IF(ISBLANK(JP!N106),"","x")</f>
        <v/>
      </c>
      <c r="P102" t="str">
        <f>IF(ISBLANK(JP!O106),"","x")</f>
        <v/>
      </c>
      <c r="Q102" t="str">
        <f>IF(ISBLANK(JP!P106),"","x")</f>
        <v/>
      </c>
      <c r="R102" t="str">
        <f>IF(ISBLANK(JP!Q106),"","x")</f>
        <v/>
      </c>
      <c r="S102" t="str">
        <f>IF(ISBLANK(JP!R106),"","x")</f>
        <v/>
      </c>
      <c r="T102" t="str">
        <f>IF(ISBLANK(JP!T106),"","x")</f>
        <v/>
      </c>
      <c r="U102" t="str">
        <f>IF(ISBLANK(JP!U106),"","x")</f>
        <v/>
      </c>
      <c r="V102" t="str">
        <f>IF(ISBLANK(JP!V106),"","x")</f>
        <v/>
      </c>
      <c r="W102" t="str">
        <f>IF(ISBLANK(JP!W106),"","x")</f>
        <v>x</v>
      </c>
      <c r="X102" t="str">
        <f>IF(ISBLANK(JP!X106),"","x")</f>
        <v/>
      </c>
      <c r="Y102" t="str">
        <f>IF(ISBLANK(JP!Y106),"","x")</f>
        <v/>
      </c>
      <c r="Z102" t="str">
        <f>IF(ISBLANK(JP!Z106),"","x")</f>
        <v/>
      </c>
      <c r="AA102" t="str">
        <f>IF(ISBLANK(JP!AB106),"","x")</f>
        <v/>
      </c>
      <c r="AB102" t="str">
        <f>IF(ISBLANK(JP!AC106),"","x")</f>
        <v/>
      </c>
      <c r="AC102" t="str">
        <f>IF(ISBLANK(JP!AD106),"","x")</f>
        <v/>
      </c>
      <c r="AD102" t="str">
        <f>IF(ISBLANK(JP!AE106),"","x")</f>
        <v/>
      </c>
      <c r="AE102" t="str">
        <f>IF(ISBLANK(JP!AF106),"","x")</f>
        <v/>
      </c>
      <c r="AF102" t="str">
        <f>IF(ISBLANK(JP!AG106),"","x")</f>
        <v/>
      </c>
      <c r="AG102" t="str">
        <f>IF(ISBLANK(JP!AH106),"","x")</f>
        <v/>
      </c>
      <c r="AH102" t="str">
        <f>IF(ISBLANK(JP!AJ106),"","x")</f>
        <v/>
      </c>
      <c r="AI102" t="str">
        <f>IF(ISBLANK(JP!AK106),"","x")</f>
        <v/>
      </c>
      <c r="AJ102" t="str">
        <f>IF(ISBLANK(JP!AL106),"","x")</f>
        <v/>
      </c>
      <c r="AK102" t="str">
        <f>IF(ISBLANK(JP!AM106),"","x")</f>
        <v/>
      </c>
      <c r="AL102" t="str">
        <f>IF(ISBLANK(JP!AN106),"","x")</f>
        <v/>
      </c>
      <c r="AM102" t="str">
        <f>IF(ISBLANK(JP!AO106),"","x")</f>
        <v/>
      </c>
      <c r="AN102" t="str">
        <f>IF(ISBLANK(JP!AP106),"","x")</f>
        <v/>
      </c>
      <c r="AO102" t="str">
        <f>IF(ISBLANK(JP!AR106),"","x")</f>
        <v/>
      </c>
      <c r="AP102" t="str">
        <f>IF(ISBLANK(JP!AS106),"","x")</f>
        <v/>
      </c>
      <c r="AQ102" t="str">
        <f>IF(ISBLANK(JP!AT106),"","x")</f>
        <v/>
      </c>
      <c r="AR102" t="str">
        <f>IF(ISBLANK(JP!AU106),"","x")</f>
        <v/>
      </c>
      <c r="AS102" t="str">
        <f>IF(ISBLANK(JP!AV106),"","x")</f>
        <v/>
      </c>
      <c r="AT102" t="str">
        <f>IF(ISBLANK(JP!AW106),"","x")</f>
        <v/>
      </c>
      <c r="AU102" t="str">
        <f>IF(ISBLANK(JP!AX106),"","x")</f>
        <v/>
      </c>
    </row>
    <row r="103" spans="2:47">
      <c r="B103">
        <f>IF(ISBLANK(JP!AZ107),"",JP!AZ107)</f>
        <v>10042846</v>
      </c>
      <c r="C103" t="str">
        <f>IF(ISBLANK(JP!BA107),"",JP!BA107)</f>
        <v>RAINBOW MART</v>
      </c>
      <c r="D103" t="str">
        <f>IF(ISBLANK(JP!BC107),"",JP!BC107)</f>
        <v>806 WOODLANDS STREET 81</v>
      </c>
      <c r="E103">
        <f>IF(ISBLANK(JP!BB107),"",JP!BB107)</f>
        <v>1</v>
      </c>
      <c r="F103" t="str">
        <f>IF(ISBLANK(JP!D107),"","x")</f>
        <v/>
      </c>
      <c r="G103" t="str">
        <f>IF(ISBLANK(JP!E107),"","x")</f>
        <v/>
      </c>
      <c r="H103" t="str">
        <f>IF(ISBLANK(JP!F107),"","x")</f>
        <v/>
      </c>
      <c r="I103" t="str">
        <f>IF(ISBLANK(JP!G107),"","x")</f>
        <v>x</v>
      </c>
      <c r="J103" t="str">
        <f>IF(ISBLANK(JP!H107),"","x")</f>
        <v/>
      </c>
      <c r="K103" t="str">
        <f>IF(ISBLANK(JP!I107),"","x")</f>
        <v/>
      </c>
      <c r="L103" t="str">
        <f>IF(ISBLANK(JP!J107),"","x")</f>
        <v/>
      </c>
      <c r="M103" t="str">
        <f>IF(ISBLANK(JP!L107),"","x")</f>
        <v/>
      </c>
      <c r="N103" t="str">
        <f>IF(ISBLANK(JP!M107),"","x")</f>
        <v/>
      </c>
      <c r="O103" t="str">
        <f>IF(ISBLANK(JP!N107),"","x")</f>
        <v/>
      </c>
      <c r="P103" t="str">
        <f>IF(ISBLANK(JP!O107),"","x")</f>
        <v/>
      </c>
      <c r="Q103" t="str">
        <f>IF(ISBLANK(JP!P107),"","x")</f>
        <v/>
      </c>
      <c r="R103" t="str">
        <f>IF(ISBLANK(JP!Q107),"","x")</f>
        <v/>
      </c>
      <c r="S103" t="str">
        <f>IF(ISBLANK(JP!R107),"","x")</f>
        <v/>
      </c>
      <c r="T103" t="str">
        <f>IF(ISBLANK(JP!T107),"","x")</f>
        <v/>
      </c>
      <c r="U103" t="str">
        <f>IF(ISBLANK(JP!U107),"","x")</f>
        <v/>
      </c>
      <c r="V103" t="str">
        <f>IF(ISBLANK(JP!V107),"","x")</f>
        <v/>
      </c>
      <c r="W103" t="str">
        <f>IF(ISBLANK(JP!W107),"","x")</f>
        <v/>
      </c>
      <c r="X103" t="str">
        <f>IF(ISBLANK(JP!X107),"","x")</f>
        <v/>
      </c>
      <c r="Y103" t="str">
        <f>IF(ISBLANK(JP!Y107),"","x")</f>
        <v/>
      </c>
      <c r="Z103" t="str">
        <f>IF(ISBLANK(JP!Z107),"","x")</f>
        <v/>
      </c>
      <c r="AA103" t="str">
        <f>IF(ISBLANK(JP!AB107),"","x")</f>
        <v/>
      </c>
      <c r="AB103" t="str">
        <f>IF(ISBLANK(JP!AC107),"","x")</f>
        <v/>
      </c>
      <c r="AC103" t="str">
        <f>IF(ISBLANK(JP!AD107),"","x")</f>
        <v/>
      </c>
      <c r="AD103" t="str">
        <f>IF(ISBLANK(JP!AE107),"","x")</f>
        <v/>
      </c>
      <c r="AE103" t="str">
        <f>IF(ISBLANK(JP!AF107),"","x")</f>
        <v/>
      </c>
      <c r="AF103" t="str">
        <f>IF(ISBLANK(JP!AG107),"","x")</f>
        <v/>
      </c>
      <c r="AG103" t="str">
        <f>IF(ISBLANK(JP!AH107),"","x")</f>
        <v/>
      </c>
      <c r="AH103" t="str">
        <f>IF(ISBLANK(JP!AJ107),"","x")</f>
        <v/>
      </c>
      <c r="AI103" t="str">
        <f>IF(ISBLANK(JP!AK107),"","x")</f>
        <v/>
      </c>
      <c r="AJ103" t="str">
        <f>IF(ISBLANK(JP!AL107),"","x")</f>
        <v/>
      </c>
      <c r="AK103" t="str">
        <f>IF(ISBLANK(JP!AM107),"","x")</f>
        <v/>
      </c>
      <c r="AL103" t="str">
        <f>IF(ISBLANK(JP!AN107),"","x")</f>
        <v/>
      </c>
      <c r="AM103" t="str">
        <f>IF(ISBLANK(JP!AO107),"","x")</f>
        <v/>
      </c>
      <c r="AN103" t="str">
        <f>IF(ISBLANK(JP!AP107),"","x")</f>
        <v/>
      </c>
      <c r="AO103" t="str">
        <f>IF(ISBLANK(JP!AR107),"","x")</f>
        <v/>
      </c>
      <c r="AP103" t="str">
        <f>IF(ISBLANK(JP!AS107),"","x")</f>
        <v/>
      </c>
      <c r="AQ103" t="str">
        <f>IF(ISBLANK(JP!AT107),"","x")</f>
        <v/>
      </c>
      <c r="AR103" t="str">
        <f>IF(ISBLANK(JP!AU107),"","x")</f>
        <v/>
      </c>
      <c r="AS103" t="str">
        <f>IF(ISBLANK(JP!AV107),"","x")</f>
        <v/>
      </c>
      <c r="AT103" t="str">
        <f>IF(ISBLANK(JP!AW107),"","x")</f>
        <v/>
      </c>
      <c r="AU103" t="str">
        <f>IF(ISBLANK(JP!AX107),"","x")</f>
        <v/>
      </c>
    </row>
    <row r="104" spans="2:47">
      <c r="B104">
        <f>IF(ISBLANK(JP!AZ108),"",JP!AZ108)</f>
        <v>10023107</v>
      </c>
      <c r="C104" t="str">
        <f>IF(ISBLANK(JP!BA108),"",JP!BA108)</f>
        <v>WONG LI MINIMART</v>
      </c>
      <c r="D104" t="str">
        <f>IF(ISBLANK(JP!BC108),"",JP!BC108)</f>
        <v>832 WOODLANDS STREET 83</v>
      </c>
      <c r="E104">
        <f>IF(ISBLANK(JP!BB108),"",JP!BB108)</f>
        <v>1</v>
      </c>
      <c r="F104" t="str">
        <f>IF(ISBLANK(JP!D108),"","x")</f>
        <v/>
      </c>
      <c r="G104" t="str">
        <f>IF(ISBLANK(JP!E108),"","x")</f>
        <v/>
      </c>
      <c r="H104" t="str">
        <f>IF(ISBLANK(JP!F108),"","x")</f>
        <v/>
      </c>
      <c r="I104" t="str">
        <f>IF(ISBLANK(JP!G108),"","x")</f>
        <v/>
      </c>
      <c r="J104" t="str">
        <f>IF(ISBLANK(JP!H108),"","x")</f>
        <v/>
      </c>
      <c r="K104" t="str">
        <f>IF(ISBLANK(JP!I108),"","x")</f>
        <v/>
      </c>
      <c r="L104" t="str">
        <f>IF(ISBLANK(JP!J108),"","x")</f>
        <v/>
      </c>
      <c r="M104" t="str">
        <f>IF(ISBLANK(JP!L108),"","x")</f>
        <v/>
      </c>
      <c r="N104" t="str">
        <f>IF(ISBLANK(JP!M108),"","x")</f>
        <v/>
      </c>
      <c r="O104" t="str">
        <f>IF(ISBLANK(JP!N108),"","x")</f>
        <v/>
      </c>
      <c r="P104" t="str">
        <f>IF(ISBLANK(JP!O108),"","x")</f>
        <v/>
      </c>
      <c r="Q104" t="str">
        <f>IF(ISBLANK(JP!P108),"","x")</f>
        <v/>
      </c>
      <c r="R104" t="str">
        <f>IF(ISBLANK(JP!Q108),"","x")</f>
        <v/>
      </c>
      <c r="S104" t="str">
        <f>IF(ISBLANK(JP!R108),"","x")</f>
        <v/>
      </c>
      <c r="T104" t="str">
        <f>IF(ISBLANK(JP!T108),"","x")</f>
        <v/>
      </c>
      <c r="U104" t="str">
        <f>IF(ISBLANK(JP!U108),"","x")</f>
        <v/>
      </c>
      <c r="V104" t="str">
        <f>IF(ISBLANK(JP!V108),"","x")</f>
        <v/>
      </c>
      <c r="W104" t="str">
        <f>IF(ISBLANK(JP!W108),"","x")</f>
        <v/>
      </c>
      <c r="X104" t="str">
        <f>IF(ISBLANK(JP!X108),"","x")</f>
        <v/>
      </c>
      <c r="Y104" t="str">
        <f>IF(ISBLANK(JP!Y108),"","x")</f>
        <v/>
      </c>
      <c r="Z104" t="str">
        <f>IF(ISBLANK(JP!Z108),"","x")</f>
        <v/>
      </c>
      <c r="AA104" t="str">
        <f>IF(ISBLANK(JP!AB108),"","x")</f>
        <v/>
      </c>
      <c r="AB104" t="str">
        <f>IF(ISBLANK(JP!AC108),"","x")</f>
        <v/>
      </c>
      <c r="AC104" t="str">
        <f>IF(ISBLANK(JP!AD108),"","x")</f>
        <v/>
      </c>
      <c r="AD104" t="str">
        <f>IF(ISBLANK(JP!AE108),"","x")</f>
        <v>x</v>
      </c>
      <c r="AE104" t="str">
        <f>IF(ISBLANK(JP!AF108),"","x")</f>
        <v/>
      </c>
      <c r="AF104" t="str">
        <f>IF(ISBLANK(JP!AG108),"","x")</f>
        <v/>
      </c>
      <c r="AG104" t="str">
        <f>IF(ISBLANK(JP!AH108),"","x")</f>
        <v/>
      </c>
      <c r="AH104" t="str">
        <f>IF(ISBLANK(JP!AJ108),"","x")</f>
        <v/>
      </c>
      <c r="AI104" t="str">
        <f>IF(ISBLANK(JP!AK108),"","x")</f>
        <v/>
      </c>
      <c r="AJ104" t="str">
        <f>IF(ISBLANK(JP!AL108),"","x")</f>
        <v/>
      </c>
      <c r="AK104" t="str">
        <f>IF(ISBLANK(JP!AM108),"","x")</f>
        <v/>
      </c>
      <c r="AL104" t="str">
        <f>IF(ISBLANK(JP!AN108),"","x")</f>
        <v/>
      </c>
      <c r="AM104" t="str">
        <f>IF(ISBLANK(JP!AO108),"","x")</f>
        <v/>
      </c>
      <c r="AN104" t="str">
        <f>IF(ISBLANK(JP!AP108),"","x")</f>
        <v/>
      </c>
      <c r="AO104" t="str">
        <f>IF(ISBLANK(JP!AR108),"","x")</f>
        <v/>
      </c>
      <c r="AP104" t="str">
        <f>IF(ISBLANK(JP!AS108),"","x")</f>
        <v/>
      </c>
      <c r="AQ104" t="str">
        <f>IF(ISBLANK(JP!AT108),"","x")</f>
        <v/>
      </c>
      <c r="AR104" t="str">
        <f>IF(ISBLANK(JP!AU108),"","x")</f>
        <v/>
      </c>
      <c r="AS104" t="str">
        <f>IF(ISBLANK(JP!AV108),"","x")</f>
        <v/>
      </c>
      <c r="AT104" t="str">
        <f>IF(ISBLANK(JP!AW108),"","x")</f>
        <v/>
      </c>
      <c r="AU104" t="str">
        <f>IF(ISBLANK(JP!AX108),"","x")</f>
        <v/>
      </c>
    </row>
    <row r="105" spans="2:47">
      <c r="B105">
        <f>IF(ISBLANK(JP!AZ109),"",JP!AZ109)</f>
        <v>10046043</v>
      </c>
      <c r="C105" t="str">
        <f>IF(ISBLANK(JP!BA109),"",JP!BA109)</f>
        <v>LITTLE SUPER MART PTE. LTD.</v>
      </c>
      <c r="D105" t="str">
        <f>IF(ISBLANK(JP!BC109),"",JP!BC109)</f>
        <v>849 WOODLANDS STREET 82</v>
      </c>
      <c r="E105">
        <f>IF(ISBLANK(JP!BB109),"",JP!BB109)</f>
        <v>1</v>
      </c>
      <c r="F105" t="str">
        <f>IF(ISBLANK(JP!D109),"","x")</f>
        <v/>
      </c>
      <c r="G105" t="str">
        <f>IF(ISBLANK(JP!E109),"","x")</f>
        <v/>
      </c>
      <c r="H105" t="str">
        <f>IF(ISBLANK(JP!F109),"","x")</f>
        <v/>
      </c>
      <c r="I105" t="str">
        <f>IF(ISBLANK(JP!G109),"","x")</f>
        <v/>
      </c>
      <c r="J105" t="str">
        <f>IF(ISBLANK(JP!H109),"","x")</f>
        <v/>
      </c>
      <c r="K105" t="str">
        <f>IF(ISBLANK(JP!I109),"","x")</f>
        <v/>
      </c>
      <c r="L105" t="str">
        <f>IF(ISBLANK(JP!J109),"","x")</f>
        <v/>
      </c>
      <c r="M105" t="str">
        <f>IF(ISBLANK(JP!L109),"","x")</f>
        <v/>
      </c>
      <c r="N105" t="str">
        <f>IF(ISBLANK(JP!M109),"","x")</f>
        <v/>
      </c>
      <c r="O105" t="str">
        <f>IF(ISBLANK(JP!N109),"","x")</f>
        <v/>
      </c>
      <c r="P105" t="str">
        <f>IF(ISBLANK(JP!O109),"","x")</f>
        <v/>
      </c>
      <c r="Q105" t="str">
        <f>IF(ISBLANK(JP!P109),"","x")</f>
        <v/>
      </c>
      <c r="R105" t="str">
        <f>IF(ISBLANK(JP!Q109),"","x")</f>
        <v/>
      </c>
      <c r="S105" t="str">
        <f>IF(ISBLANK(JP!R109),"","x")</f>
        <v/>
      </c>
      <c r="T105" t="str">
        <f>IF(ISBLANK(JP!T109),"","x")</f>
        <v/>
      </c>
      <c r="U105" t="str">
        <f>IF(ISBLANK(JP!U109),"","x")</f>
        <v/>
      </c>
      <c r="V105" t="str">
        <f>IF(ISBLANK(JP!V109),"","x")</f>
        <v/>
      </c>
      <c r="W105" t="str">
        <f>IF(ISBLANK(JP!W109),"","x")</f>
        <v/>
      </c>
      <c r="X105" t="str">
        <f>IF(ISBLANK(JP!X109),"","x")</f>
        <v/>
      </c>
      <c r="Y105" t="str">
        <f>IF(ISBLANK(JP!Y109),"","x")</f>
        <v/>
      </c>
      <c r="Z105" t="str">
        <f>IF(ISBLANK(JP!Z109),"","x")</f>
        <v/>
      </c>
      <c r="AA105" t="str">
        <f>IF(ISBLANK(JP!AB109),"","x")</f>
        <v/>
      </c>
      <c r="AB105" t="str">
        <f>IF(ISBLANK(JP!AC109),"","x")</f>
        <v/>
      </c>
      <c r="AC105" t="str">
        <f>IF(ISBLANK(JP!AD109),"","x")</f>
        <v/>
      </c>
      <c r="AD105" t="str">
        <f>IF(ISBLANK(JP!AE109),"","x")</f>
        <v>x</v>
      </c>
      <c r="AE105" t="str">
        <f>IF(ISBLANK(JP!AF109),"","x")</f>
        <v/>
      </c>
      <c r="AF105" t="str">
        <f>IF(ISBLANK(JP!AG109),"","x")</f>
        <v/>
      </c>
      <c r="AG105" t="str">
        <f>IF(ISBLANK(JP!AH109),"","x")</f>
        <v/>
      </c>
      <c r="AH105" t="str">
        <f>IF(ISBLANK(JP!AJ109),"","x")</f>
        <v/>
      </c>
      <c r="AI105" t="str">
        <f>IF(ISBLANK(JP!AK109),"","x")</f>
        <v/>
      </c>
      <c r="AJ105" t="str">
        <f>IF(ISBLANK(JP!AL109),"","x")</f>
        <v/>
      </c>
      <c r="AK105" t="str">
        <f>IF(ISBLANK(JP!AM109),"","x")</f>
        <v/>
      </c>
      <c r="AL105" t="str">
        <f>IF(ISBLANK(JP!AN109),"","x")</f>
        <v/>
      </c>
      <c r="AM105" t="str">
        <f>IF(ISBLANK(JP!AO109),"","x")</f>
        <v/>
      </c>
      <c r="AN105" t="str">
        <f>IF(ISBLANK(JP!AP109),"","x")</f>
        <v/>
      </c>
      <c r="AO105" t="str">
        <f>IF(ISBLANK(JP!AR109),"","x")</f>
        <v/>
      </c>
      <c r="AP105" t="str">
        <f>IF(ISBLANK(JP!AS109),"","x")</f>
        <v/>
      </c>
      <c r="AQ105" t="str">
        <f>IF(ISBLANK(JP!AT109),"","x")</f>
        <v/>
      </c>
      <c r="AR105" t="str">
        <f>IF(ISBLANK(JP!AU109),"","x")</f>
        <v/>
      </c>
      <c r="AS105" t="str">
        <f>IF(ISBLANK(JP!AV109),"","x")</f>
        <v/>
      </c>
      <c r="AT105" t="str">
        <f>IF(ISBLANK(JP!AW109),"","x")</f>
        <v/>
      </c>
      <c r="AU105" t="str">
        <f>IF(ISBLANK(JP!AX109),"","x")</f>
        <v/>
      </c>
    </row>
    <row r="106" spans="2:47">
      <c r="B106">
        <f>IF(ISBLANK(JP!AZ110),"",JP!AZ110)</f>
        <v>10044766</v>
      </c>
      <c r="C106" t="str">
        <f>IF(ISBLANK(JP!BA110),"",JP!BA110)</f>
        <v>KANG YU MEDICALS</v>
      </c>
      <c r="D106" t="str">
        <f>IF(ISBLANK(JP!BC110),"",JP!BC110)</f>
        <v>883 WOODLANDS STREET 82</v>
      </c>
      <c r="E106">
        <f>IF(ISBLANK(JP!BB110),"",JP!BB110)</f>
        <v>1</v>
      </c>
      <c r="F106" t="str">
        <f>IF(ISBLANK(JP!D110),"","x")</f>
        <v/>
      </c>
      <c r="G106" t="str">
        <f>IF(ISBLANK(JP!E110),"","x")</f>
        <v/>
      </c>
      <c r="H106" t="str">
        <f>IF(ISBLANK(JP!F110),"","x")</f>
        <v/>
      </c>
      <c r="I106" t="str">
        <f>IF(ISBLANK(JP!G110),"","x")</f>
        <v/>
      </c>
      <c r="J106" t="str">
        <f>IF(ISBLANK(JP!H110),"","x")</f>
        <v/>
      </c>
      <c r="K106" t="str">
        <f>IF(ISBLANK(JP!I110),"","x")</f>
        <v/>
      </c>
      <c r="L106" t="str">
        <f>IF(ISBLANK(JP!J110),"","x")</f>
        <v/>
      </c>
      <c r="M106" t="str">
        <f>IF(ISBLANK(JP!L110),"","x")</f>
        <v/>
      </c>
      <c r="N106" t="str">
        <f>IF(ISBLANK(JP!M110),"","x")</f>
        <v/>
      </c>
      <c r="O106" t="str">
        <f>IF(ISBLANK(JP!N110),"","x")</f>
        <v/>
      </c>
      <c r="P106" t="str">
        <f>IF(ISBLANK(JP!O110),"","x")</f>
        <v/>
      </c>
      <c r="Q106" t="str">
        <f>IF(ISBLANK(JP!P110),"","x")</f>
        <v/>
      </c>
      <c r="R106" t="str">
        <f>IF(ISBLANK(JP!Q110),"","x")</f>
        <v/>
      </c>
      <c r="S106" t="str">
        <f>IF(ISBLANK(JP!R110),"","x")</f>
        <v/>
      </c>
      <c r="T106" t="str">
        <f>IF(ISBLANK(JP!T110),"","x")</f>
        <v/>
      </c>
      <c r="U106" t="str">
        <f>IF(ISBLANK(JP!U110),"","x")</f>
        <v/>
      </c>
      <c r="V106" t="str">
        <f>IF(ISBLANK(JP!V110),"","x")</f>
        <v/>
      </c>
      <c r="W106" t="str">
        <f>IF(ISBLANK(JP!W110),"","x")</f>
        <v/>
      </c>
      <c r="X106" t="str">
        <f>IF(ISBLANK(JP!X110),"","x")</f>
        <v/>
      </c>
      <c r="Y106" t="str">
        <f>IF(ISBLANK(JP!Y110),"","x")</f>
        <v/>
      </c>
      <c r="Z106" t="str">
        <f>IF(ISBLANK(JP!Z110),"","x")</f>
        <v/>
      </c>
      <c r="AA106" t="str">
        <f>IF(ISBLANK(JP!AB110),"","x")</f>
        <v/>
      </c>
      <c r="AB106" t="str">
        <f>IF(ISBLANK(JP!AC110),"","x")</f>
        <v/>
      </c>
      <c r="AC106" t="str">
        <f>IF(ISBLANK(JP!AD110),"","x")</f>
        <v>x</v>
      </c>
      <c r="AD106" t="str">
        <f>IF(ISBLANK(JP!AE110),"","x")</f>
        <v/>
      </c>
      <c r="AE106" t="str">
        <f>IF(ISBLANK(JP!AF110),"","x")</f>
        <v/>
      </c>
      <c r="AF106" t="str">
        <f>IF(ISBLANK(JP!AG110),"","x")</f>
        <v/>
      </c>
      <c r="AG106" t="str">
        <f>IF(ISBLANK(JP!AH110),"","x")</f>
        <v/>
      </c>
      <c r="AH106" t="str">
        <f>IF(ISBLANK(JP!AJ110),"","x")</f>
        <v/>
      </c>
      <c r="AI106" t="str">
        <f>IF(ISBLANK(JP!AK110),"","x")</f>
        <v/>
      </c>
      <c r="AJ106" t="str">
        <f>IF(ISBLANK(JP!AL110),"","x")</f>
        <v/>
      </c>
      <c r="AK106" t="str">
        <f>IF(ISBLANK(JP!AM110),"","x")</f>
        <v/>
      </c>
      <c r="AL106" t="str">
        <f>IF(ISBLANK(JP!AN110),"","x")</f>
        <v/>
      </c>
      <c r="AM106" t="str">
        <f>IF(ISBLANK(JP!AO110),"","x")</f>
        <v/>
      </c>
      <c r="AN106" t="str">
        <f>IF(ISBLANK(JP!AP110),"","x")</f>
        <v/>
      </c>
      <c r="AO106" t="str">
        <f>IF(ISBLANK(JP!AR110),"","x")</f>
        <v/>
      </c>
      <c r="AP106" t="str">
        <f>IF(ISBLANK(JP!AS110),"","x")</f>
        <v/>
      </c>
      <c r="AQ106" t="str">
        <f>IF(ISBLANK(JP!AT110),"","x")</f>
        <v/>
      </c>
      <c r="AR106" t="str">
        <f>IF(ISBLANK(JP!AU110),"","x")</f>
        <v/>
      </c>
      <c r="AS106" t="str">
        <f>IF(ISBLANK(JP!AV110),"","x")</f>
        <v/>
      </c>
      <c r="AT106" t="str">
        <f>IF(ISBLANK(JP!AW110),"","x")</f>
        <v/>
      </c>
      <c r="AU106" t="str">
        <f>IF(ISBLANK(JP!AX110),"","x")</f>
        <v/>
      </c>
    </row>
    <row r="107" spans="2:47">
      <c r="B107">
        <f>IF(ISBLANK(JP!AZ111),"",JP!AZ111)</f>
        <v>10013841</v>
      </c>
      <c r="C107" t="str">
        <f>IF(ISBLANK(JP!BA111),"",JP!BA111)</f>
        <v>MANJARI MINIMART</v>
      </c>
      <c r="D107" t="str">
        <f>IF(ISBLANK(JP!BC111),"",JP!BC111)</f>
        <v>888 WOODLANDS DRIVE 50</v>
      </c>
      <c r="E107">
        <f>IF(ISBLANK(JP!BB111),"",JP!BB111)</f>
        <v>1</v>
      </c>
      <c r="F107" t="str">
        <f>IF(ISBLANK(JP!D111),"","x")</f>
        <v/>
      </c>
      <c r="G107" t="str">
        <f>IF(ISBLANK(JP!E111),"","x")</f>
        <v/>
      </c>
      <c r="H107" t="str">
        <f>IF(ISBLANK(JP!F111),"","x")</f>
        <v/>
      </c>
      <c r="I107" t="str">
        <f>IF(ISBLANK(JP!G111),"","x")</f>
        <v/>
      </c>
      <c r="J107" t="str">
        <f>IF(ISBLANK(JP!H111),"","x")</f>
        <v/>
      </c>
      <c r="K107" t="str">
        <f>IF(ISBLANK(JP!I111),"","x")</f>
        <v/>
      </c>
      <c r="L107" t="str">
        <f>IF(ISBLANK(JP!J111),"","x")</f>
        <v/>
      </c>
      <c r="M107" t="str">
        <f>IF(ISBLANK(JP!L111),"","x")</f>
        <v/>
      </c>
      <c r="N107" t="str">
        <f>IF(ISBLANK(JP!M111),"","x")</f>
        <v/>
      </c>
      <c r="O107" t="str">
        <f>IF(ISBLANK(JP!N111),"","x")</f>
        <v/>
      </c>
      <c r="P107" t="str">
        <f>IF(ISBLANK(JP!O111),"","x")</f>
        <v/>
      </c>
      <c r="Q107" t="str">
        <f>IF(ISBLANK(JP!P111),"","x")</f>
        <v/>
      </c>
      <c r="R107" t="str">
        <f>IF(ISBLANK(JP!Q111),"","x")</f>
        <v/>
      </c>
      <c r="S107" t="str">
        <f>IF(ISBLANK(JP!R111),"","x")</f>
        <v/>
      </c>
      <c r="T107" t="str">
        <f>IF(ISBLANK(JP!T111),"","x")</f>
        <v/>
      </c>
      <c r="U107" t="str">
        <f>IF(ISBLANK(JP!U111),"","x")</f>
        <v/>
      </c>
      <c r="V107" t="str">
        <f>IF(ISBLANK(JP!V111),"","x")</f>
        <v/>
      </c>
      <c r="W107" t="str">
        <f>IF(ISBLANK(JP!W111),"","x")</f>
        <v/>
      </c>
      <c r="X107" t="str">
        <f>IF(ISBLANK(JP!X111),"","x")</f>
        <v/>
      </c>
      <c r="Y107" t="str">
        <f>IF(ISBLANK(JP!Y111),"","x")</f>
        <v/>
      </c>
      <c r="Z107" t="str">
        <f>IF(ISBLANK(JP!Z111),"","x")</f>
        <v/>
      </c>
      <c r="AA107" t="str">
        <f>IF(ISBLANK(JP!AB111),"","x")</f>
        <v/>
      </c>
      <c r="AB107" t="str">
        <f>IF(ISBLANK(JP!AC111),"","x")</f>
        <v/>
      </c>
      <c r="AC107" t="str">
        <f>IF(ISBLANK(JP!AD111),"","x")</f>
        <v>x</v>
      </c>
      <c r="AD107" t="str">
        <f>IF(ISBLANK(JP!AE111),"","x")</f>
        <v/>
      </c>
      <c r="AE107" t="str">
        <f>IF(ISBLANK(JP!AF111),"","x")</f>
        <v/>
      </c>
      <c r="AF107" t="str">
        <f>IF(ISBLANK(JP!AG111),"","x")</f>
        <v/>
      </c>
      <c r="AG107" t="str">
        <f>IF(ISBLANK(JP!AH111),"","x")</f>
        <v/>
      </c>
      <c r="AH107" t="str">
        <f>IF(ISBLANK(JP!AJ111),"","x")</f>
        <v/>
      </c>
      <c r="AI107" t="str">
        <f>IF(ISBLANK(JP!AK111),"","x")</f>
        <v/>
      </c>
      <c r="AJ107" t="str">
        <f>IF(ISBLANK(JP!AL111),"","x")</f>
        <v/>
      </c>
      <c r="AK107" t="str">
        <f>IF(ISBLANK(JP!AM111),"","x")</f>
        <v/>
      </c>
      <c r="AL107" t="str">
        <f>IF(ISBLANK(JP!AN111),"","x")</f>
        <v/>
      </c>
      <c r="AM107" t="str">
        <f>IF(ISBLANK(JP!AO111),"","x")</f>
        <v/>
      </c>
      <c r="AN107" t="str">
        <f>IF(ISBLANK(JP!AP111),"","x")</f>
        <v/>
      </c>
      <c r="AO107" t="str">
        <f>IF(ISBLANK(JP!AR111),"","x")</f>
        <v/>
      </c>
      <c r="AP107" t="str">
        <f>IF(ISBLANK(JP!AS111),"","x")</f>
        <v/>
      </c>
      <c r="AQ107" t="str">
        <f>IF(ISBLANK(JP!AT111),"","x")</f>
        <v/>
      </c>
      <c r="AR107" t="str">
        <f>IF(ISBLANK(JP!AU111),"","x")</f>
        <v/>
      </c>
      <c r="AS107" t="str">
        <f>IF(ISBLANK(JP!AV111),"","x")</f>
        <v/>
      </c>
      <c r="AT107" t="str">
        <f>IF(ISBLANK(JP!AW111),"","x")</f>
        <v/>
      </c>
      <c r="AU107" t="str">
        <f>IF(ISBLANK(JP!AX111),"","x")</f>
        <v/>
      </c>
    </row>
    <row r="108" spans="2:47">
      <c r="B108">
        <f>IF(ISBLANK(JP!AZ112),"",JP!AZ112)</f>
        <v>10041164</v>
      </c>
      <c r="C108" t="str">
        <f>IF(ISBLANK(JP!BA112),"",JP!BA112)</f>
        <v>YAK HONG MINIMART</v>
      </c>
      <c r="D108" t="str">
        <f>IF(ISBLANK(JP!BC112),"",JP!BC112)</f>
        <v>515A WOODLANDS DRIVE 14</v>
      </c>
      <c r="E108">
        <f>IF(ISBLANK(JP!BB112),"",JP!BB112)</f>
        <v>1</v>
      </c>
      <c r="F108" t="str">
        <f>IF(ISBLANK(JP!D112),"","x")</f>
        <v/>
      </c>
      <c r="G108" t="str">
        <f>IF(ISBLANK(JP!E112),"","x")</f>
        <v/>
      </c>
      <c r="H108" t="str">
        <f>IF(ISBLANK(JP!F112),"","x")</f>
        <v/>
      </c>
      <c r="I108" t="str">
        <f>IF(ISBLANK(JP!G112),"","x")</f>
        <v/>
      </c>
      <c r="J108" t="str">
        <f>IF(ISBLANK(JP!H112),"","x")</f>
        <v/>
      </c>
      <c r="K108" t="str">
        <f>IF(ISBLANK(JP!I112),"","x")</f>
        <v/>
      </c>
      <c r="L108" t="str">
        <f>IF(ISBLANK(JP!J112),"","x")</f>
        <v/>
      </c>
      <c r="M108" t="str">
        <f>IF(ISBLANK(JP!L112),"","x")</f>
        <v/>
      </c>
      <c r="N108" t="str">
        <f>IF(ISBLANK(JP!M112),"","x")</f>
        <v/>
      </c>
      <c r="O108" t="str">
        <f>IF(ISBLANK(JP!N112),"","x")</f>
        <v/>
      </c>
      <c r="P108" t="str">
        <f>IF(ISBLANK(JP!O112),"","x")</f>
        <v/>
      </c>
      <c r="Q108" t="str">
        <f>IF(ISBLANK(JP!P112),"","x")</f>
        <v/>
      </c>
      <c r="R108" t="str">
        <f>IF(ISBLANK(JP!Q112),"","x")</f>
        <v/>
      </c>
      <c r="S108" t="str">
        <f>IF(ISBLANK(JP!R112),"","x")</f>
        <v/>
      </c>
      <c r="T108" t="str">
        <f>IF(ISBLANK(JP!T112),"","x")</f>
        <v/>
      </c>
      <c r="U108" t="str">
        <f>IF(ISBLANK(JP!U112),"","x")</f>
        <v/>
      </c>
      <c r="V108" t="str">
        <f>IF(ISBLANK(JP!V112),"","x")</f>
        <v/>
      </c>
      <c r="W108" t="str">
        <f>IF(ISBLANK(JP!W112),"","x")</f>
        <v/>
      </c>
      <c r="X108" t="str">
        <f>IF(ISBLANK(JP!X112),"","x")</f>
        <v/>
      </c>
      <c r="Y108" t="str">
        <f>IF(ISBLANK(JP!Y112),"","x")</f>
        <v/>
      </c>
      <c r="Z108" t="str">
        <f>IF(ISBLANK(JP!Z112),"","x")</f>
        <v/>
      </c>
      <c r="AA108" t="str">
        <f>IF(ISBLANK(JP!AB112),"","x")</f>
        <v/>
      </c>
      <c r="AB108" t="str">
        <f>IF(ISBLANK(JP!AC112),"","x")</f>
        <v/>
      </c>
      <c r="AC108" t="str">
        <f>IF(ISBLANK(JP!AD112),"","x")</f>
        <v/>
      </c>
      <c r="AD108" t="str">
        <f>IF(ISBLANK(JP!AE112),"","x")</f>
        <v/>
      </c>
      <c r="AE108" t="str">
        <f>IF(ISBLANK(JP!AF112),"","x")</f>
        <v>x</v>
      </c>
      <c r="AF108" t="str">
        <f>IF(ISBLANK(JP!AG112),"","x")</f>
        <v/>
      </c>
      <c r="AG108" t="str">
        <f>IF(ISBLANK(JP!AH112),"","x")</f>
        <v/>
      </c>
      <c r="AH108" t="str">
        <f>IF(ISBLANK(JP!AJ112),"","x")</f>
        <v/>
      </c>
      <c r="AI108" t="str">
        <f>IF(ISBLANK(JP!AK112),"","x")</f>
        <v/>
      </c>
      <c r="AJ108" t="str">
        <f>IF(ISBLANK(JP!AL112),"","x")</f>
        <v/>
      </c>
      <c r="AK108" t="str">
        <f>IF(ISBLANK(JP!AM112),"","x")</f>
        <v/>
      </c>
      <c r="AL108" t="str">
        <f>IF(ISBLANK(JP!AN112),"","x")</f>
        <v/>
      </c>
      <c r="AM108" t="str">
        <f>IF(ISBLANK(JP!AO112),"","x")</f>
        <v/>
      </c>
      <c r="AN108" t="str">
        <f>IF(ISBLANK(JP!AP112),"","x")</f>
        <v/>
      </c>
      <c r="AO108" t="str">
        <f>IF(ISBLANK(JP!AR112),"","x")</f>
        <v/>
      </c>
      <c r="AP108" t="str">
        <f>IF(ISBLANK(JP!AS112),"","x")</f>
        <v/>
      </c>
      <c r="AQ108" t="str">
        <f>IF(ISBLANK(JP!AT112),"","x")</f>
        <v/>
      </c>
      <c r="AR108" t="str">
        <f>IF(ISBLANK(JP!AU112),"","x")</f>
        <v/>
      </c>
      <c r="AS108" t="str">
        <f>IF(ISBLANK(JP!AV112),"","x")</f>
        <v/>
      </c>
      <c r="AT108" t="str">
        <f>IF(ISBLANK(JP!AW112),"","x")</f>
        <v/>
      </c>
      <c r="AU108" t="str">
        <f>IF(ISBLANK(JP!AX112),"","x")</f>
        <v/>
      </c>
    </row>
    <row r="109" spans="2:47">
      <c r="B109">
        <f>IF(ISBLANK(JP!AZ113),"",JP!AZ113)</f>
        <v>10015340</v>
      </c>
      <c r="C109" t="str">
        <f>IF(ISBLANK(JP!BA113),"",JP!BA113)</f>
        <v>P.S ANANTHA MINIMART</v>
      </c>
      <c r="D109" t="str">
        <f>IF(ISBLANK(JP!BC113),"",JP!BC113)</f>
        <v>626A WOODLANDS DRIVE 52</v>
      </c>
      <c r="E109">
        <f>IF(ISBLANK(JP!BB113),"",JP!BB113)</f>
        <v>1</v>
      </c>
      <c r="F109" t="str">
        <f>IF(ISBLANK(JP!D113),"","x")</f>
        <v/>
      </c>
      <c r="G109" t="str">
        <f>IF(ISBLANK(JP!E113),"","x")</f>
        <v/>
      </c>
      <c r="H109" t="str">
        <f>IF(ISBLANK(JP!F113),"","x")</f>
        <v/>
      </c>
      <c r="I109" t="str">
        <f>IF(ISBLANK(JP!G113),"","x")</f>
        <v/>
      </c>
      <c r="J109" t="str">
        <f>IF(ISBLANK(JP!H113),"","x")</f>
        <v/>
      </c>
      <c r="K109" t="str">
        <f>IF(ISBLANK(JP!I113),"","x")</f>
        <v/>
      </c>
      <c r="L109" t="str">
        <f>IF(ISBLANK(JP!J113),"","x")</f>
        <v/>
      </c>
      <c r="M109" t="str">
        <f>IF(ISBLANK(JP!L113),"","x")</f>
        <v/>
      </c>
      <c r="N109" t="str">
        <f>IF(ISBLANK(JP!M113),"","x")</f>
        <v/>
      </c>
      <c r="O109" t="str">
        <f>IF(ISBLANK(JP!N113),"","x")</f>
        <v/>
      </c>
      <c r="P109" t="str">
        <f>IF(ISBLANK(JP!O113),"","x")</f>
        <v/>
      </c>
      <c r="Q109" t="str">
        <f>IF(ISBLANK(JP!P113),"","x")</f>
        <v/>
      </c>
      <c r="R109" t="str">
        <f>IF(ISBLANK(JP!Q113),"","x")</f>
        <v/>
      </c>
      <c r="S109" t="str">
        <f>IF(ISBLANK(JP!R113),"","x")</f>
        <v/>
      </c>
      <c r="T109" t="str">
        <f>IF(ISBLANK(JP!T113),"","x")</f>
        <v/>
      </c>
      <c r="U109" t="str">
        <f>IF(ISBLANK(JP!U113),"","x")</f>
        <v/>
      </c>
      <c r="V109" t="str">
        <f>IF(ISBLANK(JP!V113),"","x")</f>
        <v/>
      </c>
      <c r="W109" t="str">
        <f>IF(ISBLANK(JP!W113),"","x")</f>
        <v/>
      </c>
      <c r="X109" t="str">
        <f>IF(ISBLANK(JP!X113),"","x")</f>
        <v/>
      </c>
      <c r="Y109" t="str">
        <f>IF(ISBLANK(JP!Y113),"","x")</f>
        <v/>
      </c>
      <c r="Z109" t="str">
        <f>IF(ISBLANK(JP!Z113),"","x")</f>
        <v/>
      </c>
      <c r="AA109" t="str">
        <f>IF(ISBLANK(JP!AB113),"","x")</f>
        <v/>
      </c>
      <c r="AB109" t="str">
        <f>IF(ISBLANK(JP!AC113),"","x")</f>
        <v/>
      </c>
      <c r="AC109" t="str">
        <f>IF(ISBLANK(JP!AD113),"","x")</f>
        <v/>
      </c>
      <c r="AD109" t="str">
        <f>IF(ISBLANK(JP!AE113),"","x")</f>
        <v/>
      </c>
      <c r="AE109" t="str">
        <f>IF(ISBLANK(JP!AF113),"","x")</f>
        <v>x</v>
      </c>
      <c r="AF109" t="str">
        <f>IF(ISBLANK(JP!AG113),"","x")</f>
        <v/>
      </c>
      <c r="AG109" t="str">
        <f>IF(ISBLANK(JP!AH113),"","x")</f>
        <v/>
      </c>
      <c r="AH109" t="str">
        <f>IF(ISBLANK(JP!AJ113),"","x")</f>
        <v/>
      </c>
      <c r="AI109" t="str">
        <f>IF(ISBLANK(JP!AK113),"","x")</f>
        <v/>
      </c>
      <c r="AJ109" t="str">
        <f>IF(ISBLANK(JP!AL113),"","x")</f>
        <v/>
      </c>
      <c r="AK109" t="str">
        <f>IF(ISBLANK(JP!AM113),"","x")</f>
        <v/>
      </c>
      <c r="AL109" t="str">
        <f>IF(ISBLANK(JP!AN113),"","x")</f>
        <v/>
      </c>
      <c r="AM109" t="str">
        <f>IF(ISBLANK(JP!AO113),"","x")</f>
        <v/>
      </c>
      <c r="AN109" t="str">
        <f>IF(ISBLANK(JP!AP113),"","x")</f>
        <v/>
      </c>
      <c r="AO109" t="str">
        <f>IF(ISBLANK(JP!AR113),"","x")</f>
        <v/>
      </c>
      <c r="AP109" t="str">
        <f>IF(ISBLANK(JP!AS113),"","x")</f>
        <v/>
      </c>
      <c r="AQ109" t="str">
        <f>IF(ISBLANK(JP!AT113),"","x")</f>
        <v/>
      </c>
      <c r="AR109" t="str">
        <f>IF(ISBLANK(JP!AU113),"","x")</f>
        <v/>
      </c>
      <c r="AS109" t="str">
        <f>IF(ISBLANK(JP!AV113),"","x")</f>
        <v/>
      </c>
      <c r="AT109" t="str">
        <f>IF(ISBLANK(JP!AW113),"","x")</f>
        <v/>
      </c>
      <c r="AU109" t="str">
        <f>IF(ISBLANK(JP!AX113),"","x")</f>
        <v/>
      </c>
    </row>
    <row r="110" spans="2:47">
      <c r="B110">
        <f>IF(ISBLANK(JP!AZ114),"",JP!AZ114)</f>
        <v>10043852</v>
      </c>
      <c r="C110" t="str">
        <f>IF(ISBLANK(JP!BA114),"",JP!BA114)</f>
        <v>HOE HUAT SENG (2011) TRADING</v>
      </c>
      <c r="D110" t="str">
        <f>IF(ISBLANK(JP!BC114),"",JP!BC114)</f>
        <v>892C WOODLANDS DRIVE 50</v>
      </c>
      <c r="E110">
        <f>IF(ISBLANK(JP!BB114),"",JP!BB114)</f>
        <v>1</v>
      </c>
      <c r="F110" t="str">
        <f>IF(ISBLANK(JP!D114),"","x")</f>
        <v/>
      </c>
      <c r="G110" t="str">
        <f>IF(ISBLANK(JP!E114),"","x")</f>
        <v/>
      </c>
      <c r="H110" t="str">
        <f>IF(ISBLANK(JP!F114),"","x")</f>
        <v/>
      </c>
      <c r="I110" t="str">
        <f>IF(ISBLANK(JP!G114),"","x")</f>
        <v/>
      </c>
      <c r="J110" t="str">
        <f>IF(ISBLANK(JP!H114),"","x")</f>
        <v/>
      </c>
      <c r="K110" t="str">
        <f>IF(ISBLANK(JP!I114),"","x")</f>
        <v/>
      </c>
      <c r="L110" t="str">
        <f>IF(ISBLANK(JP!J114),"","x")</f>
        <v/>
      </c>
      <c r="M110" t="str">
        <f>IF(ISBLANK(JP!L114),"","x")</f>
        <v/>
      </c>
      <c r="N110" t="str">
        <f>IF(ISBLANK(JP!M114),"","x")</f>
        <v/>
      </c>
      <c r="O110" t="str">
        <f>IF(ISBLANK(JP!N114),"","x")</f>
        <v/>
      </c>
      <c r="P110" t="str">
        <f>IF(ISBLANK(JP!O114),"","x")</f>
        <v/>
      </c>
      <c r="Q110" t="str">
        <f>IF(ISBLANK(JP!P114),"","x")</f>
        <v/>
      </c>
      <c r="R110" t="str">
        <f>IF(ISBLANK(JP!Q114),"","x")</f>
        <v/>
      </c>
      <c r="S110" t="str">
        <f>IF(ISBLANK(JP!R114),"","x")</f>
        <v/>
      </c>
      <c r="T110" t="str">
        <f>IF(ISBLANK(JP!T114),"","x")</f>
        <v/>
      </c>
      <c r="U110" t="str">
        <f>IF(ISBLANK(JP!U114),"","x")</f>
        <v/>
      </c>
      <c r="V110" t="str">
        <f>IF(ISBLANK(JP!V114),"","x")</f>
        <v/>
      </c>
      <c r="W110" t="str">
        <f>IF(ISBLANK(JP!W114),"","x")</f>
        <v/>
      </c>
      <c r="X110" t="str">
        <f>IF(ISBLANK(JP!X114),"","x")</f>
        <v/>
      </c>
      <c r="Y110" t="str">
        <f>IF(ISBLANK(JP!Y114),"","x")</f>
        <v/>
      </c>
      <c r="Z110" t="str">
        <f>IF(ISBLANK(JP!Z114),"","x")</f>
        <v/>
      </c>
      <c r="AA110" t="str">
        <f>IF(ISBLANK(JP!AB114),"","x")</f>
        <v/>
      </c>
      <c r="AB110" t="str">
        <f>IF(ISBLANK(JP!AC114),"","x")</f>
        <v/>
      </c>
      <c r="AC110" t="str">
        <f>IF(ISBLANK(JP!AD114),"","x")</f>
        <v>x</v>
      </c>
      <c r="AD110" t="str">
        <f>IF(ISBLANK(JP!AE114),"","x")</f>
        <v/>
      </c>
      <c r="AE110" t="str">
        <f>IF(ISBLANK(JP!AF114),"","x")</f>
        <v/>
      </c>
      <c r="AF110" t="str">
        <f>IF(ISBLANK(JP!AG114),"","x")</f>
        <v/>
      </c>
      <c r="AG110" t="str">
        <f>IF(ISBLANK(JP!AH114),"","x")</f>
        <v/>
      </c>
      <c r="AH110" t="str">
        <f>IF(ISBLANK(JP!AJ114),"","x")</f>
        <v/>
      </c>
      <c r="AI110" t="str">
        <f>IF(ISBLANK(JP!AK114),"","x")</f>
        <v/>
      </c>
      <c r="AJ110" t="str">
        <f>IF(ISBLANK(JP!AL114),"","x")</f>
        <v/>
      </c>
      <c r="AK110" t="str">
        <f>IF(ISBLANK(JP!AM114),"","x")</f>
        <v/>
      </c>
      <c r="AL110" t="str">
        <f>IF(ISBLANK(JP!AN114),"","x")</f>
        <v/>
      </c>
      <c r="AM110" t="str">
        <f>IF(ISBLANK(JP!AO114),"","x")</f>
        <v/>
      </c>
      <c r="AN110" t="str">
        <f>IF(ISBLANK(JP!AP114),"","x")</f>
        <v/>
      </c>
      <c r="AO110" t="str">
        <f>IF(ISBLANK(JP!AR114),"","x")</f>
        <v/>
      </c>
      <c r="AP110" t="str">
        <f>IF(ISBLANK(JP!AS114),"","x")</f>
        <v/>
      </c>
      <c r="AQ110" t="str">
        <f>IF(ISBLANK(JP!AT114),"","x")</f>
        <v/>
      </c>
      <c r="AR110" t="str">
        <f>IF(ISBLANK(JP!AU114),"","x")</f>
        <v/>
      </c>
      <c r="AS110" t="str">
        <f>IF(ISBLANK(JP!AV114),"","x")</f>
        <v/>
      </c>
      <c r="AT110" t="str">
        <f>IF(ISBLANK(JP!AW114),"","x")</f>
        <v/>
      </c>
      <c r="AU110" t="str">
        <f>IF(ISBLANK(JP!AX114),"","x")</f>
        <v/>
      </c>
    </row>
    <row r="111" spans="2:47">
      <c r="B111">
        <f>IF(ISBLANK(JP!AZ115),"",JP!AZ115)</f>
        <v>10044214</v>
      </c>
      <c r="C111" t="str">
        <f>IF(ISBLANK(JP!BA115),"",JP!BA115)</f>
        <v>POPULAR SUPERMARKET</v>
      </c>
      <c r="D111" t="str">
        <f>IF(ISBLANK(JP!BC115),"",JP!BC115)</f>
        <v>71 WOODLANDS AVENUE 10</v>
      </c>
      <c r="E111">
        <f>IF(ISBLANK(JP!BB115),"",JP!BB115)</f>
        <v>1</v>
      </c>
      <c r="F111" t="str">
        <f>IF(ISBLANK(JP!D115),"","x")</f>
        <v/>
      </c>
      <c r="G111" t="str">
        <f>IF(ISBLANK(JP!E115),"","x")</f>
        <v/>
      </c>
      <c r="H111" t="str">
        <f>IF(ISBLANK(JP!F115),"","x")</f>
        <v/>
      </c>
      <c r="I111" t="str">
        <f>IF(ISBLANK(JP!G115),"","x")</f>
        <v/>
      </c>
      <c r="J111" t="str">
        <f>IF(ISBLANK(JP!H115),"","x")</f>
        <v/>
      </c>
      <c r="K111" t="str">
        <f>IF(ISBLANK(JP!I115),"","x")</f>
        <v/>
      </c>
      <c r="L111" t="str">
        <f>IF(ISBLANK(JP!J115),"","x")</f>
        <v/>
      </c>
      <c r="M111" t="str">
        <f>IF(ISBLANK(JP!L115),"","x")</f>
        <v/>
      </c>
      <c r="N111" t="str">
        <f>IF(ISBLANK(JP!M115),"","x")</f>
        <v/>
      </c>
      <c r="O111" t="str">
        <f>IF(ISBLANK(JP!N115),"","x")</f>
        <v/>
      </c>
      <c r="P111" t="str">
        <f>IF(ISBLANK(JP!O115),"","x")</f>
        <v/>
      </c>
      <c r="Q111" t="str">
        <f>IF(ISBLANK(JP!P115),"","x")</f>
        <v/>
      </c>
      <c r="R111" t="str">
        <f>IF(ISBLANK(JP!Q115),"","x")</f>
        <v/>
      </c>
      <c r="S111" t="str">
        <f>IF(ISBLANK(JP!R115),"","x")</f>
        <v/>
      </c>
      <c r="T111" t="str">
        <f>IF(ISBLANK(JP!T115),"","x")</f>
        <v/>
      </c>
      <c r="U111" t="str">
        <f>IF(ISBLANK(JP!U115),"","x")</f>
        <v/>
      </c>
      <c r="V111" t="str">
        <f>IF(ISBLANK(JP!V115),"","x")</f>
        <v/>
      </c>
      <c r="W111" t="str">
        <f>IF(ISBLANK(JP!W115),"","x")</f>
        <v/>
      </c>
      <c r="X111" t="str">
        <f>IF(ISBLANK(JP!X115),"","x")</f>
        <v/>
      </c>
      <c r="Y111" t="str">
        <f>IF(ISBLANK(JP!Y115),"","x")</f>
        <v/>
      </c>
      <c r="Z111" t="str">
        <f>IF(ISBLANK(JP!Z115),"","x")</f>
        <v/>
      </c>
      <c r="AA111" t="str">
        <f>IF(ISBLANK(JP!AB115),"","x")</f>
        <v/>
      </c>
      <c r="AB111" t="str">
        <f>IF(ISBLANK(JP!AC115),"","x")</f>
        <v/>
      </c>
      <c r="AC111" t="str">
        <f>IF(ISBLANK(JP!AD115),"","x")</f>
        <v/>
      </c>
      <c r="AD111" t="str">
        <f>IF(ISBLANK(JP!AE115),"","x")</f>
        <v/>
      </c>
      <c r="AE111" t="str">
        <f>IF(ISBLANK(JP!AF115),"","x")</f>
        <v/>
      </c>
      <c r="AF111" t="str">
        <f>IF(ISBLANK(JP!AG115),"","x")</f>
        <v/>
      </c>
      <c r="AG111" t="str">
        <f>IF(ISBLANK(JP!AH115),"","x")</f>
        <v/>
      </c>
      <c r="AH111" t="str">
        <f>IF(ISBLANK(JP!AJ115),"","x")</f>
        <v/>
      </c>
      <c r="AI111" t="str">
        <f>IF(ISBLANK(JP!AK115),"","x")</f>
        <v/>
      </c>
      <c r="AJ111" t="str">
        <f>IF(ISBLANK(JP!AL115),"","x")</f>
        <v>x</v>
      </c>
      <c r="AK111" t="str">
        <f>IF(ISBLANK(JP!AM115),"","x")</f>
        <v/>
      </c>
      <c r="AL111" t="str">
        <f>IF(ISBLANK(JP!AN115),"","x")</f>
        <v/>
      </c>
      <c r="AM111" t="str">
        <f>IF(ISBLANK(JP!AO115),"","x")</f>
        <v/>
      </c>
      <c r="AN111" t="str">
        <f>IF(ISBLANK(JP!AP115),"","x")</f>
        <v/>
      </c>
      <c r="AO111" t="str">
        <f>IF(ISBLANK(JP!AR115),"","x")</f>
        <v/>
      </c>
      <c r="AP111" t="str">
        <f>IF(ISBLANK(JP!AS115),"","x")</f>
        <v/>
      </c>
      <c r="AQ111" t="str">
        <f>IF(ISBLANK(JP!AT115),"","x")</f>
        <v/>
      </c>
      <c r="AR111" t="str">
        <f>IF(ISBLANK(JP!AU115),"","x")</f>
        <v/>
      </c>
      <c r="AS111" t="str">
        <f>IF(ISBLANK(JP!AV115),"","x")</f>
        <v/>
      </c>
      <c r="AT111" t="str">
        <f>IF(ISBLANK(JP!AW115),"","x")</f>
        <v/>
      </c>
      <c r="AU111" t="str">
        <f>IF(ISBLANK(JP!AX115),"","x")</f>
        <v/>
      </c>
    </row>
    <row r="112" spans="2:47">
      <c r="B112">
        <f>IF(ISBLANK(JP!AZ116),"",JP!AZ116)</f>
        <v>10045525</v>
      </c>
      <c r="C112" t="str">
        <f>IF(ISBLANK(JP!BA116),"",JP!BA116)</f>
        <v>SUNSHINE MART PROVISION SHOP</v>
      </c>
      <c r="D112" t="str">
        <f>IF(ISBLANK(JP!BC116),"",JP!BC116)</f>
        <v>39 WOODLANDS CLOSE</v>
      </c>
      <c r="E112">
        <f>IF(ISBLANK(JP!BB116),"",JP!BB116)</f>
        <v>1</v>
      </c>
      <c r="F112" t="str">
        <f>IF(ISBLANK(JP!D116),"","x")</f>
        <v/>
      </c>
      <c r="G112" t="str">
        <f>IF(ISBLANK(JP!E116),"","x")</f>
        <v/>
      </c>
      <c r="H112" t="str">
        <f>IF(ISBLANK(JP!F116),"","x")</f>
        <v/>
      </c>
      <c r="I112" t="str">
        <f>IF(ISBLANK(JP!G116),"","x")</f>
        <v/>
      </c>
      <c r="J112" t="str">
        <f>IF(ISBLANK(JP!H116),"","x")</f>
        <v/>
      </c>
      <c r="K112" t="str">
        <f>IF(ISBLANK(JP!I116),"","x")</f>
        <v/>
      </c>
      <c r="L112" t="str">
        <f>IF(ISBLANK(JP!J116),"","x")</f>
        <v/>
      </c>
      <c r="M112" t="str">
        <f>IF(ISBLANK(JP!L116),"","x")</f>
        <v/>
      </c>
      <c r="N112" t="str">
        <f>IF(ISBLANK(JP!M116),"","x")</f>
        <v/>
      </c>
      <c r="O112" t="str">
        <f>IF(ISBLANK(JP!N116),"","x")</f>
        <v/>
      </c>
      <c r="P112" t="str">
        <f>IF(ISBLANK(JP!O116),"","x")</f>
        <v/>
      </c>
      <c r="Q112" t="str">
        <f>IF(ISBLANK(JP!P116),"","x")</f>
        <v/>
      </c>
      <c r="R112" t="str">
        <f>IF(ISBLANK(JP!Q116),"","x")</f>
        <v/>
      </c>
      <c r="S112" t="str">
        <f>IF(ISBLANK(JP!R116),"","x")</f>
        <v/>
      </c>
      <c r="T112" t="str">
        <f>IF(ISBLANK(JP!T116),"","x")</f>
        <v/>
      </c>
      <c r="U112" t="str">
        <f>IF(ISBLANK(JP!U116),"","x")</f>
        <v/>
      </c>
      <c r="V112" t="str">
        <f>IF(ISBLANK(JP!V116),"","x")</f>
        <v/>
      </c>
      <c r="W112" t="str">
        <f>IF(ISBLANK(JP!W116),"","x")</f>
        <v/>
      </c>
      <c r="X112" t="str">
        <f>IF(ISBLANK(JP!X116),"","x")</f>
        <v/>
      </c>
      <c r="Y112" t="str">
        <f>IF(ISBLANK(JP!Y116),"","x")</f>
        <v/>
      </c>
      <c r="Z112" t="str">
        <f>IF(ISBLANK(JP!Z116),"","x")</f>
        <v/>
      </c>
      <c r="AA112" t="str">
        <f>IF(ISBLANK(JP!AB116),"","x")</f>
        <v/>
      </c>
      <c r="AB112" t="str">
        <f>IF(ISBLANK(JP!AC116),"","x")</f>
        <v/>
      </c>
      <c r="AC112" t="str">
        <f>IF(ISBLANK(JP!AD116),"","x")</f>
        <v>x</v>
      </c>
      <c r="AD112" t="str">
        <f>IF(ISBLANK(JP!AE116),"","x")</f>
        <v/>
      </c>
      <c r="AE112" t="str">
        <f>IF(ISBLANK(JP!AF116),"","x")</f>
        <v/>
      </c>
      <c r="AF112" t="str">
        <f>IF(ISBLANK(JP!AG116),"","x")</f>
        <v/>
      </c>
      <c r="AG112" t="str">
        <f>IF(ISBLANK(JP!AH116),"","x")</f>
        <v/>
      </c>
      <c r="AH112" t="str">
        <f>IF(ISBLANK(JP!AJ116),"","x")</f>
        <v/>
      </c>
      <c r="AI112" t="str">
        <f>IF(ISBLANK(JP!AK116),"","x")</f>
        <v/>
      </c>
      <c r="AJ112" t="str">
        <f>IF(ISBLANK(JP!AL116),"","x")</f>
        <v/>
      </c>
      <c r="AK112" t="str">
        <f>IF(ISBLANK(JP!AM116),"","x")</f>
        <v/>
      </c>
      <c r="AL112" t="str">
        <f>IF(ISBLANK(JP!AN116),"","x")</f>
        <v/>
      </c>
      <c r="AM112" t="str">
        <f>IF(ISBLANK(JP!AO116),"","x")</f>
        <v/>
      </c>
      <c r="AN112" t="str">
        <f>IF(ISBLANK(JP!AP116),"","x")</f>
        <v/>
      </c>
      <c r="AO112" t="str">
        <f>IF(ISBLANK(JP!AR116),"","x")</f>
        <v/>
      </c>
      <c r="AP112" t="str">
        <f>IF(ISBLANK(JP!AS116),"","x")</f>
        <v/>
      </c>
      <c r="AQ112" t="str">
        <f>IF(ISBLANK(JP!AT116),"","x")</f>
        <v/>
      </c>
      <c r="AR112" t="str">
        <f>IF(ISBLANK(JP!AU116),"","x")</f>
        <v/>
      </c>
      <c r="AS112" t="str">
        <f>IF(ISBLANK(JP!AV116),"","x")</f>
        <v/>
      </c>
      <c r="AT112" t="str">
        <f>IF(ISBLANK(JP!AW116),"","x")</f>
        <v/>
      </c>
      <c r="AU112" t="str">
        <f>IF(ISBLANK(JP!AX116),"","x")</f>
        <v/>
      </c>
    </row>
    <row r="113" spans="2:47">
      <c r="B113">
        <f>IF(ISBLANK(JP!AZ117),"",JP!AZ117)</f>
        <v>10031518</v>
      </c>
      <c r="C113" t="str">
        <f>IF(ISBLANK(JP!BA117),"",JP!BA117)</f>
        <v>THH ENTERPRISE</v>
      </c>
      <c r="D113" t="str">
        <f>IF(ISBLANK(JP!BC117),"",JP!BC117)</f>
        <v>960 WOODLANDS ROAD</v>
      </c>
      <c r="E113">
        <f>IF(ISBLANK(JP!BB117),"",JP!BB117)</f>
        <v>1</v>
      </c>
      <c r="F113" t="str">
        <f>IF(ISBLANK(JP!D117),"","x")</f>
        <v/>
      </c>
      <c r="G113" t="str">
        <f>IF(ISBLANK(JP!E117),"","x")</f>
        <v/>
      </c>
      <c r="H113" t="str">
        <f>IF(ISBLANK(JP!F117),"","x")</f>
        <v/>
      </c>
      <c r="I113" t="str">
        <f>IF(ISBLANK(JP!G117),"","x")</f>
        <v/>
      </c>
      <c r="J113" t="str">
        <f>IF(ISBLANK(JP!H117),"","x")</f>
        <v/>
      </c>
      <c r="K113" t="str">
        <f>IF(ISBLANK(JP!I117),"","x")</f>
        <v/>
      </c>
      <c r="L113" t="str">
        <f>IF(ISBLANK(JP!J117),"","x")</f>
        <v/>
      </c>
      <c r="M113" t="str">
        <f>IF(ISBLANK(JP!L117),"","x")</f>
        <v/>
      </c>
      <c r="N113" t="str">
        <f>IF(ISBLANK(JP!M117),"","x")</f>
        <v/>
      </c>
      <c r="O113" t="str">
        <f>IF(ISBLANK(JP!N117),"","x")</f>
        <v/>
      </c>
      <c r="P113" t="str">
        <f>IF(ISBLANK(JP!O117),"","x")</f>
        <v/>
      </c>
      <c r="Q113" t="str">
        <f>IF(ISBLANK(JP!P117),"","x")</f>
        <v/>
      </c>
      <c r="R113" t="str">
        <f>IF(ISBLANK(JP!Q117),"","x")</f>
        <v/>
      </c>
      <c r="S113" t="str">
        <f>IF(ISBLANK(JP!R117),"","x")</f>
        <v/>
      </c>
      <c r="T113" t="str">
        <f>IF(ISBLANK(JP!T117),"","x")</f>
        <v/>
      </c>
      <c r="U113" t="str">
        <f>IF(ISBLANK(JP!U117),"","x")</f>
        <v/>
      </c>
      <c r="V113" t="str">
        <f>IF(ISBLANK(JP!V117),"","x")</f>
        <v/>
      </c>
      <c r="W113" t="str">
        <f>IF(ISBLANK(JP!W117),"","x")</f>
        <v/>
      </c>
      <c r="X113" t="str">
        <f>IF(ISBLANK(JP!X117),"","x")</f>
        <v/>
      </c>
      <c r="Y113" t="str">
        <f>IF(ISBLANK(JP!Y117),"","x")</f>
        <v/>
      </c>
      <c r="Z113" t="str">
        <f>IF(ISBLANK(JP!Z117),"","x")</f>
        <v/>
      </c>
      <c r="AA113" t="str">
        <f>IF(ISBLANK(JP!AB117),"","x")</f>
        <v/>
      </c>
      <c r="AB113" t="str">
        <f>IF(ISBLANK(JP!AC117),"","x")</f>
        <v/>
      </c>
      <c r="AC113" t="str">
        <f>IF(ISBLANK(JP!AD117),"","x")</f>
        <v/>
      </c>
      <c r="AD113" t="str">
        <f>IF(ISBLANK(JP!AE117),"","x")</f>
        <v/>
      </c>
      <c r="AE113" t="str">
        <f>IF(ISBLANK(JP!AF117),"","x")</f>
        <v/>
      </c>
      <c r="AF113" t="str">
        <f>IF(ISBLANK(JP!AG117),"","x")</f>
        <v/>
      </c>
      <c r="AG113" t="str">
        <f>IF(ISBLANK(JP!AH117),"","x")</f>
        <v/>
      </c>
      <c r="AH113" t="str">
        <f>IF(ISBLANK(JP!AJ117),"","x")</f>
        <v/>
      </c>
      <c r="AI113" t="str">
        <f>IF(ISBLANK(JP!AK117),"","x")</f>
        <v/>
      </c>
      <c r="AJ113" t="str">
        <f>IF(ISBLANK(JP!AL117),"","x")</f>
        <v>x</v>
      </c>
      <c r="AK113" t="str">
        <f>IF(ISBLANK(JP!AM117),"","x")</f>
        <v/>
      </c>
      <c r="AL113" t="str">
        <f>IF(ISBLANK(JP!AN117),"","x")</f>
        <v/>
      </c>
      <c r="AM113" t="str">
        <f>IF(ISBLANK(JP!AO117),"","x")</f>
        <v/>
      </c>
      <c r="AN113" t="str">
        <f>IF(ISBLANK(JP!AP117),"","x")</f>
        <v/>
      </c>
      <c r="AO113" t="str">
        <f>IF(ISBLANK(JP!AR117),"","x")</f>
        <v/>
      </c>
      <c r="AP113" t="str">
        <f>IF(ISBLANK(JP!AS117),"","x")</f>
        <v/>
      </c>
      <c r="AQ113" t="str">
        <f>IF(ISBLANK(JP!AT117),"","x")</f>
        <v/>
      </c>
      <c r="AR113" t="str">
        <f>IF(ISBLANK(JP!AU117),"","x")</f>
        <v/>
      </c>
      <c r="AS113" t="str">
        <f>IF(ISBLANK(JP!AV117),"","x")</f>
        <v/>
      </c>
      <c r="AT113" t="str">
        <f>IF(ISBLANK(JP!AW117),"","x")</f>
        <v/>
      </c>
      <c r="AU113" t="str">
        <f>IF(ISBLANK(JP!AX117),"","x")</f>
        <v/>
      </c>
    </row>
    <row r="114" spans="2:47">
      <c r="B114">
        <f>IF(ISBLANK(JP!AZ118),"",JP!AZ118)</f>
        <v>10013325</v>
      </c>
      <c r="C114" t="str">
        <f>IF(ISBLANK(JP!BA118),"",JP!BA118)</f>
        <v>HENG LAI HENG TRADING ENTERPRISE</v>
      </c>
      <c r="D114" t="str">
        <f>IF(ISBLANK(JP!BC118),"",JP!BC118)</f>
        <v>20 WOODLANDS LINK</v>
      </c>
      <c r="E114">
        <f>IF(ISBLANK(JP!BB118),"",JP!BB118)</f>
        <v>1</v>
      </c>
      <c r="F114" t="str">
        <f>IF(ISBLANK(JP!D118),"","x")</f>
        <v/>
      </c>
      <c r="G114" t="str">
        <f>IF(ISBLANK(JP!E118),"","x")</f>
        <v/>
      </c>
      <c r="H114" t="str">
        <f>IF(ISBLANK(JP!F118),"","x")</f>
        <v/>
      </c>
      <c r="I114" t="str">
        <f>IF(ISBLANK(JP!G118),"","x")</f>
        <v/>
      </c>
      <c r="J114" t="str">
        <f>IF(ISBLANK(JP!H118),"","x")</f>
        <v/>
      </c>
      <c r="K114" t="str">
        <f>IF(ISBLANK(JP!I118),"","x")</f>
        <v/>
      </c>
      <c r="L114" t="str">
        <f>IF(ISBLANK(JP!J118),"","x")</f>
        <v/>
      </c>
      <c r="M114" t="str">
        <f>IF(ISBLANK(JP!L118),"","x")</f>
        <v/>
      </c>
      <c r="N114" t="str">
        <f>IF(ISBLANK(JP!M118),"","x")</f>
        <v/>
      </c>
      <c r="O114" t="str">
        <f>IF(ISBLANK(JP!N118),"","x")</f>
        <v/>
      </c>
      <c r="P114" t="str">
        <f>IF(ISBLANK(JP!O118),"","x")</f>
        <v/>
      </c>
      <c r="Q114" t="str">
        <f>IF(ISBLANK(JP!P118),"","x")</f>
        <v/>
      </c>
      <c r="R114" t="str">
        <f>IF(ISBLANK(JP!Q118),"","x")</f>
        <v/>
      </c>
      <c r="S114" t="str">
        <f>IF(ISBLANK(JP!R118),"","x")</f>
        <v/>
      </c>
      <c r="T114" t="str">
        <f>IF(ISBLANK(JP!T118),"","x")</f>
        <v/>
      </c>
      <c r="U114" t="str">
        <f>IF(ISBLANK(JP!U118),"","x")</f>
        <v/>
      </c>
      <c r="V114" t="str">
        <f>IF(ISBLANK(JP!V118),"","x")</f>
        <v/>
      </c>
      <c r="W114" t="str">
        <f>IF(ISBLANK(JP!W118),"","x")</f>
        <v/>
      </c>
      <c r="X114" t="str">
        <f>IF(ISBLANK(JP!X118),"","x")</f>
        <v/>
      </c>
      <c r="Y114" t="str">
        <f>IF(ISBLANK(JP!Y118),"","x")</f>
        <v/>
      </c>
      <c r="Z114" t="str">
        <f>IF(ISBLANK(JP!Z118),"","x")</f>
        <v/>
      </c>
      <c r="AA114" t="str">
        <f>IF(ISBLANK(JP!AB118),"","x")</f>
        <v/>
      </c>
      <c r="AB114" t="str">
        <f>IF(ISBLANK(JP!AC118),"","x")</f>
        <v/>
      </c>
      <c r="AC114" t="str">
        <f>IF(ISBLANK(JP!AD118),"","x")</f>
        <v/>
      </c>
      <c r="AD114" t="str">
        <f>IF(ISBLANK(JP!AE118),"","x")</f>
        <v/>
      </c>
      <c r="AE114" t="str">
        <f>IF(ISBLANK(JP!AF118),"","x")</f>
        <v/>
      </c>
      <c r="AF114" t="str">
        <f>IF(ISBLANK(JP!AG118),"","x")</f>
        <v/>
      </c>
      <c r="AG114" t="str">
        <f>IF(ISBLANK(JP!AH118),"","x")</f>
        <v/>
      </c>
      <c r="AH114" t="str">
        <f>IF(ISBLANK(JP!AJ118),"","x")</f>
        <v/>
      </c>
      <c r="AI114" t="str">
        <f>IF(ISBLANK(JP!AK118),"","x")</f>
        <v/>
      </c>
      <c r="AJ114" t="str">
        <f>IF(ISBLANK(JP!AL118),"","x")</f>
        <v/>
      </c>
      <c r="AK114" t="str">
        <f>IF(ISBLANK(JP!AM118),"","x")</f>
        <v/>
      </c>
      <c r="AL114" t="str">
        <f>IF(ISBLANK(JP!AN118),"","x")</f>
        <v/>
      </c>
      <c r="AM114" t="str">
        <f>IF(ISBLANK(JP!AO118),"","x")</f>
        <v/>
      </c>
      <c r="AN114" t="str">
        <f>IF(ISBLANK(JP!AP118),"","x")</f>
        <v/>
      </c>
      <c r="AO114" t="str">
        <f>IF(ISBLANK(JP!AR118),"","x")</f>
        <v/>
      </c>
      <c r="AP114" t="str">
        <f>IF(ISBLANK(JP!AS118),"","x")</f>
        <v/>
      </c>
      <c r="AQ114" t="str">
        <f>IF(ISBLANK(JP!AT118),"","x")</f>
        <v/>
      </c>
      <c r="AR114" t="str">
        <f>IF(ISBLANK(JP!AU118),"","x")</f>
        <v/>
      </c>
      <c r="AS114" t="str">
        <f>IF(ISBLANK(JP!AV118),"","x")</f>
        <v/>
      </c>
      <c r="AT114" t="str">
        <f>IF(ISBLANK(JP!AW118),"","x")</f>
        <v/>
      </c>
      <c r="AU114" t="str">
        <f>IF(ISBLANK(JP!AX118),"","x")</f>
        <v/>
      </c>
    </row>
    <row r="115" spans="2:47">
      <c r="B115">
        <f>IF(ISBLANK(JP!AZ119),"",JP!AZ119)</f>
        <v>10043842</v>
      </c>
      <c r="C115" t="str">
        <f>IF(ISBLANK(JP!BA119),"",JP!BA119)</f>
        <v>LEE CHIN AIK</v>
      </c>
      <c r="D115" t="str">
        <f>IF(ISBLANK(JP!BC119),"",JP!BC119)</f>
        <v>20 WOODLANDS LINK</v>
      </c>
      <c r="E115">
        <f>IF(ISBLANK(JP!BB119),"",JP!BB119)</f>
        <v>1</v>
      </c>
      <c r="F115" t="str">
        <f>IF(ISBLANK(JP!D119),"","x")</f>
        <v/>
      </c>
      <c r="G115" t="str">
        <f>IF(ISBLANK(JP!E119),"","x")</f>
        <v/>
      </c>
      <c r="H115" t="str">
        <f>IF(ISBLANK(JP!F119),"","x")</f>
        <v/>
      </c>
      <c r="I115" t="str">
        <f>IF(ISBLANK(JP!G119),"","x")</f>
        <v/>
      </c>
      <c r="J115" t="str">
        <f>IF(ISBLANK(JP!H119),"","x")</f>
        <v/>
      </c>
      <c r="K115" t="str">
        <f>IF(ISBLANK(JP!I119),"","x")</f>
        <v/>
      </c>
      <c r="L115" t="str">
        <f>IF(ISBLANK(JP!J119),"","x")</f>
        <v/>
      </c>
      <c r="M115" t="str">
        <f>IF(ISBLANK(JP!L119),"","x")</f>
        <v/>
      </c>
      <c r="N115" t="str">
        <f>IF(ISBLANK(JP!M119),"","x")</f>
        <v/>
      </c>
      <c r="O115" t="str">
        <f>IF(ISBLANK(JP!N119),"","x")</f>
        <v/>
      </c>
      <c r="P115" t="str">
        <f>IF(ISBLANK(JP!O119),"","x")</f>
        <v/>
      </c>
      <c r="Q115" t="str">
        <f>IF(ISBLANK(JP!P119),"","x")</f>
        <v/>
      </c>
      <c r="R115" t="str">
        <f>IF(ISBLANK(JP!Q119),"","x")</f>
        <v/>
      </c>
      <c r="S115" t="str">
        <f>IF(ISBLANK(JP!R119),"","x")</f>
        <v/>
      </c>
      <c r="T115" t="str">
        <f>IF(ISBLANK(JP!T119),"","x")</f>
        <v/>
      </c>
      <c r="U115" t="str">
        <f>IF(ISBLANK(JP!U119),"","x")</f>
        <v/>
      </c>
      <c r="V115" t="str">
        <f>IF(ISBLANK(JP!V119),"","x")</f>
        <v/>
      </c>
      <c r="W115" t="str">
        <f>IF(ISBLANK(JP!W119),"","x")</f>
        <v/>
      </c>
      <c r="X115" t="str">
        <f>IF(ISBLANK(JP!X119),"","x")</f>
        <v/>
      </c>
      <c r="Y115" t="str">
        <f>IF(ISBLANK(JP!Y119),"","x")</f>
        <v/>
      </c>
      <c r="Z115" t="str">
        <f>IF(ISBLANK(JP!Z119),"","x")</f>
        <v/>
      </c>
      <c r="AA115" t="str">
        <f>IF(ISBLANK(JP!AB119),"","x")</f>
        <v/>
      </c>
      <c r="AB115" t="str">
        <f>IF(ISBLANK(JP!AC119),"","x")</f>
        <v/>
      </c>
      <c r="AC115" t="str">
        <f>IF(ISBLANK(JP!AD119),"","x")</f>
        <v/>
      </c>
      <c r="AD115" t="str">
        <f>IF(ISBLANK(JP!AE119),"","x")</f>
        <v/>
      </c>
      <c r="AE115" t="str">
        <f>IF(ISBLANK(JP!AF119),"","x")</f>
        <v/>
      </c>
      <c r="AF115" t="str">
        <f>IF(ISBLANK(JP!AG119),"","x")</f>
        <v/>
      </c>
      <c r="AG115" t="str">
        <f>IF(ISBLANK(JP!AH119),"","x")</f>
        <v/>
      </c>
      <c r="AH115" t="str">
        <f>IF(ISBLANK(JP!AJ119),"","x")</f>
        <v/>
      </c>
      <c r="AI115" t="str">
        <f>IF(ISBLANK(JP!AK119),"","x")</f>
        <v/>
      </c>
      <c r="AJ115" t="str">
        <f>IF(ISBLANK(JP!AL119),"","x")</f>
        <v>x</v>
      </c>
      <c r="AK115" t="str">
        <f>IF(ISBLANK(JP!AM119),"","x")</f>
        <v/>
      </c>
      <c r="AL115" t="str">
        <f>IF(ISBLANK(JP!AN119),"","x")</f>
        <v/>
      </c>
      <c r="AM115" t="str">
        <f>IF(ISBLANK(JP!AO119),"","x")</f>
        <v/>
      </c>
      <c r="AN115" t="str">
        <f>IF(ISBLANK(JP!AP119),"","x")</f>
        <v/>
      </c>
      <c r="AO115" t="str">
        <f>IF(ISBLANK(JP!AR119),"","x")</f>
        <v/>
      </c>
      <c r="AP115" t="str">
        <f>IF(ISBLANK(JP!AS119),"","x")</f>
        <v/>
      </c>
      <c r="AQ115" t="str">
        <f>IF(ISBLANK(JP!AT119),"","x")</f>
        <v/>
      </c>
      <c r="AR115" t="str">
        <f>IF(ISBLANK(JP!AU119),"","x")</f>
        <v/>
      </c>
      <c r="AS115" t="str">
        <f>IF(ISBLANK(JP!AV119),"","x")</f>
        <v/>
      </c>
      <c r="AT115" t="str">
        <f>IF(ISBLANK(JP!AW119),"","x")</f>
        <v/>
      </c>
      <c r="AU115" t="str">
        <f>IF(ISBLANK(JP!AX119),"","x")</f>
        <v/>
      </c>
    </row>
    <row r="116" spans="2:47">
      <c r="B116">
        <f>IF(ISBLANK(JP!AZ120),"",JP!AZ120)</f>
        <v>10044755</v>
      </c>
      <c r="C116" t="str">
        <f>IF(ISBLANK(JP!BA120),"",JP!BA120)</f>
        <v>SRI SAI TRADING PTE. LTD.</v>
      </c>
      <c r="D116" t="str">
        <f>IF(ISBLANK(JP!BC120),"",JP!BC120)</f>
        <v>235 KRANJI ROAD</v>
      </c>
      <c r="E116">
        <f>IF(ISBLANK(JP!BB120),"",JP!BB120)</f>
        <v>1</v>
      </c>
      <c r="F116" t="str">
        <f>IF(ISBLANK(JP!D120),"","x")</f>
        <v/>
      </c>
      <c r="G116" t="str">
        <f>IF(ISBLANK(JP!E120),"","x")</f>
        <v/>
      </c>
      <c r="H116" t="str">
        <f>IF(ISBLANK(JP!F120),"","x")</f>
        <v/>
      </c>
      <c r="I116" t="str">
        <f>IF(ISBLANK(JP!G120),"","x")</f>
        <v/>
      </c>
      <c r="J116" t="str">
        <f>IF(ISBLANK(JP!H120),"","x")</f>
        <v/>
      </c>
      <c r="K116" t="str">
        <f>IF(ISBLANK(JP!I120),"","x")</f>
        <v/>
      </c>
      <c r="L116" t="str">
        <f>IF(ISBLANK(JP!J120),"","x")</f>
        <v/>
      </c>
      <c r="M116" t="str">
        <f>IF(ISBLANK(JP!L120),"","x")</f>
        <v/>
      </c>
      <c r="N116" t="str">
        <f>IF(ISBLANK(JP!M120),"","x")</f>
        <v/>
      </c>
      <c r="O116" t="str">
        <f>IF(ISBLANK(JP!N120),"","x")</f>
        <v/>
      </c>
      <c r="P116" t="str">
        <f>IF(ISBLANK(JP!O120),"","x")</f>
        <v/>
      </c>
      <c r="Q116" t="str">
        <f>IF(ISBLANK(JP!P120),"","x")</f>
        <v/>
      </c>
      <c r="R116" t="str">
        <f>IF(ISBLANK(JP!Q120),"","x")</f>
        <v/>
      </c>
      <c r="S116" t="str">
        <f>IF(ISBLANK(JP!R120),"","x")</f>
        <v/>
      </c>
      <c r="T116" t="str">
        <f>IF(ISBLANK(JP!T120),"","x")</f>
        <v/>
      </c>
      <c r="U116" t="str">
        <f>IF(ISBLANK(JP!U120),"","x")</f>
        <v/>
      </c>
      <c r="V116" t="str">
        <f>IF(ISBLANK(JP!V120),"","x")</f>
        <v/>
      </c>
      <c r="W116" t="str">
        <f>IF(ISBLANK(JP!W120),"","x")</f>
        <v/>
      </c>
      <c r="X116" t="str">
        <f>IF(ISBLANK(JP!X120),"","x")</f>
        <v/>
      </c>
      <c r="Y116" t="str">
        <f>IF(ISBLANK(JP!Y120),"","x")</f>
        <v/>
      </c>
      <c r="Z116" t="str">
        <f>IF(ISBLANK(JP!Z120),"","x")</f>
        <v/>
      </c>
      <c r="AA116" t="str">
        <f>IF(ISBLANK(JP!AB120),"","x")</f>
        <v/>
      </c>
      <c r="AB116" t="str">
        <f>IF(ISBLANK(JP!AC120),"","x")</f>
        <v/>
      </c>
      <c r="AC116" t="str">
        <f>IF(ISBLANK(JP!AD120),"","x")</f>
        <v/>
      </c>
      <c r="AD116" t="str">
        <f>IF(ISBLANK(JP!AE120),"","x")</f>
        <v/>
      </c>
      <c r="AE116" t="str">
        <f>IF(ISBLANK(JP!AF120),"","x")</f>
        <v/>
      </c>
      <c r="AF116" t="str">
        <f>IF(ISBLANK(JP!AG120),"","x")</f>
        <v/>
      </c>
      <c r="AG116" t="str">
        <f>IF(ISBLANK(JP!AH120),"","x")</f>
        <v/>
      </c>
      <c r="AH116" t="str">
        <f>IF(ISBLANK(JP!AJ120),"","x")</f>
        <v/>
      </c>
      <c r="AI116" t="str">
        <f>IF(ISBLANK(JP!AK120),"","x")</f>
        <v/>
      </c>
      <c r="AJ116" t="str">
        <f>IF(ISBLANK(JP!AL120),"","x")</f>
        <v>x</v>
      </c>
      <c r="AK116" t="str">
        <f>IF(ISBLANK(JP!AM120),"","x")</f>
        <v/>
      </c>
      <c r="AL116" t="str">
        <f>IF(ISBLANK(JP!AN120),"","x")</f>
        <v/>
      </c>
      <c r="AM116" t="str">
        <f>IF(ISBLANK(JP!AO120),"","x")</f>
        <v/>
      </c>
      <c r="AN116" t="str">
        <f>IF(ISBLANK(JP!AP120),"","x")</f>
        <v/>
      </c>
      <c r="AO116" t="str">
        <f>IF(ISBLANK(JP!AR120),"","x")</f>
        <v/>
      </c>
      <c r="AP116" t="str">
        <f>IF(ISBLANK(JP!AS120),"","x")</f>
        <v/>
      </c>
      <c r="AQ116" t="str">
        <f>IF(ISBLANK(JP!AT120),"","x")</f>
        <v/>
      </c>
      <c r="AR116" t="str">
        <f>IF(ISBLANK(JP!AU120),"","x")</f>
        <v/>
      </c>
      <c r="AS116" t="str">
        <f>IF(ISBLANK(JP!AV120),"","x")</f>
        <v/>
      </c>
      <c r="AT116" t="str">
        <f>IF(ISBLANK(JP!AW120),"","x")</f>
        <v/>
      </c>
      <c r="AU116" t="str">
        <f>IF(ISBLANK(JP!AX120),"","x")</f>
        <v/>
      </c>
    </row>
    <row r="117" spans="2:47">
      <c r="B117">
        <f>IF(ISBLANK(JP!AZ121),"",JP!AZ121)</f>
        <v>10041463</v>
      </c>
      <c r="C117" t="str">
        <f>IF(ISBLANK(JP!BA121),"",JP!BA121)</f>
        <v>G &amp; G WHOLESALE &amp; MARKETING</v>
      </c>
      <c r="D117" t="str">
        <f>IF(ISBLANK(JP!BC121),"",JP!BC121)</f>
        <v>257 KRANJI ROAD</v>
      </c>
      <c r="E117">
        <f>IF(ISBLANK(JP!BB121),"",JP!BB121)</f>
        <v>1</v>
      </c>
      <c r="F117" t="str">
        <f>IF(ISBLANK(JP!D121),"","x")</f>
        <v/>
      </c>
      <c r="G117" t="str">
        <f>IF(ISBLANK(JP!E121),"","x")</f>
        <v/>
      </c>
      <c r="H117" t="str">
        <f>IF(ISBLANK(JP!F121),"","x")</f>
        <v/>
      </c>
      <c r="I117" t="str">
        <f>IF(ISBLANK(JP!G121),"","x")</f>
        <v/>
      </c>
      <c r="J117" t="str">
        <f>IF(ISBLANK(JP!H121),"","x")</f>
        <v/>
      </c>
      <c r="K117" t="str">
        <f>IF(ISBLANK(JP!I121),"","x")</f>
        <v/>
      </c>
      <c r="L117" t="str">
        <f>IF(ISBLANK(JP!J121),"","x")</f>
        <v/>
      </c>
      <c r="M117" t="str">
        <f>IF(ISBLANK(JP!L121),"","x")</f>
        <v/>
      </c>
      <c r="N117" t="str">
        <f>IF(ISBLANK(JP!M121),"","x")</f>
        <v/>
      </c>
      <c r="O117" t="str">
        <f>IF(ISBLANK(JP!N121),"","x")</f>
        <v/>
      </c>
      <c r="P117" t="str">
        <f>IF(ISBLANK(JP!O121),"","x")</f>
        <v/>
      </c>
      <c r="Q117" t="str">
        <f>IF(ISBLANK(JP!P121),"","x")</f>
        <v/>
      </c>
      <c r="R117" t="str">
        <f>IF(ISBLANK(JP!Q121),"","x")</f>
        <v/>
      </c>
      <c r="S117" t="str">
        <f>IF(ISBLANK(JP!R121),"","x")</f>
        <v/>
      </c>
      <c r="T117" t="str">
        <f>IF(ISBLANK(JP!T121),"","x")</f>
        <v/>
      </c>
      <c r="U117" t="str">
        <f>IF(ISBLANK(JP!U121),"","x")</f>
        <v/>
      </c>
      <c r="V117" t="str">
        <f>IF(ISBLANK(JP!V121),"","x")</f>
        <v/>
      </c>
      <c r="W117" t="str">
        <f>IF(ISBLANK(JP!W121),"","x")</f>
        <v/>
      </c>
      <c r="X117" t="str">
        <f>IF(ISBLANK(JP!X121),"","x")</f>
        <v>x</v>
      </c>
      <c r="Y117" t="str">
        <f>IF(ISBLANK(JP!Y121),"","x")</f>
        <v/>
      </c>
      <c r="Z117" t="str">
        <f>IF(ISBLANK(JP!Z121),"","x")</f>
        <v/>
      </c>
      <c r="AA117" t="str">
        <f>IF(ISBLANK(JP!AB121),"","x")</f>
        <v/>
      </c>
      <c r="AB117" t="str">
        <f>IF(ISBLANK(JP!AC121),"","x")</f>
        <v/>
      </c>
      <c r="AC117" t="str">
        <f>IF(ISBLANK(JP!AD121),"","x")</f>
        <v/>
      </c>
      <c r="AD117" t="str">
        <f>IF(ISBLANK(JP!AE121),"","x")</f>
        <v/>
      </c>
      <c r="AE117" t="str">
        <f>IF(ISBLANK(JP!AF121),"","x")</f>
        <v/>
      </c>
      <c r="AF117" t="str">
        <f>IF(ISBLANK(JP!AG121),"","x")</f>
        <v/>
      </c>
      <c r="AG117" t="str">
        <f>IF(ISBLANK(JP!AH121),"","x")</f>
        <v/>
      </c>
      <c r="AH117" t="str">
        <f>IF(ISBLANK(JP!AJ121),"","x")</f>
        <v/>
      </c>
      <c r="AI117" t="str">
        <f>IF(ISBLANK(JP!AK121),"","x")</f>
        <v/>
      </c>
      <c r="AJ117" t="str">
        <f>IF(ISBLANK(JP!AL121),"","x")</f>
        <v/>
      </c>
      <c r="AK117" t="str">
        <f>IF(ISBLANK(JP!AM121),"","x")</f>
        <v/>
      </c>
      <c r="AL117" t="str">
        <f>IF(ISBLANK(JP!AN121),"","x")</f>
        <v/>
      </c>
      <c r="AM117" t="str">
        <f>IF(ISBLANK(JP!AO121),"","x")</f>
        <v/>
      </c>
      <c r="AN117" t="str">
        <f>IF(ISBLANK(JP!AP121),"","x")</f>
        <v/>
      </c>
      <c r="AO117" t="str">
        <f>IF(ISBLANK(JP!AR121),"","x")</f>
        <v/>
      </c>
      <c r="AP117" t="str">
        <f>IF(ISBLANK(JP!AS121),"","x")</f>
        <v/>
      </c>
      <c r="AQ117" t="str">
        <f>IF(ISBLANK(JP!AT121),"","x")</f>
        <v/>
      </c>
      <c r="AR117" t="str">
        <f>IF(ISBLANK(JP!AU121),"","x")</f>
        <v/>
      </c>
      <c r="AS117" t="str">
        <f>IF(ISBLANK(JP!AV121),"","x")</f>
        <v/>
      </c>
      <c r="AT117" t="str">
        <f>IF(ISBLANK(JP!AW121),"","x")</f>
        <v/>
      </c>
      <c r="AU117" t="str">
        <f>IF(ISBLANK(JP!AX121),"","x")</f>
        <v/>
      </c>
    </row>
    <row r="118" spans="2:47">
      <c r="B118">
        <f>IF(ISBLANK(JP!AZ122),"",JP!AZ122)</f>
        <v>10005357</v>
      </c>
      <c r="C118" t="str">
        <f>IF(ISBLANK(JP!BA122),"",JP!BA122)</f>
        <v>KENG HUAT DEPARTMENTAL STORE</v>
      </c>
      <c r="D118" t="str">
        <f>IF(ISBLANK(JP!BC122),"",JP!BC122)</f>
        <v>271 KRANJI ROAD</v>
      </c>
      <c r="E118">
        <f>IF(ISBLANK(JP!BB122),"",JP!BB122)</f>
        <v>1</v>
      </c>
      <c r="F118" t="str">
        <f>IF(ISBLANK(JP!D122),"","x")</f>
        <v/>
      </c>
      <c r="G118" t="str">
        <f>IF(ISBLANK(JP!E122),"","x")</f>
        <v/>
      </c>
      <c r="H118" t="str">
        <f>IF(ISBLANK(JP!F122),"","x")</f>
        <v/>
      </c>
      <c r="I118" t="str">
        <f>IF(ISBLANK(JP!G122),"","x")</f>
        <v/>
      </c>
      <c r="J118" t="str">
        <f>IF(ISBLANK(JP!H122),"","x")</f>
        <v/>
      </c>
      <c r="K118" t="str">
        <f>IF(ISBLANK(JP!I122),"","x")</f>
        <v/>
      </c>
      <c r="L118" t="str">
        <f>IF(ISBLANK(JP!J122),"","x")</f>
        <v/>
      </c>
      <c r="M118" t="str">
        <f>IF(ISBLANK(JP!L122),"","x")</f>
        <v/>
      </c>
      <c r="N118" t="str">
        <f>IF(ISBLANK(JP!M122),"","x")</f>
        <v/>
      </c>
      <c r="O118" t="str">
        <f>IF(ISBLANK(JP!N122),"","x")</f>
        <v/>
      </c>
      <c r="P118" t="str">
        <f>IF(ISBLANK(JP!O122),"","x")</f>
        <v/>
      </c>
      <c r="Q118" t="str">
        <f>IF(ISBLANK(JP!P122),"","x")</f>
        <v/>
      </c>
      <c r="R118" t="str">
        <f>IF(ISBLANK(JP!Q122),"","x")</f>
        <v/>
      </c>
      <c r="S118" t="str">
        <f>IF(ISBLANK(JP!R122),"","x")</f>
        <v/>
      </c>
      <c r="T118" t="str">
        <f>IF(ISBLANK(JP!T122),"","x")</f>
        <v/>
      </c>
      <c r="U118" t="str">
        <f>IF(ISBLANK(JP!U122),"","x")</f>
        <v/>
      </c>
      <c r="V118" t="str">
        <f>IF(ISBLANK(JP!V122),"","x")</f>
        <v/>
      </c>
      <c r="W118" t="str">
        <f>IF(ISBLANK(JP!W122),"","x")</f>
        <v/>
      </c>
      <c r="X118" t="str">
        <f>IF(ISBLANK(JP!X122),"","x")</f>
        <v>x</v>
      </c>
      <c r="Y118" t="str">
        <f>IF(ISBLANK(JP!Y122),"","x")</f>
        <v/>
      </c>
      <c r="Z118" t="str">
        <f>IF(ISBLANK(JP!Z122),"","x")</f>
        <v/>
      </c>
      <c r="AA118" t="str">
        <f>IF(ISBLANK(JP!AB122),"","x")</f>
        <v/>
      </c>
      <c r="AB118" t="str">
        <f>IF(ISBLANK(JP!AC122),"","x")</f>
        <v/>
      </c>
      <c r="AC118" t="str">
        <f>IF(ISBLANK(JP!AD122),"","x")</f>
        <v/>
      </c>
      <c r="AD118" t="str">
        <f>IF(ISBLANK(JP!AE122),"","x")</f>
        <v/>
      </c>
      <c r="AE118" t="str">
        <f>IF(ISBLANK(JP!AF122),"","x")</f>
        <v/>
      </c>
      <c r="AF118" t="str">
        <f>IF(ISBLANK(JP!AG122),"","x")</f>
        <v/>
      </c>
      <c r="AG118" t="str">
        <f>IF(ISBLANK(JP!AH122),"","x")</f>
        <v/>
      </c>
      <c r="AH118" t="str">
        <f>IF(ISBLANK(JP!AJ122),"","x")</f>
        <v/>
      </c>
      <c r="AI118" t="str">
        <f>IF(ISBLANK(JP!AK122),"","x")</f>
        <v/>
      </c>
      <c r="AJ118" t="str">
        <f>IF(ISBLANK(JP!AL122),"","x")</f>
        <v/>
      </c>
      <c r="AK118" t="str">
        <f>IF(ISBLANK(JP!AM122),"","x")</f>
        <v/>
      </c>
      <c r="AL118" t="str">
        <f>IF(ISBLANK(JP!AN122),"","x")</f>
        <v/>
      </c>
      <c r="AM118" t="str">
        <f>IF(ISBLANK(JP!AO122),"","x")</f>
        <v/>
      </c>
      <c r="AN118" t="str">
        <f>IF(ISBLANK(JP!AP122),"","x")</f>
        <v/>
      </c>
      <c r="AO118" t="str">
        <f>IF(ISBLANK(JP!AR122),"","x")</f>
        <v/>
      </c>
      <c r="AP118" t="str">
        <f>IF(ISBLANK(JP!AS122),"","x")</f>
        <v/>
      </c>
      <c r="AQ118" t="str">
        <f>IF(ISBLANK(JP!AT122),"","x")</f>
        <v/>
      </c>
      <c r="AR118" t="str">
        <f>IF(ISBLANK(JP!AU122),"","x")</f>
        <v/>
      </c>
      <c r="AS118" t="str">
        <f>IF(ISBLANK(JP!AV122),"","x")</f>
        <v/>
      </c>
      <c r="AT118" t="str">
        <f>IF(ISBLANK(JP!AW122),"","x")</f>
        <v/>
      </c>
      <c r="AU118" t="str">
        <f>IF(ISBLANK(JP!AX122),"","x")</f>
        <v/>
      </c>
    </row>
    <row r="119" spans="2:47">
      <c r="B119">
        <f>IF(ISBLANK(JP!AZ123),"",JP!AZ123)</f>
        <v>10044773</v>
      </c>
      <c r="C119" t="str">
        <f>IF(ISBLANK(JP!BA123),"",JP!BA123)</f>
        <v>FARM GREENS TRADING PTE. LTD.</v>
      </c>
      <c r="D119" t="str">
        <f>IF(ISBLANK(JP!BC123),"",JP!BC123)</f>
        <v>285 KRANJI ROAD</v>
      </c>
      <c r="E119">
        <f>IF(ISBLANK(JP!BB123),"",JP!BB123)</f>
        <v>1</v>
      </c>
      <c r="F119" t="str">
        <f>IF(ISBLANK(JP!D123),"","x")</f>
        <v/>
      </c>
      <c r="G119" t="str">
        <f>IF(ISBLANK(JP!E123),"","x")</f>
        <v/>
      </c>
      <c r="H119" t="str">
        <f>IF(ISBLANK(JP!F123),"","x")</f>
        <v/>
      </c>
      <c r="I119" t="str">
        <f>IF(ISBLANK(JP!G123),"","x")</f>
        <v/>
      </c>
      <c r="J119" t="str">
        <f>IF(ISBLANK(JP!H123),"","x")</f>
        <v/>
      </c>
      <c r="K119" t="str">
        <f>IF(ISBLANK(JP!I123),"","x")</f>
        <v/>
      </c>
      <c r="L119" t="str">
        <f>IF(ISBLANK(JP!J123),"","x")</f>
        <v/>
      </c>
      <c r="M119" t="str">
        <f>IF(ISBLANK(JP!L123),"","x")</f>
        <v/>
      </c>
      <c r="N119" t="str">
        <f>IF(ISBLANK(JP!M123),"","x")</f>
        <v/>
      </c>
      <c r="O119" t="str">
        <f>IF(ISBLANK(JP!N123),"","x")</f>
        <v/>
      </c>
      <c r="P119" t="str">
        <f>IF(ISBLANK(JP!O123),"","x")</f>
        <v/>
      </c>
      <c r="Q119" t="str">
        <f>IF(ISBLANK(JP!P123),"","x")</f>
        <v/>
      </c>
      <c r="R119" t="str">
        <f>IF(ISBLANK(JP!Q123),"","x")</f>
        <v/>
      </c>
      <c r="S119" t="str">
        <f>IF(ISBLANK(JP!R123),"","x")</f>
        <v/>
      </c>
      <c r="T119" t="str">
        <f>IF(ISBLANK(JP!T123),"","x")</f>
        <v/>
      </c>
      <c r="U119" t="str">
        <f>IF(ISBLANK(JP!U123),"","x")</f>
        <v/>
      </c>
      <c r="V119" t="str">
        <f>IF(ISBLANK(JP!V123),"","x")</f>
        <v/>
      </c>
      <c r="W119" t="str">
        <f>IF(ISBLANK(JP!W123),"","x")</f>
        <v/>
      </c>
      <c r="X119" t="str">
        <f>IF(ISBLANK(JP!X123),"","x")</f>
        <v>x</v>
      </c>
      <c r="Y119" t="str">
        <f>IF(ISBLANK(JP!Y123),"","x")</f>
        <v/>
      </c>
      <c r="Z119" t="str">
        <f>IF(ISBLANK(JP!Z123),"","x")</f>
        <v/>
      </c>
      <c r="AA119" t="str">
        <f>IF(ISBLANK(JP!AB123),"","x")</f>
        <v/>
      </c>
      <c r="AB119" t="str">
        <f>IF(ISBLANK(JP!AC123),"","x")</f>
        <v/>
      </c>
      <c r="AC119" t="str">
        <f>IF(ISBLANK(JP!AD123),"","x")</f>
        <v/>
      </c>
      <c r="AD119" t="str">
        <f>IF(ISBLANK(JP!AE123),"","x")</f>
        <v/>
      </c>
      <c r="AE119" t="str">
        <f>IF(ISBLANK(JP!AF123),"","x")</f>
        <v/>
      </c>
      <c r="AF119" t="str">
        <f>IF(ISBLANK(JP!AG123),"","x")</f>
        <v/>
      </c>
      <c r="AG119" t="str">
        <f>IF(ISBLANK(JP!AH123),"","x")</f>
        <v/>
      </c>
      <c r="AH119" t="str">
        <f>IF(ISBLANK(JP!AJ123),"","x")</f>
        <v/>
      </c>
      <c r="AI119" t="str">
        <f>IF(ISBLANK(JP!AK123),"","x")</f>
        <v/>
      </c>
      <c r="AJ119" t="str">
        <f>IF(ISBLANK(JP!AL123),"","x")</f>
        <v/>
      </c>
      <c r="AK119" t="str">
        <f>IF(ISBLANK(JP!AM123),"","x")</f>
        <v/>
      </c>
      <c r="AL119" t="str">
        <f>IF(ISBLANK(JP!AN123),"","x")</f>
        <v/>
      </c>
      <c r="AM119" t="str">
        <f>IF(ISBLANK(JP!AO123),"","x")</f>
        <v/>
      </c>
      <c r="AN119" t="str">
        <f>IF(ISBLANK(JP!AP123),"","x")</f>
        <v/>
      </c>
      <c r="AO119" t="str">
        <f>IF(ISBLANK(JP!AR123),"","x")</f>
        <v/>
      </c>
      <c r="AP119" t="str">
        <f>IF(ISBLANK(JP!AS123),"","x")</f>
        <v/>
      </c>
      <c r="AQ119" t="str">
        <f>IF(ISBLANK(JP!AT123),"","x")</f>
        <v/>
      </c>
      <c r="AR119" t="str">
        <f>IF(ISBLANK(JP!AU123),"","x")</f>
        <v/>
      </c>
      <c r="AS119" t="str">
        <f>IF(ISBLANK(JP!AV123),"","x")</f>
        <v/>
      </c>
      <c r="AT119" t="str">
        <f>IF(ISBLANK(JP!AW123),"","x")</f>
        <v/>
      </c>
      <c r="AU119" t="str">
        <f>IF(ISBLANK(JP!AX123),"","x")</f>
        <v/>
      </c>
    </row>
    <row r="120" spans="2:47">
      <c r="B120">
        <f>IF(ISBLANK(JP!AZ124),"",JP!AZ124)</f>
        <v>10044279</v>
      </c>
      <c r="C120" t="str">
        <f>IF(ISBLANK(JP!BA124),"",JP!BA124)</f>
        <v>ANG MO SUPERMARKET</v>
      </c>
      <c r="D120" t="str">
        <f>IF(ISBLANK(JP!BC124),"",JP!BC124)</f>
        <v>120 CANBERRA CRESCENT</v>
      </c>
      <c r="E120">
        <f>IF(ISBLANK(JP!BB124),"",JP!BB124)</f>
        <v>1</v>
      </c>
      <c r="F120" t="str">
        <f>IF(ISBLANK(JP!D124),"","x")</f>
        <v/>
      </c>
      <c r="G120" t="str">
        <f>IF(ISBLANK(JP!E124),"","x")</f>
        <v/>
      </c>
      <c r="H120" t="str">
        <f>IF(ISBLANK(JP!F124),"","x")</f>
        <v/>
      </c>
      <c r="I120" t="str">
        <f>IF(ISBLANK(JP!G124),"","x")</f>
        <v/>
      </c>
      <c r="J120" t="str">
        <f>IF(ISBLANK(JP!H124),"","x")</f>
        <v/>
      </c>
      <c r="K120" t="str">
        <f>IF(ISBLANK(JP!I124),"","x")</f>
        <v/>
      </c>
      <c r="L120" t="str">
        <f>IF(ISBLANK(JP!J124),"","x")</f>
        <v/>
      </c>
      <c r="M120" t="str">
        <f>IF(ISBLANK(JP!L124),"","x")</f>
        <v/>
      </c>
      <c r="N120" t="str">
        <f>IF(ISBLANK(JP!M124),"","x")</f>
        <v/>
      </c>
      <c r="O120" t="str">
        <f>IF(ISBLANK(JP!N124),"","x")</f>
        <v/>
      </c>
      <c r="P120" t="str">
        <f>IF(ISBLANK(JP!O124),"","x")</f>
        <v/>
      </c>
      <c r="Q120" t="str">
        <f>IF(ISBLANK(JP!P124),"","x")</f>
        <v/>
      </c>
      <c r="R120" t="str">
        <f>IF(ISBLANK(JP!Q124),"","x")</f>
        <v/>
      </c>
      <c r="S120" t="str">
        <f>IF(ISBLANK(JP!R124),"","x")</f>
        <v/>
      </c>
      <c r="T120" t="str">
        <f>IF(ISBLANK(JP!T124),"","x")</f>
        <v/>
      </c>
      <c r="U120" t="str">
        <f>IF(ISBLANK(JP!U124),"","x")</f>
        <v/>
      </c>
      <c r="V120" t="str">
        <f>IF(ISBLANK(JP!V124),"","x")</f>
        <v/>
      </c>
      <c r="W120" t="str">
        <f>IF(ISBLANK(JP!W124),"","x")</f>
        <v/>
      </c>
      <c r="X120" t="str">
        <f>IF(ISBLANK(JP!X124),"","x")</f>
        <v>x</v>
      </c>
      <c r="Y120" t="str">
        <f>IF(ISBLANK(JP!Y124),"","x")</f>
        <v/>
      </c>
      <c r="Z120" t="str">
        <f>IF(ISBLANK(JP!Z124),"","x")</f>
        <v/>
      </c>
      <c r="AA120" t="str">
        <f>IF(ISBLANK(JP!AB124),"","x")</f>
        <v/>
      </c>
      <c r="AB120" t="str">
        <f>IF(ISBLANK(JP!AC124),"","x")</f>
        <v/>
      </c>
      <c r="AC120" t="str">
        <f>IF(ISBLANK(JP!AD124),"","x")</f>
        <v/>
      </c>
      <c r="AD120" t="str">
        <f>IF(ISBLANK(JP!AE124),"","x")</f>
        <v/>
      </c>
      <c r="AE120" t="str">
        <f>IF(ISBLANK(JP!AF124),"","x")</f>
        <v/>
      </c>
      <c r="AF120" t="str">
        <f>IF(ISBLANK(JP!AG124),"","x")</f>
        <v/>
      </c>
      <c r="AG120" t="str">
        <f>IF(ISBLANK(JP!AH124),"","x")</f>
        <v/>
      </c>
      <c r="AH120" t="str">
        <f>IF(ISBLANK(JP!AJ124),"","x")</f>
        <v/>
      </c>
      <c r="AI120" t="str">
        <f>IF(ISBLANK(JP!AK124),"","x")</f>
        <v/>
      </c>
      <c r="AJ120" t="str">
        <f>IF(ISBLANK(JP!AL124),"","x")</f>
        <v/>
      </c>
      <c r="AK120" t="str">
        <f>IF(ISBLANK(JP!AM124),"","x")</f>
        <v/>
      </c>
      <c r="AL120" t="str">
        <f>IF(ISBLANK(JP!AN124),"","x")</f>
        <v/>
      </c>
      <c r="AM120" t="str">
        <f>IF(ISBLANK(JP!AO124),"","x")</f>
        <v/>
      </c>
      <c r="AN120" t="str">
        <f>IF(ISBLANK(JP!AP124),"","x")</f>
        <v/>
      </c>
      <c r="AO120" t="str">
        <f>IF(ISBLANK(JP!AR124),"","x")</f>
        <v/>
      </c>
      <c r="AP120" t="str">
        <f>IF(ISBLANK(JP!AS124),"","x")</f>
        <v/>
      </c>
      <c r="AQ120" t="str">
        <f>IF(ISBLANK(JP!AT124),"","x")</f>
        <v/>
      </c>
      <c r="AR120" t="str">
        <f>IF(ISBLANK(JP!AU124),"","x")</f>
        <v/>
      </c>
      <c r="AS120" t="str">
        <f>IF(ISBLANK(JP!AV124),"","x")</f>
        <v/>
      </c>
      <c r="AT120" t="str">
        <f>IF(ISBLANK(JP!AW124),"","x")</f>
        <v/>
      </c>
      <c r="AU120" t="str">
        <f>IF(ISBLANK(JP!AX124),"","x")</f>
        <v/>
      </c>
    </row>
    <row r="121" spans="2:47">
      <c r="B121">
        <f>IF(ISBLANK(JP!AZ125),"",JP!AZ125)</f>
        <v>10039772</v>
      </c>
      <c r="C121" t="str">
        <f>IF(ISBLANK(JP!BA125),"",JP!BA125)</f>
        <v>FORTUNE SUPERMARKET PTE. LTD.(SEMBAWANG)</v>
      </c>
      <c r="D121" t="str">
        <f>IF(ISBLANK(JP!BC125),"",JP!BC125)</f>
        <v>463 SEMBAWANG DRIVE</v>
      </c>
      <c r="E121">
        <f>IF(ISBLANK(JP!BB125),"",JP!BB125)</f>
        <v>2</v>
      </c>
      <c r="F121" t="str">
        <f>IF(ISBLANK(JP!D125),"","x")</f>
        <v/>
      </c>
      <c r="G121" t="str">
        <f>IF(ISBLANK(JP!E125),"","x")</f>
        <v/>
      </c>
      <c r="H121" t="str">
        <f>IF(ISBLANK(JP!F125),"","x")</f>
        <v/>
      </c>
      <c r="I121" t="str">
        <f>IF(ISBLANK(JP!G125),"","x")</f>
        <v/>
      </c>
      <c r="J121" t="str">
        <f>IF(ISBLANK(JP!H125),"","x")</f>
        <v>x</v>
      </c>
      <c r="K121" t="str">
        <f>IF(ISBLANK(JP!I125),"","x")</f>
        <v/>
      </c>
      <c r="L121" t="str">
        <f>IF(ISBLANK(JP!J125),"","x")</f>
        <v/>
      </c>
      <c r="M121" t="str">
        <f>IF(ISBLANK(JP!L125),"","x")</f>
        <v/>
      </c>
      <c r="N121" t="str">
        <f>IF(ISBLANK(JP!M125),"","x")</f>
        <v/>
      </c>
      <c r="O121" t="str">
        <f>IF(ISBLANK(JP!N125),"","x")</f>
        <v/>
      </c>
      <c r="P121" t="str">
        <f>IF(ISBLANK(JP!O125),"","x")</f>
        <v/>
      </c>
      <c r="Q121" t="str">
        <f>IF(ISBLANK(JP!P125),"","x")</f>
        <v/>
      </c>
      <c r="R121" t="str">
        <f>IF(ISBLANK(JP!Q125),"","x")</f>
        <v/>
      </c>
      <c r="S121" t="str">
        <f>IF(ISBLANK(JP!R125),"","x")</f>
        <v/>
      </c>
      <c r="T121" t="str">
        <f>IF(ISBLANK(JP!T125),"","x")</f>
        <v/>
      </c>
      <c r="U121" t="str">
        <f>IF(ISBLANK(JP!U125),"","x")</f>
        <v/>
      </c>
      <c r="V121" t="str">
        <f>IF(ISBLANK(JP!V125),"","x")</f>
        <v/>
      </c>
      <c r="W121" t="str">
        <f>IF(ISBLANK(JP!W125),"","x")</f>
        <v/>
      </c>
      <c r="X121" t="str">
        <f>IF(ISBLANK(JP!X125),"","x")</f>
        <v>x</v>
      </c>
      <c r="Y121" t="str">
        <f>IF(ISBLANK(JP!Y125),"","x")</f>
        <v/>
      </c>
      <c r="Z121" t="str">
        <f>IF(ISBLANK(JP!Z125),"","x")</f>
        <v/>
      </c>
      <c r="AA121" t="str">
        <f>IF(ISBLANK(JP!AB125),"","x")</f>
        <v/>
      </c>
      <c r="AB121" t="str">
        <f>IF(ISBLANK(JP!AC125),"","x")</f>
        <v/>
      </c>
      <c r="AC121" t="str">
        <f>IF(ISBLANK(JP!AD125),"","x")</f>
        <v/>
      </c>
      <c r="AD121" t="str">
        <f>IF(ISBLANK(JP!AE125),"","x")</f>
        <v/>
      </c>
      <c r="AE121" t="str">
        <f>IF(ISBLANK(JP!AF125),"","x")</f>
        <v/>
      </c>
      <c r="AF121" t="str">
        <f>IF(ISBLANK(JP!AG125),"","x")</f>
        <v/>
      </c>
      <c r="AG121" t="str">
        <f>IF(ISBLANK(JP!AH125),"","x")</f>
        <v/>
      </c>
      <c r="AH121" t="str">
        <f>IF(ISBLANK(JP!AJ125),"","x")</f>
        <v/>
      </c>
      <c r="AI121" t="str">
        <f>IF(ISBLANK(JP!AK125),"","x")</f>
        <v/>
      </c>
      <c r="AJ121" t="str">
        <f>IF(ISBLANK(JP!AL125),"","x")</f>
        <v/>
      </c>
      <c r="AK121" t="str">
        <f>IF(ISBLANK(JP!AM125),"","x")</f>
        <v/>
      </c>
      <c r="AL121" t="str">
        <f>IF(ISBLANK(JP!AN125),"","x")</f>
        <v/>
      </c>
      <c r="AM121" t="str">
        <f>IF(ISBLANK(JP!AO125),"","x")</f>
        <v/>
      </c>
      <c r="AN121" t="str">
        <f>IF(ISBLANK(JP!AP125),"","x")</f>
        <v/>
      </c>
      <c r="AO121" t="str">
        <f>IF(ISBLANK(JP!AR125),"","x")</f>
        <v/>
      </c>
      <c r="AP121" t="str">
        <f>IF(ISBLANK(JP!AS125),"","x")</f>
        <v/>
      </c>
      <c r="AQ121" t="str">
        <f>IF(ISBLANK(JP!AT125),"","x")</f>
        <v/>
      </c>
      <c r="AR121" t="str">
        <f>IF(ISBLANK(JP!AU125),"","x")</f>
        <v/>
      </c>
      <c r="AS121" t="str">
        <f>IF(ISBLANK(JP!AV125),"","x")</f>
        <v/>
      </c>
      <c r="AT121" t="str">
        <f>IF(ISBLANK(JP!AW125),"","x")</f>
        <v/>
      </c>
      <c r="AU121" t="str">
        <f>IF(ISBLANK(JP!AX125),"","x")</f>
        <v/>
      </c>
    </row>
    <row r="122" spans="2:47">
      <c r="B122">
        <f>IF(ISBLANK(JP!AZ126),"",JP!AZ126)</f>
        <v>10045845</v>
      </c>
      <c r="C122" t="str">
        <f>IF(ISBLANK(JP!BA126),"",JP!BA126)</f>
        <v>HAPPY FAMILY MINIMART</v>
      </c>
      <c r="D122" t="str">
        <f>IF(ISBLANK(JP!BC126),"",JP!BC126)</f>
        <v>477 SEMBAWANG DRIVE</v>
      </c>
      <c r="E122">
        <f>IF(ISBLANK(JP!BB126),"",JP!BB126)</f>
        <v>1</v>
      </c>
      <c r="F122" t="str">
        <f>IF(ISBLANK(JP!D126),"","x")</f>
        <v/>
      </c>
      <c r="G122" t="str">
        <f>IF(ISBLANK(JP!E126),"","x")</f>
        <v/>
      </c>
      <c r="H122" t="str">
        <f>IF(ISBLANK(JP!F126),"","x")</f>
        <v/>
      </c>
      <c r="I122" t="str">
        <f>IF(ISBLANK(JP!G126),"","x")</f>
        <v/>
      </c>
      <c r="J122" t="str">
        <f>IF(ISBLANK(JP!H126),"","x")</f>
        <v/>
      </c>
      <c r="K122" t="str">
        <f>IF(ISBLANK(JP!I126),"","x")</f>
        <v>x</v>
      </c>
      <c r="L122" t="str">
        <f>IF(ISBLANK(JP!J126),"","x")</f>
        <v/>
      </c>
      <c r="M122" t="str">
        <f>IF(ISBLANK(JP!L126),"","x")</f>
        <v/>
      </c>
      <c r="N122" t="str">
        <f>IF(ISBLANK(JP!M126),"","x")</f>
        <v/>
      </c>
      <c r="O122" t="str">
        <f>IF(ISBLANK(JP!N126),"","x")</f>
        <v/>
      </c>
      <c r="P122" t="str">
        <f>IF(ISBLANK(JP!O126),"","x")</f>
        <v/>
      </c>
      <c r="Q122" t="str">
        <f>IF(ISBLANK(JP!P126),"","x")</f>
        <v/>
      </c>
      <c r="R122" t="str">
        <f>IF(ISBLANK(JP!Q126),"","x")</f>
        <v/>
      </c>
      <c r="S122" t="str">
        <f>IF(ISBLANK(JP!R126),"","x")</f>
        <v/>
      </c>
      <c r="T122" t="str">
        <f>IF(ISBLANK(JP!T126),"","x")</f>
        <v/>
      </c>
      <c r="U122" t="str">
        <f>IF(ISBLANK(JP!U126),"","x")</f>
        <v/>
      </c>
      <c r="V122" t="str">
        <f>IF(ISBLANK(JP!V126),"","x")</f>
        <v/>
      </c>
      <c r="W122" t="str">
        <f>IF(ISBLANK(JP!W126),"","x")</f>
        <v/>
      </c>
      <c r="X122" t="str">
        <f>IF(ISBLANK(JP!X126),"","x")</f>
        <v/>
      </c>
      <c r="Y122" t="str">
        <f>IF(ISBLANK(JP!Y126),"","x")</f>
        <v/>
      </c>
      <c r="Z122" t="str">
        <f>IF(ISBLANK(JP!Z126),"","x")</f>
        <v/>
      </c>
      <c r="AA122" t="str">
        <f>IF(ISBLANK(JP!AB126),"","x")</f>
        <v/>
      </c>
      <c r="AB122" t="str">
        <f>IF(ISBLANK(JP!AC126),"","x")</f>
        <v/>
      </c>
      <c r="AC122" t="str">
        <f>IF(ISBLANK(JP!AD126),"","x")</f>
        <v/>
      </c>
      <c r="AD122" t="str">
        <f>IF(ISBLANK(JP!AE126),"","x")</f>
        <v/>
      </c>
      <c r="AE122" t="str">
        <f>IF(ISBLANK(JP!AF126),"","x")</f>
        <v/>
      </c>
      <c r="AF122" t="str">
        <f>IF(ISBLANK(JP!AG126),"","x")</f>
        <v/>
      </c>
      <c r="AG122" t="str">
        <f>IF(ISBLANK(JP!AH126),"","x")</f>
        <v/>
      </c>
      <c r="AH122" t="str">
        <f>IF(ISBLANK(JP!AJ126),"","x")</f>
        <v/>
      </c>
      <c r="AI122" t="str">
        <f>IF(ISBLANK(JP!AK126),"","x")</f>
        <v/>
      </c>
      <c r="AJ122" t="str">
        <f>IF(ISBLANK(JP!AL126),"","x")</f>
        <v/>
      </c>
      <c r="AK122" t="str">
        <f>IF(ISBLANK(JP!AM126),"","x")</f>
        <v/>
      </c>
      <c r="AL122" t="str">
        <f>IF(ISBLANK(JP!AN126),"","x")</f>
        <v/>
      </c>
      <c r="AM122" t="str">
        <f>IF(ISBLANK(JP!AO126),"","x")</f>
        <v/>
      </c>
      <c r="AN122" t="str">
        <f>IF(ISBLANK(JP!AP126),"","x")</f>
        <v/>
      </c>
      <c r="AO122" t="str">
        <f>IF(ISBLANK(JP!AR126),"","x")</f>
        <v/>
      </c>
      <c r="AP122" t="str">
        <f>IF(ISBLANK(JP!AS126),"","x")</f>
        <v/>
      </c>
      <c r="AQ122" t="str">
        <f>IF(ISBLANK(JP!AT126),"","x")</f>
        <v/>
      </c>
      <c r="AR122" t="str">
        <f>IF(ISBLANK(JP!AU126),"","x")</f>
        <v/>
      </c>
      <c r="AS122" t="str">
        <f>IF(ISBLANK(JP!AV126),"","x")</f>
        <v/>
      </c>
      <c r="AT122" t="str">
        <f>IF(ISBLANK(JP!AW126),"","x")</f>
        <v/>
      </c>
      <c r="AU122" t="str">
        <f>IF(ISBLANK(JP!AX126),"","x")</f>
        <v/>
      </c>
    </row>
    <row r="123" spans="2:47">
      <c r="B123">
        <f>IF(ISBLANK(JP!AZ127),"",JP!AZ127)</f>
        <v>10040547</v>
      </c>
      <c r="C123" t="str">
        <f>IF(ISBLANK(JP!BA127),"",JP!BA127)</f>
        <v>101 EXPRESSMART</v>
      </c>
      <c r="D123" t="str">
        <f>IF(ISBLANK(JP!BC127),"",JP!BC127)</f>
        <v>483 ADMIRALTY LINK</v>
      </c>
      <c r="E123">
        <f>IF(ISBLANK(JP!BB127),"",JP!BB127)</f>
        <v>1</v>
      </c>
      <c r="F123" t="str">
        <f>IF(ISBLANK(JP!D127),"","x")</f>
        <v/>
      </c>
      <c r="G123" t="str">
        <f>IF(ISBLANK(JP!E127),"","x")</f>
        <v/>
      </c>
      <c r="H123" t="str">
        <f>IF(ISBLANK(JP!F127),"","x")</f>
        <v/>
      </c>
      <c r="I123" t="str">
        <f>IF(ISBLANK(JP!G127),"","x")</f>
        <v/>
      </c>
      <c r="J123" t="str">
        <f>IF(ISBLANK(JP!H127),"","x")</f>
        <v/>
      </c>
      <c r="K123" t="str">
        <f>IF(ISBLANK(JP!I127),"","x")</f>
        <v>x</v>
      </c>
      <c r="L123" t="str">
        <f>IF(ISBLANK(JP!J127),"","x")</f>
        <v/>
      </c>
      <c r="M123" t="str">
        <f>IF(ISBLANK(JP!L127),"","x")</f>
        <v/>
      </c>
      <c r="N123" t="str">
        <f>IF(ISBLANK(JP!M127),"","x")</f>
        <v/>
      </c>
      <c r="O123" t="str">
        <f>IF(ISBLANK(JP!N127),"","x")</f>
        <v/>
      </c>
      <c r="P123" t="str">
        <f>IF(ISBLANK(JP!O127),"","x")</f>
        <v/>
      </c>
      <c r="Q123" t="str">
        <f>IF(ISBLANK(JP!P127),"","x")</f>
        <v/>
      </c>
      <c r="R123" t="str">
        <f>IF(ISBLANK(JP!Q127),"","x")</f>
        <v/>
      </c>
      <c r="S123" t="str">
        <f>IF(ISBLANK(JP!R127),"","x")</f>
        <v/>
      </c>
      <c r="T123" t="str">
        <f>IF(ISBLANK(JP!T127),"","x")</f>
        <v/>
      </c>
      <c r="U123" t="str">
        <f>IF(ISBLANK(JP!U127),"","x")</f>
        <v/>
      </c>
      <c r="V123" t="str">
        <f>IF(ISBLANK(JP!V127),"","x")</f>
        <v/>
      </c>
      <c r="W123" t="str">
        <f>IF(ISBLANK(JP!W127),"","x")</f>
        <v/>
      </c>
      <c r="X123" t="str">
        <f>IF(ISBLANK(JP!X127),"","x")</f>
        <v/>
      </c>
      <c r="Y123" t="str">
        <f>IF(ISBLANK(JP!Y127),"","x")</f>
        <v/>
      </c>
      <c r="Z123" t="str">
        <f>IF(ISBLANK(JP!Z127),"","x")</f>
        <v/>
      </c>
      <c r="AA123" t="str">
        <f>IF(ISBLANK(JP!AB127),"","x")</f>
        <v/>
      </c>
      <c r="AB123" t="str">
        <f>IF(ISBLANK(JP!AC127),"","x")</f>
        <v/>
      </c>
      <c r="AC123" t="str">
        <f>IF(ISBLANK(JP!AD127),"","x")</f>
        <v/>
      </c>
      <c r="AD123" t="str">
        <f>IF(ISBLANK(JP!AE127),"","x")</f>
        <v/>
      </c>
      <c r="AE123" t="str">
        <f>IF(ISBLANK(JP!AF127),"","x")</f>
        <v/>
      </c>
      <c r="AF123" t="str">
        <f>IF(ISBLANK(JP!AG127),"","x")</f>
        <v/>
      </c>
      <c r="AG123" t="str">
        <f>IF(ISBLANK(JP!AH127),"","x")</f>
        <v/>
      </c>
      <c r="AH123" t="str">
        <f>IF(ISBLANK(JP!AJ127),"","x")</f>
        <v/>
      </c>
      <c r="AI123" t="str">
        <f>IF(ISBLANK(JP!AK127),"","x")</f>
        <v/>
      </c>
      <c r="AJ123" t="str">
        <f>IF(ISBLANK(JP!AL127),"","x")</f>
        <v/>
      </c>
      <c r="AK123" t="str">
        <f>IF(ISBLANK(JP!AM127),"","x")</f>
        <v/>
      </c>
      <c r="AL123" t="str">
        <f>IF(ISBLANK(JP!AN127),"","x")</f>
        <v/>
      </c>
      <c r="AM123" t="str">
        <f>IF(ISBLANK(JP!AO127),"","x")</f>
        <v/>
      </c>
      <c r="AN123" t="str">
        <f>IF(ISBLANK(JP!AP127),"","x")</f>
        <v/>
      </c>
      <c r="AO123" t="str">
        <f>IF(ISBLANK(JP!AR127),"","x")</f>
        <v/>
      </c>
      <c r="AP123" t="str">
        <f>IF(ISBLANK(JP!AS127),"","x")</f>
        <v/>
      </c>
      <c r="AQ123" t="str">
        <f>IF(ISBLANK(JP!AT127),"","x")</f>
        <v/>
      </c>
      <c r="AR123" t="str">
        <f>IF(ISBLANK(JP!AU127),"","x")</f>
        <v/>
      </c>
      <c r="AS123" t="str">
        <f>IF(ISBLANK(JP!AV127),"","x")</f>
        <v/>
      </c>
      <c r="AT123" t="str">
        <f>IF(ISBLANK(JP!AW127),"","x")</f>
        <v/>
      </c>
      <c r="AU123" t="str">
        <f>IF(ISBLANK(JP!AX127),"","x")</f>
        <v/>
      </c>
    </row>
    <row r="124" spans="2:47">
      <c r="B124">
        <f>IF(ISBLANK(JP!AZ128),"",JP!AZ128)</f>
        <v>10042670</v>
      </c>
      <c r="C124" t="str">
        <f>IF(ISBLANK(JP!BA128),"",JP!BA128)</f>
        <v>HAO MART (CANBERRA)</v>
      </c>
      <c r="D124" t="str">
        <f>IF(ISBLANK(JP!BC128),"",JP!BC128)</f>
        <v>505 CANBERRA LINK</v>
      </c>
      <c r="E124">
        <f>IF(ISBLANK(JP!BB128),"",JP!BB128)</f>
        <v>2</v>
      </c>
      <c r="F124" t="str">
        <f>IF(ISBLANK(JP!D128),"","x")</f>
        <v/>
      </c>
      <c r="G124" t="str">
        <f>IF(ISBLANK(JP!E128),"","x")</f>
        <v/>
      </c>
      <c r="H124" t="str">
        <f>IF(ISBLANK(JP!F128),"","x")</f>
        <v/>
      </c>
      <c r="I124" t="str">
        <f>IF(ISBLANK(JP!G128),"","x")</f>
        <v/>
      </c>
      <c r="J124" t="str">
        <f>IF(ISBLANK(JP!H128),"","x")</f>
        <v/>
      </c>
      <c r="K124" t="str">
        <f>IF(ISBLANK(JP!I128),"","x")</f>
        <v>x</v>
      </c>
      <c r="L124" t="str">
        <f>IF(ISBLANK(JP!J128),"","x")</f>
        <v/>
      </c>
      <c r="M124" t="str">
        <f>IF(ISBLANK(JP!L128),"","x")</f>
        <v/>
      </c>
      <c r="N124" t="str">
        <f>IF(ISBLANK(JP!M128),"","x")</f>
        <v/>
      </c>
      <c r="O124" t="str">
        <f>IF(ISBLANK(JP!N128),"","x")</f>
        <v/>
      </c>
      <c r="P124" t="str">
        <f>IF(ISBLANK(JP!O128),"","x")</f>
        <v/>
      </c>
      <c r="Q124" t="str">
        <f>IF(ISBLANK(JP!P128),"","x")</f>
        <v/>
      </c>
      <c r="R124" t="str">
        <f>IF(ISBLANK(JP!Q128),"","x")</f>
        <v/>
      </c>
      <c r="S124" t="str">
        <f>IF(ISBLANK(JP!R128),"","x")</f>
        <v/>
      </c>
      <c r="T124" t="str">
        <f>IF(ISBLANK(JP!T128),"","x")</f>
        <v/>
      </c>
      <c r="U124" t="str">
        <f>IF(ISBLANK(JP!U128),"","x")</f>
        <v/>
      </c>
      <c r="V124" t="str">
        <f>IF(ISBLANK(JP!V128),"","x")</f>
        <v/>
      </c>
      <c r="W124" t="str">
        <f>IF(ISBLANK(JP!W128),"","x")</f>
        <v/>
      </c>
      <c r="X124" t="str">
        <f>IF(ISBLANK(JP!X128),"","x")</f>
        <v/>
      </c>
      <c r="Y124" t="str">
        <f>IF(ISBLANK(JP!Y128),"","x")</f>
        <v/>
      </c>
      <c r="Z124" t="str">
        <f>IF(ISBLANK(JP!Z128),"","x")</f>
        <v/>
      </c>
      <c r="AA124" t="str">
        <f>IF(ISBLANK(JP!AB128),"","x")</f>
        <v/>
      </c>
      <c r="AB124" t="str">
        <f>IF(ISBLANK(JP!AC128),"","x")</f>
        <v/>
      </c>
      <c r="AC124" t="str">
        <f>IF(ISBLANK(JP!AD128),"","x")</f>
        <v/>
      </c>
      <c r="AD124" t="str">
        <f>IF(ISBLANK(JP!AE128),"","x")</f>
        <v/>
      </c>
      <c r="AE124" t="str">
        <f>IF(ISBLANK(JP!AF128),"","x")</f>
        <v/>
      </c>
      <c r="AF124" t="str">
        <f>IF(ISBLANK(JP!AG128),"","x")</f>
        <v/>
      </c>
      <c r="AG124" t="str">
        <f>IF(ISBLANK(JP!AH128),"","x")</f>
        <v/>
      </c>
      <c r="AH124" t="str">
        <f>IF(ISBLANK(JP!AJ128),"","x")</f>
        <v/>
      </c>
      <c r="AI124" t="str">
        <f>IF(ISBLANK(JP!AK128),"","x")</f>
        <v/>
      </c>
      <c r="AJ124" t="str">
        <f>IF(ISBLANK(JP!AL128),"","x")</f>
        <v>x</v>
      </c>
      <c r="AK124" t="str">
        <f>IF(ISBLANK(JP!AM128),"","x")</f>
        <v/>
      </c>
      <c r="AL124" t="str">
        <f>IF(ISBLANK(JP!AN128),"","x")</f>
        <v/>
      </c>
      <c r="AM124" t="str">
        <f>IF(ISBLANK(JP!AO128),"","x")</f>
        <v/>
      </c>
      <c r="AN124" t="str">
        <f>IF(ISBLANK(JP!AP128),"","x")</f>
        <v/>
      </c>
      <c r="AO124" t="str">
        <f>IF(ISBLANK(JP!AR128),"","x")</f>
        <v/>
      </c>
      <c r="AP124" t="str">
        <f>IF(ISBLANK(JP!AS128),"","x")</f>
        <v/>
      </c>
      <c r="AQ124" t="str">
        <f>IF(ISBLANK(JP!AT128),"","x")</f>
        <v/>
      </c>
      <c r="AR124" t="str">
        <f>IF(ISBLANK(JP!AU128),"","x")</f>
        <v/>
      </c>
      <c r="AS124" t="str">
        <f>IF(ISBLANK(JP!AV128),"","x")</f>
        <v/>
      </c>
      <c r="AT124" t="str">
        <f>IF(ISBLANK(JP!AW128),"","x")</f>
        <v/>
      </c>
      <c r="AU124" t="str">
        <f>IF(ISBLANK(JP!AX128),"","x")</f>
        <v/>
      </c>
    </row>
    <row r="125" spans="2:47">
      <c r="B125">
        <f>IF(ISBLANK(JP!AZ129),"",JP!AZ129)</f>
        <v>10043579</v>
      </c>
      <c r="C125" t="str">
        <f>IF(ISBLANK(JP!BA129),"",JP!BA129)</f>
        <v>VIDEKS GROCERS</v>
      </c>
      <c r="D125" t="str">
        <f>IF(ISBLANK(JP!BC129),"",JP!BC129)</f>
        <v>590A MONTREAL LINK</v>
      </c>
      <c r="E125">
        <f>IF(ISBLANK(JP!BB129),"",JP!BB129)</f>
        <v>1</v>
      </c>
      <c r="F125" t="str">
        <f>IF(ISBLANK(JP!D129),"","x")</f>
        <v/>
      </c>
      <c r="G125" t="str">
        <f>IF(ISBLANK(JP!E129),"","x")</f>
        <v/>
      </c>
      <c r="H125" t="str">
        <f>IF(ISBLANK(JP!F129),"","x")</f>
        <v/>
      </c>
      <c r="I125" t="str">
        <f>IF(ISBLANK(JP!G129),"","x")</f>
        <v/>
      </c>
      <c r="J125" t="str">
        <f>IF(ISBLANK(JP!H129),"","x")</f>
        <v/>
      </c>
      <c r="K125" t="str">
        <f>IF(ISBLANK(JP!I129),"","x")</f>
        <v/>
      </c>
      <c r="L125" t="str">
        <f>IF(ISBLANK(JP!J129),"","x")</f>
        <v/>
      </c>
      <c r="M125" t="str">
        <f>IF(ISBLANK(JP!L129),"","x")</f>
        <v/>
      </c>
      <c r="N125" t="str">
        <f>IF(ISBLANK(JP!M129),"","x")</f>
        <v/>
      </c>
      <c r="O125" t="str">
        <f>IF(ISBLANK(JP!N129),"","x")</f>
        <v/>
      </c>
      <c r="P125" t="str">
        <f>IF(ISBLANK(JP!O129),"","x")</f>
        <v/>
      </c>
      <c r="Q125" t="str">
        <f>IF(ISBLANK(JP!P129),"","x")</f>
        <v/>
      </c>
      <c r="R125" t="str">
        <f>IF(ISBLANK(JP!Q129),"","x")</f>
        <v/>
      </c>
      <c r="S125" t="str">
        <f>IF(ISBLANK(JP!R129),"","x")</f>
        <v/>
      </c>
      <c r="T125" t="str">
        <f>IF(ISBLANK(JP!T129),"","x")</f>
        <v/>
      </c>
      <c r="U125" t="str">
        <f>IF(ISBLANK(JP!U129),"","x")</f>
        <v/>
      </c>
      <c r="V125" t="str">
        <f>IF(ISBLANK(JP!V129),"","x")</f>
        <v/>
      </c>
      <c r="W125" t="str">
        <f>IF(ISBLANK(JP!W129),"","x")</f>
        <v/>
      </c>
      <c r="X125" t="str">
        <f>IF(ISBLANK(JP!X129),"","x")</f>
        <v/>
      </c>
      <c r="Y125" t="str">
        <f>IF(ISBLANK(JP!Y129),"","x")</f>
        <v/>
      </c>
      <c r="Z125" t="str">
        <f>IF(ISBLANK(JP!Z129),"","x")</f>
        <v/>
      </c>
      <c r="AA125" t="str">
        <f>IF(ISBLANK(JP!AB129),"","x")</f>
        <v/>
      </c>
      <c r="AB125" t="str">
        <f>IF(ISBLANK(JP!AC129),"","x")</f>
        <v/>
      </c>
      <c r="AC125" t="str">
        <f>IF(ISBLANK(JP!AD129),"","x")</f>
        <v/>
      </c>
      <c r="AD125" t="str">
        <f>IF(ISBLANK(JP!AE129),"","x")</f>
        <v/>
      </c>
      <c r="AE125" t="str">
        <f>IF(ISBLANK(JP!AF129),"","x")</f>
        <v/>
      </c>
      <c r="AF125" t="str">
        <f>IF(ISBLANK(JP!AG129),"","x")</f>
        <v/>
      </c>
      <c r="AG125" t="str">
        <f>IF(ISBLANK(JP!AH129),"","x")</f>
        <v/>
      </c>
      <c r="AH125" t="str">
        <f>IF(ISBLANK(JP!AJ129),"","x")</f>
        <v/>
      </c>
      <c r="AI125" t="str">
        <f>IF(ISBLANK(JP!AK129),"","x")</f>
        <v/>
      </c>
      <c r="AJ125" t="str">
        <f>IF(ISBLANK(JP!AL129),"","x")</f>
        <v>x</v>
      </c>
      <c r="AK125" t="str">
        <f>IF(ISBLANK(JP!AM129),"","x")</f>
        <v/>
      </c>
      <c r="AL125" t="str">
        <f>IF(ISBLANK(JP!AN129),"","x")</f>
        <v/>
      </c>
      <c r="AM125" t="str">
        <f>IF(ISBLANK(JP!AO129),"","x")</f>
        <v/>
      </c>
      <c r="AN125" t="str">
        <f>IF(ISBLANK(JP!AP129),"","x")</f>
        <v/>
      </c>
      <c r="AO125" t="str">
        <f>IF(ISBLANK(JP!AR129),"","x")</f>
        <v/>
      </c>
      <c r="AP125" t="str">
        <f>IF(ISBLANK(JP!AS129),"","x")</f>
        <v/>
      </c>
      <c r="AQ125" t="str">
        <f>IF(ISBLANK(JP!AT129),"","x")</f>
        <v/>
      </c>
      <c r="AR125" t="str">
        <f>IF(ISBLANK(JP!AU129),"","x")</f>
        <v/>
      </c>
      <c r="AS125" t="str">
        <f>IF(ISBLANK(JP!AV129),"","x")</f>
        <v/>
      </c>
      <c r="AT125" t="str">
        <f>IF(ISBLANK(JP!AW129),"","x")</f>
        <v/>
      </c>
      <c r="AU125" t="str">
        <f>IF(ISBLANK(JP!AX129),"","x")</f>
        <v/>
      </c>
    </row>
    <row r="126" spans="2:47">
      <c r="B126">
        <f>IF(ISBLANK(JP!AZ130),"",JP!AZ130)</f>
        <v>10040965</v>
      </c>
      <c r="C126" t="str">
        <f>IF(ISBLANK(JP!BA130),"",JP!BA130)</f>
        <v>MURUGAN TRADERS PTE LTD (WOODLANDS)</v>
      </c>
      <c r="D126" t="str">
        <f>IF(ISBLANK(JP!BC130),"",JP!BC130)</f>
        <v>200 WOODLANDS INDUSTRIAL PARK E7</v>
      </c>
      <c r="E126">
        <f>IF(ISBLANK(JP!BB130),"",JP!BB130)</f>
        <v>1</v>
      </c>
      <c r="F126" t="str">
        <f>IF(ISBLANK(JP!D130),"","x")</f>
        <v/>
      </c>
      <c r="G126" t="str">
        <f>IF(ISBLANK(JP!E130),"","x")</f>
        <v/>
      </c>
      <c r="H126" t="str">
        <f>IF(ISBLANK(JP!F130),"","x")</f>
        <v/>
      </c>
      <c r="I126" t="str">
        <f>IF(ISBLANK(JP!G130),"","x")</f>
        <v/>
      </c>
      <c r="J126" t="str">
        <f>IF(ISBLANK(JP!H130),"","x")</f>
        <v/>
      </c>
      <c r="K126" t="str">
        <f>IF(ISBLANK(JP!I130),"","x")</f>
        <v/>
      </c>
      <c r="L126" t="str">
        <f>IF(ISBLANK(JP!J130),"","x")</f>
        <v/>
      </c>
      <c r="M126" t="str">
        <f>IF(ISBLANK(JP!L130),"","x")</f>
        <v/>
      </c>
      <c r="N126" t="str">
        <f>IF(ISBLANK(JP!M130),"","x")</f>
        <v/>
      </c>
      <c r="O126" t="str">
        <f>IF(ISBLANK(JP!N130),"","x")</f>
        <v/>
      </c>
      <c r="P126" t="str">
        <f>IF(ISBLANK(JP!O130),"","x")</f>
        <v/>
      </c>
      <c r="Q126" t="str">
        <f>IF(ISBLANK(JP!P130),"","x")</f>
        <v/>
      </c>
      <c r="R126" t="str">
        <f>IF(ISBLANK(JP!Q130),"","x")</f>
        <v/>
      </c>
      <c r="S126" t="str">
        <f>IF(ISBLANK(JP!R130),"","x")</f>
        <v/>
      </c>
      <c r="T126" t="str">
        <f>IF(ISBLANK(JP!T130),"","x")</f>
        <v/>
      </c>
      <c r="U126" t="str">
        <f>IF(ISBLANK(JP!U130),"","x")</f>
        <v/>
      </c>
      <c r="V126" t="str">
        <f>IF(ISBLANK(JP!V130),"","x")</f>
        <v/>
      </c>
      <c r="W126" t="str">
        <f>IF(ISBLANK(JP!W130),"","x")</f>
        <v/>
      </c>
      <c r="X126" t="str">
        <f>IF(ISBLANK(JP!X130),"","x")</f>
        <v/>
      </c>
      <c r="Y126" t="str">
        <f>IF(ISBLANK(JP!Y130),"","x")</f>
        <v/>
      </c>
      <c r="Z126" t="str">
        <f>IF(ISBLANK(JP!Z130),"","x")</f>
        <v/>
      </c>
      <c r="AA126" t="str">
        <f>IF(ISBLANK(JP!AB130),"","x")</f>
        <v/>
      </c>
      <c r="AB126" t="str">
        <f>IF(ISBLANK(JP!AC130),"","x")</f>
        <v/>
      </c>
      <c r="AC126" t="str">
        <f>IF(ISBLANK(JP!AD130),"","x")</f>
        <v/>
      </c>
      <c r="AD126" t="str">
        <f>IF(ISBLANK(JP!AE130),"","x")</f>
        <v/>
      </c>
      <c r="AE126" t="str">
        <f>IF(ISBLANK(JP!AF130),"","x")</f>
        <v/>
      </c>
      <c r="AF126" t="str">
        <f>IF(ISBLANK(JP!AG130),"","x")</f>
        <v/>
      </c>
      <c r="AG126" t="str">
        <f>IF(ISBLANK(JP!AH130),"","x")</f>
        <v/>
      </c>
      <c r="AH126" t="str">
        <f>IF(ISBLANK(JP!AJ130),"","x")</f>
        <v/>
      </c>
      <c r="AI126" t="str">
        <f>IF(ISBLANK(JP!AK130),"","x")</f>
        <v/>
      </c>
      <c r="AJ126" t="str">
        <f>IF(ISBLANK(JP!AL130),"","x")</f>
        <v>x</v>
      </c>
      <c r="AK126" t="str">
        <f>IF(ISBLANK(JP!AM130),"","x")</f>
        <v/>
      </c>
      <c r="AL126" t="str">
        <f>IF(ISBLANK(JP!AN130),"","x")</f>
        <v/>
      </c>
      <c r="AM126" t="str">
        <f>IF(ISBLANK(JP!AO130),"","x")</f>
        <v/>
      </c>
      <c r="AN126" t="str">
        <f>IF(ISBLANK(JP!AP130),"","x")</f>
        <v/>
      </c>
      <c r="AO126" t="str">
        <f>IF(ISBLANK(JP!AR130),"","x")</f>
        <v/>
      </c>
      <c r="AP126" t="str">
        <f>IF(ISBLANK(JP!AS130),"","x")</f>
        <v/>
      </c>
      <c r="AQ126" t="str">
        <f>IF(ISBLANK(JP!AT130),"","x")</f>
        <v/>
      </c>
      <c r="AR126" t="str">
        <f>IF(ISBLANK(JP!AU130),"","x")</f>
        <v/>
      </c>
      <c r="AS126" t="str">
        <f>IF(ISBLANK(JP!AV130),"","x")</f>
        <v/>
      </c>
      <c r="AT126" t="str">
        <f>IF(ISBLANK(JP!AW130),"","x")</f>
        <v/>
      </c>
      <c r="AU126" t="str">
        <f>IF(ISBLANK(JP!AX130),"","x")</f>
        <v/>
      </c>
    </row>
    <row r="127" spans="2:47">
      <c r="B127">
        <f>IF(ISBLANK(JP!AZ131),"",JP!AZ131)</f>
        <v>10041726</v>
      </c>
      <c r="C127" t="str">
        <f>IF(ISBLANK(JP!BA131),"",JP!BA131)</f>
        <v>MIJIAN DIAN</v>
      </c>
      <c r="D127" t="str">
        <f>IF(ISBLANK(JP!BC131),"",JP!BC131)</f>
        <v>200 WOODLANDS INDUSTRIAL PARK E7</v>
      </c>
      <c r="E127">
        <f>IF(ISBLANK(JP!BB131),"",JP!BB131)</f>
        <v>1</v>
      </c>
      <c r="F127" t="str">
        <f>IF(ISBLANK(JP!D131),"","x")</f>
        <v/>
      </c>
      <c r="G127" t="str">
        <f>IF(ISBLANK(JP!E131),"","x")</f>
        <v/>
      </c>
      <c r="H127" t="str">
        <f>IF(ISBLANK(JP!F131),"","x")</f>
        <v/>
      </c>
      <c r="I127" t="str">
        <f>IF(ISBLANK(JP!G131),"","x")</f>
        <v/>
      </c>
      <c r="J127" t="str">
        <f>IF(ISBLANK(JP!H131),"","x")</f>
        <v/>
      </c>
      <c r="K127" t="str">
        <f>IF(ISBLANK(JP!I131),"","x")</f>
        <v/>
      </c>
      <c r="L127" t="str">
        <f>IF(ISBLANK(JP!J131),"","x")</f>
        <v/>
      </c>
      <c r="M127" t="str">
        <f>IF(ISBLANK(JP!L131),"","x")</f>
        <v/>
      </c>
      <c r="N127" t="str">
        <f>IF(ISBLANK(JP!M131),"","x")</f>
        <v/>
      </c>
      <c r="O127" t="str">
        <f>IF(ISBLANK(JP!N131),"","x")</f>
        <v/>
      </c>
      <c r="P127" t="str">
        <f>IF(ISBLANK(JP!O131),"","x")</f>
        <v/>
      </c>
      <c r="Q127" t="str">
        <f>IF(ISBLANK(JP!P131),"","x")</f>
        <v/>
      </c>
      <c r="R127" t="str">
        <f>IF(ISBLANK(JP!Q131),"","x")</f>
        <v/>
      </c>
      <c r="S127" t="str">
        <f>IF(ISBLANK(JP!R131),"","x")</f>
        <v/>
      </c>
      <c r="T127" t="str">
        <f>IF(ISBLANK(JP!T131),"","x")</f>
        <v/>
      </c>
      <c r="U127" t="str">
        <f>IF(ISBLANK(JP!U131),"","x")</f>
        <v/>
      </c>
      <c r="V127" t="str">
        <f>IF(ISBLANK(JP!V131),"","x")</f>
        <v/>
      </c>
      <c r="W127" t="str">
        <f>IF(ISBLANK(JP!W131),"","x")</f>
        <v/>
      </c>
      <c r="X127" t="str">
        <f>IF(ISBLANK(JP!X131),"","x")</f>
        <v/>
      </c>
      <c r="Y127" t="str">
        <f>IF(ISBLANK(JP!Y131),"","x")</f>
        <v/>
      </c>
      <c r="Z127" t="str">
        <f>IF(ISBLANK(JP!Z131),"","x")</f>
        <v/>
      </c>
      <c r="AA127" t="str">
        <f>IF(ISBLANK(JP!AB131),"","x")</f>
        <v/>
      </c>
      <c r="AB127" t="str">
        <f>IF(ISBLANK(JP!AC131),"","x")</f>
        <v/>
      </c>
      <c r="AC127" t="str">
        <f>IF(ISBLANK(JP!AD131),"","x")</f>
        <v/>
      </c>
      <c r="AD127" t="str">
        <f>IF(ISBLANK(JP!AE131),"","x")</f>
        <v>x</v>
      </c>
      <c r="AE127" t="str">
        <f>IF(ISBLANK(JP!AF131),"","x")</f>
        <v/>
      </c>
      <c r="AF127" t="str">
        <f>IF(ISBLANK(JP!AG131),"","x")</f>
        <v/>
      </c>
      <c r="AG127" t="str">
        <f>IF(ISBLANK(JP!AH131),"","x")</f>
        <v/>
      </c>
      <c r="AH127" t="str">
        <f>IF(ISBLANK(JP!AJ131),"","x")</f>
        <v/>
      </c>
      <c r="AI127" t="str">
        <f>IF(ISBLANK(JP!AK131),"","x")</f>
        <v/>
      </c>
      <c r="AJ127" t="str">
        <f>IF(ISBLANK(JP!AL131),"","x")</f>
        <v/>
      </c>
      <c r="AK127" t="str">
        <f>IF(ISBLANK(JP!AM131),"","x")</f>
        <v/>
      </c>
      <c r="AL127" t="str">
        <f>IF(ISBLANK(JP!AN131),"","x")</f>
        <v/>
      </c>
      <c r="AM127" t="str">
        <f>IF(ISBLANK(JP!AO131),"","x")</f>
        <v/>
      </c>
      <c r="AN127" t="str">
        <f>IF(ISBLANK(JP!AP131),"","x")</f>
        <v/>
      </c>
      <c r="AO127" t="str">
        <f>IF(ISBLANK(JP!AR131),"","x")</f>
        <v/>
      </c>
      <c r="AP127" t="str">
        <f>IF(ISBLANK(JP!AS131),"","x")</f>
        <v/>
      </c>
      <c r="AQ127" t="str">
        <f>IF(ISBLANK(JP!AT131),"","x")</f>
        <v/>
      </c>
      <c r="AR127" t="str">
        <f>IF(ISBLANK(JP!AU131),"","x")</f>
        <v/>
      </c>
      <c r="AS127" t="str">
        <f>IF(ISBLANK(JP!AV131),"","x")</f>
        <v/>
      </c>
      <c r="AT127" t="str">
        <f>IF(ISBLANK(JP!AW131),"","x")</f>
        <v/>
      </c>
      <c r="AU127" t="str">
        <f>IF(ISBLANK(JP!AX131),"","x")</f>
        <v/>
      </c>
    </row>
    <row r="128" spans="2:47">
      <c r="B128">
        <f>IF(ISBLANK(JP!AZ132),"",JP!AZ132)</f>
        <v>10046236</v>
      </c>
      <c r="C128" t="str">
        <f>IF(ISBLANK(JP!BA132),"",JP!BA132)</f>
        <v>AMMA STORES</v>
      </c>
      <c r="D128" t="str">
        <f>IF(ISBLANK(JP!BC132),"",JP!BC132)</f>
        <v>200 WOODLANDS INDUSTRIAL PARK E7</v>
      </c>
      <c r="E128">
        <f>IF(ISBLANK(JP!BB132),"",JP!BB132)</f>
        <v>1</v>
      </c>
      <c r="F128" t="str">
        <f>IF(ISBLANK(JP!D132),"","x")</f>
        <v/>
      </c>
      <c r="G128" t="str">
        <f>IF(ISBLANK(JP!E132),"","x")</f>
        <v/>
      </c>
      <c r="H128" t="str">
        <f>IF(ISBLANK(JP!F132),"","x")</f>
        <v/>
      </c>
      <c r="I128" t="str">
        <f>IF(ISBLANK(JP!G132),"","x")</f>
        <v/>
      </c>
      <c r="J128" t="str">
        <f>IF(ISBLANK(JP!H132),"","x")</f>
        <v/>
      </c>
      <c r="K128" t="str">
        <f>IF(ISBLANK(JP!I132),"","x")</f>
        <v/>
      </c>
      <c r="L128" t="str">
        <f>IF(ISBLANK(JP!J132),"","x")</f>
        <v/>
      </c>
      <c r="M128" t="str">
        <f>IF(ISBLANK(JP!L132),"","x")</f>
        <v/>
      </c>
      <c r="N128" t="str">
        <f>IF(ISBLANK(JP!M132),"","x")</f>
        <v/>
      </c>
      <c r="O128" t="str">
        <f>IF(ISBLANK(JP!N132),"","x")</f>
        <v/>
      </c>
      <c r="P128" t="str">
        <f>IF(ISBLANK(JP!O132),"","x")</f>
        <v/>
      </c>
      <c r="Q128" t="str">
        <f>IF(ISBLANK(JP!P132),"","x")</f>
        <v/>
      </c>
      <c r="R128" t="str">
        <f>IF(ISBLANK(JP!Q132),"","x")</f>
        <v/>
      </c>
      <c r="S128" t="str">
        <f>IF(ISBLANK(JP!R132),"","x")</f>
        <v/>
      </c>
      <c r="T128" t="str">
        <f>IF(ISBLANK(JP!T132),"","x")</f>
        <v/>
      </c>
      <c r="U128" t="str">
        <f>IF(ISBLANK(JP!U132),"","x")</f>
        <v/>
      </c>
      <c r="V128" t="str">
        <f>IF(ISBLANK(JP!V132),"","x")</f>
        <v/>
      </c>
      <c r="W128" t="str">
        <f>IF(ISBLANK(JP!W132),"","x")</f>
        <v/>
      </c>
      <c r="X128" t="str">
        <f>IF(ISBLANK(JP!X132),"","x")</f>
        <v/>
      </c>
      <c r="Y128" t="str">
        <f>IF(ISBLANK(JP!Y132),"","x")</f>
        <v/>
      </c>
      <c r="Z128" t="str">
        <f>IF(ISBLANK(JP!Z132),"","x")</f>
        <v/>
      </c>
      <c r="AA128" t="str">
        <f>IF(ISBLANK(JP!AB132),"","x")</f>
        <v/>
      </c>
      <c r="AB128" t="str">
        <f>IF(ISBLANK(JP!AC132),"","x")</f>
        <v/>
      </c>
      <c r="AC128" t="str">
        <f>IF(ISBLANK(JP!AD132),"","x")</f>
        <v>x</v>
      </c>
      <c r="AD128" t="str">
        <f>IF(ISBLANK(JP!AE132),"","x")</f>
        <v/>
      </c>
      <c r="AE128" t="str">
        <f>IF(ISBLANK(JP!AF132),"","x")</f>
        <v/>
      </c>
      <c r="AF128" t="str">
        <f>IF(ISBLANK(JP!AG132),"","x")</f>
        <v/>
      </c>
      <c r="AG128" t="str">
        <f>IF(ISBLANK(JP!AH132),"","x")</f>
        <v/>
      </c>
      <c r="AH128" t="str">
        <f>IF(ISBLANK(JP!AJ132),"","x")</f>
        <v/>
      </c>
      <c r="AI128" t="str">
        <f>IF(ISBLANK(JP!AK132),"","x")</f>
        <v/>
      </c>
      <c r="AJ128" t="str">
        <f>IF(ISBLANK(JP!AL132),"","x")</f>
        <v/>
      </c>
      <c r="AK128" t="str">
        <f>IF(ISBLANK(JP!AM132),"","x")</f>
        <v/>
      </c>
      <c r="AL128" t="str">
        <f>IF(ISBLANK(JP!AN132),"","x")</f>
        <v/>
      </c>
      <c r="AM128" t="str">
        <f>IF(ISBLANK(JP!AO132),"","x")</f>
        <v/>
      </c>
      <c r="AN128" t="str">
        <f>IF(ISBLANK(JP!AP132),"","x")</f>
        <v/>
      </c>
      <c r="AO128" t="str">
        <f>IF(ISBLANK(JP!AR132),"","x")</f>
        <v/>
      </c>
      <c r="AP128" t="str">
        <f>IF(ISBLANK(JP!AS132),"","x")</f>
        <v/>
      </c>
      <c r="AQ128" t="str">
        <f>IF(ISBLANK(JP!AT132),"","x")</f>
        <v/>
      </c>
      <c r="AR128" t="str">
        <f>IF(ISBLANK(JP!AU132),"","x")</f>
        <v/>
      </c>
      <c r="AS128" t="str">
        <f>IF(ISBLANK(JP!AV132),"","x")</f>
        <v/>
      </c>
      <c r="AT128" t="str">
        <f>IF(ISBLANK(JP!AW132),"","x")</f>
        <v/>
      </c>
      <c r="AU128" t="str">
        <f>IF(ISBLANK(JP!AX132),"","x")</f>
        <v/>
      </c>
    </row>
    <row r="129" spans="2:47">
      <c r="B129">
        <f>IF(ISBLANK(JP!AZ133),"",JP!AZ133)</f>
        <v>10041274</v>
      </c>
      <c r="C129" t="str">
        <f>IF(ISBLANK(JP!BA133),"",JP!BA133)</f>
        <v>SUN SUPERMARKET</v>
      </c>
      <c r="D129" t="str">
        <f>IF(ISBLANK(JP!BC133),"",JP!BC133)</f>
        <v>280 WOODLANDS INDUSTRIAL PARK E5</v>
      </c>
      <c r="E129">
        <f>IF(ISBLANK(JP!BB133),"",JP!BB133)</f>
        <v>1</v>
      </c>
      <c r="F129" t="str">
        <f>IF(ISBLANK(JP!D133),"","x")</f>
        <v/>
      </c>
      <c r="G129" t="str">
        <f>IF(ISBLANK(JP!E133),"","x")</f>
        <v/>
      </c>
      <c r="H129" t="str">
        <f>IF(ISBLANK(JP!F133),"","x")</f>
        <v/>
      </c>
      <c r="I129" t="str">
        <f>IF(ISBLANK(JP!G133),"","x")</f>
        <v/>
      </c>
      <c r="J129" t="str">
        <f>IF(ISBLANK(JP!H133),"","x")</f>
        <v/>
      </c>
      <c r="K129" t="str">
        <f>IF(ISBLANK(JP!I133),"","x")</f>
        <v/>
      </c>
      <c r="L129" t="str">
        <f>IF(ISBLANK(JP!J133),"","x")</f>
        <v/>
      </c>
      <c r="M129" t="str">
        <f>IF(ISBLANK(JP!L133),"","x")</f>
        <v/>
      </c>
      <c r="N129" t="str">
        <f>IF(ISBLANK(JP!M133),"","x")</f>
        <v/>
      </c>
      <c r="O129" t="str">
        <f>IF(ISBLANK(JP!N133),"","x")</f>
        <v/>
      </c>
      <c r="P129" t="str">
        <f>IF(ISBLANK(JP!O133),"","x")</f>
        <v/>
      </c>
      <c r="Q129" t="str">
        <f>IF(ISBLANK(JP!P133),"","x")</f>
        <v/>
      </c>
      <c r="R129" t="str">
        <f>IF(ISBLANK(JP!Q133),"","x")</f>
        <v/>
      </c>
      <c r="S129" t="str">
        <f>IF(ISBLANK(JP!R133),"","x")</f>
        <v/>
      </c>
      <c r="T129" t="str">
        <f>IF(ISBLANK(JP!T133),"","x")</f>
        <v/>
      </c>
      <c r="U129" t="str">
        <f>IF(ISBLANK(JP!U133),"","x")</f>
        <v/>
      </c>
      <c r="V129" t="str">
        <f>IF(ISBLANK(JP!V133),"","x")</f>
        <v/>
      </c>
      <c r="W129" t="str">
        <f>IF(ISBLANK(JP!W133),"","x")</f>
        <v/>
      </c>
      <c r="X129" t="str">
        <f>IF(ISBLANK(JP!X133),"","x")</f>
        <v/>
      </c>
      <c r="Y129" t="str">
        <f>IF(ISBLANK(JP!Y133),"","x")</f>
        <v/>
      </c>
      <c r="Z129" t="str">
        <f>IF(ISBLANK(JP!Z133),"","x")</f>
        <v/>
      </c>
      <c r="AA129" t="str">
        <f>IF(ISBLANK(JP!AB133),"","x")</f>
        <v/>
      </c>
      <c r="AB129" t="str">
        <f>IF(ISBLANK(JP!AC133),"","x")</f>
        <v/>
      </c>
      <c r="AC129" t="str">
        <f>IF(ISBLANK(JP!AD133),"","x")</f>
        <v/>
      </c>
      <c r="AD129" t="str">
        <f>IF(ISBLANK(JP!AE133),"","x")</f>
        <v>x</v>
      </c>
      <c r="AE129" t="str">
        <f>IF(ISBLANK(JP!AF133),"","x")</f>
        <v/>
      </c>
      <c r="AF129" t="str">
        <f>IF(ISBLANK(JP!AG133),"","x")</f>
        <v/>
      </c>
      <c r="AG129" t="str">
        <f>IF(ISBLANK(JP!AH133),"","x")</f>
        <v/>
      </c>
      <c r="AH129" t="str">
        <f>IF(ISBLANK(JP!AJ133),"","x")</f>
        <v/>
      </c>
      <c r="AI129" t="str">
        <f>IF(ISBLANK(JP!AK133),"","x")</f>
        <v/>
      </c>
      <c r="AJ129" t="str">
        <f>IF(ISBLANK(JP!AL133),"","x")</f>
        <v/>
      </c>
      <c r="AK129" t="str">
        <f>IF(ISBLANK(JP!AM133),"","x")</f>
        <v/>
      </c>
      <c r="AL129" t="str">
        <f>IF(ISBLANK(JP!AN133),"","x")</f>
        <v/>
      </c>
      <c r="AM129" t="str">
        <f>IF(ISBLANK(JP!AO133),"","x")</f>
        <v/>
      </c>
      <c r="AN129" t="str">
        <f>IF(ISBLANK(JP!AP133),"","x")</f>
        <v/>
      </c>
      <c r="AO129" t="str">
        <f>IF(ISBLANK(JP!AR133),"","x")</f>
        <v/>
      </c>
      <c r="AP129" t="str">
        <f>IF(ISBLANK(JP!AS133),"","x")</f>
        <v/>
      </c>
      <c r="AQ129" t="str">
        <f>IF(ISBLANK(JP!AT133),"","x")</f>
        <v/>
      </c>
      <c r="AR129" t="str">
        <f>IF(ISBLANK(JP!AU133),"","x")</f>
        <v/>
      </c>
      <c r="AS129" t="str">
        <f>IF(ISBLANK(JP!AV133),"","x")</f>
        <v/>
      </c>
      <c r="AT129" t="str">
        <f>IF(ISBLANK(JP!AW133),"","x")</f>
        <v/>
      </c>
      <c r="AU129" t="str">
        <f>IF(ISBLANK(JP!AX133),"","x")</f>
        <v/>
      </c>
    </row>
    <row r="130" spans="2:47">
      <c r="B130">
        <f>IF(ISBLANK(JP!AZ134),"",JP!AZ134)</f>
        <v>10045356</v>
      </c>
      <c r="C130" t="str">
        <f>IF(ISBLANK(JP!BA134),"",JP!BA134)</f>
        <v>SHARBESUWARY MINI MART (ADMIRALTY)</v>
      </c>
      <c r="D130" t="str">
        <f>IF(ISBLANK(JP!BC134),"",JP!BC134)</f>
        <v>8B ADMIRALTY STREET</v>
      </c>
      <c r="E130">
        <f>IF(ISBLANK(JP!BB134),"",JP!BB134)</f>
        <v>1</v>
      </c>
      <c r="F130" t="str">
        <f>IF(ISBLANK(JP!D134),"","x")</f>
        <v/>
      </c>
      <c r="G130" t="str">
        <f>IF(ISBLANK(JP!E134),"","x")</f>
        <v/>
      </c>
      <c r="H130" t="str">
        <f>IF(ISBLANK(JP!F134),"","x")</f>
        <v/>
      </c>
      <c r="I130" t="str">
        <f>IF(ISBLANK(JP!G134),"","x")</f>
        <v/>
      </c>
      <c r="J130" t="str">
        <f>IF(ISBLANK(JP!H134),"","x")</f>
        <v/>
      </c>
      <c r="K130" t="str">
        <f>IF(ISBLANK(JP!I134),"","x")</f>
        <v/>
      </c>
      <c r="L130" t="str">
        <f>IF(ISBLANK(JP!J134),"","x")</f>
        <v/>
      </c>
      <c r="M130" t="str">
        <f>IF(ISBLANK(JP!L134),"","x")</f>
        <v/>
      </c>
      <c r="N130" t="str">
        <f>IF(ISBLANK(JP!M134),"","x")</f>
        <v/>
      </c>
      <c r="O130" t="str">
        <f>IF(ISBLANK(JP!N134),"","x")</f>
        <v/>
      </c>
      <c r="P130" t="str">
        <f>IF(ISBLANK(JP!O134),"","x")</f>
        <v/>
      </c>
      <c r="Q130" t="str">
        <f>IF(ISBLANK(JP!P134),"","x")</f>
        <v/>
      </c>
      <c r="R130" t="str">
        <f>IF(ISBLANK(JP!Q134),"","x")</f>
        <v/>
      </c>
      <c r="S130" t="str">
        <f>IF(ISBLANK(JP!R134),"","x")</f>
        <v/>
      </c>
      <c r="T130" t="str">
        <f>IF(ISBLANK(JP!T134),"","x")</f>
        <v/>
      </c>
      <c r="U130" t="str">
        <f>IF(ISBLANK(JP!U134),"","x")</f>
        <v/>
      </c>
      <c r="V130" t="str">
        <f>IF(ISBLANK(JP!V134),"","x")</f>
        <v/>
      </c>
      <c r="W130" t="str">
        <f>IF(ISBLANK(JP!W134),"","x")</f>
        <v/>
      </c>
      <c r="X130" t="str">
        <f>IF(ISBLANK(JP!X134),"","x")</f>
        <v/>
      </c>
      <c r="Y130" t="str">
        <f>IF(ISBLANK(JP!Y134),"","x")</f>
        <v/>
      </c>
      <c r="Z130" t="str">
        <f>IF(ISBLANK(JP!Z134),"","x")</f>
        <v/>
      </c>
      <c r="AA130" t="str">
        <f>IF(ISBLANK(JP!AB134),"","x")</f>
        <v/>
      </c>
      <c r="AB130" t="str">
        <f>IF(ISBLANK(JP!AC134),"","x")</f>
        <v/>
      </c>
      <c r="AC130" t="str">
        <f>IF(ISBLANK(JP!AD134),"","x")</f>
        <v>x</v>
      </c>
      <c r="AD130" t="str">
        <f>IF(ISBLANK(JP!AE134),"","x")</f>
        <v/>
      </c>
      <c r="AE130" t="str">
        <f>IF(ISBLANK(JP!AF134),"","x")</f>
        <v/>
      </c>
      <c r="AF130" t="str">
        <f>IF(ISBLANK(JP!AG134),"","x")</f>
        <v/>
      </c>
      <c r="AG130" t="str">
        <f>IF(ISBLANK(JP!AH134),"","x")</f>
        <v/>
      </c>
      <c r="AH130" t="str">
        <f>IF(ISBLANK(JP!AJ134),"","x")</f>
        <v/>
      </c>
      <c r="AI130" t="str">
        <f>IF(ISBLANK(JP!AK134),"","x")</f>
        <v/>
      </c>
      <c r="AJ130" t="str">
        <f>IF(ISBLANK(JP!AL134),"","x")</f>
        <v/>
      </c>
      <c r="AK130" t="str">
        <f>IF(ISBLANK(JP!AM134),"","x")</f>
        <v/>
      </c>
      <c r="AL130" t="str">
        <f>IF(ISBLANK(JP!AN134),"","x")</f>
        <v/>
      </c>
      <c r="AM130" t="str">
        <f>IF(ISBLANK(JP!AO134),"","x")</f>
        <v/>
      </c>
      <c r="AN130" t="str">
        <f>IF(ISBLANK(JP!AP134),"","x")</f>
        <v/>
      </c>
      <c r="AO130" t="str">
        <f>IF(ISBLANK(JP!AR134),"","x")</f>
        <v/>
      </c>
      <c r="AP130" t="str">
        <f>IF(ISBLANK(JP!AS134),"","x")</f>
        <v/>
      </c>
      <c r="AQ130" t="str">
        <f>IF(ISBLANK(JP!AT134),"","x")</f>
        <v/>
      </c>
      <c r="AR130" t="str">
        <f>IF(ISBLANK(JP!AU134),"","x")</f>
        <v/>
      </c>
      <c r="AS130" t="str">
        <f>IF(ISBLANK(JP!AV134),"","x")</f>
        <v/>
      </c>
      <c r="AT130" t="str">
        <f>IF(ISBLANK(JP!AW134),"","x")</f>
        <v/>
      </c>
      <c r="AU130" t="str">
        <f>IF(ISBLANK(JP!AX134),"","x")</f>
        <v/>
      </c>
    </row>
    <row r="131" spans="2:47">
      <c r="B131">
        <f>IF(ISBLANK(JP!AZ135),"",JP!AZ135)</f>
        <v>10046112</v>
      </c>
      <c r="C131" t="str">
        <f>IF(ISBLANK(JP!BA135),"",JP!BA135)</f>
        <v>WAANGOO TRADING PTE. LTD.</v>
      </c>
      <c r="D131" t="str">
        <f>IF(ISBLANK(JP!BC135),"",JP!BC135)</f>
        <v>10 WOODLANDS INDUSTRIAL PARK E1</v>
      </c>
      <c r="E131">
        <f>IF(ISBLANK(JP!BB135),"",JP!BB135)</f>
        <v>1</v>
      </c>
      <c r="F131" t="str">
        <f>IF(ISBLANK(JP!D135),"","x")</f>
        <v/>
      </c>
      <c r="G131" t="str">
        <f>IF(ISBLANK(JP!E135),"","x")</f>
        <v/>
      </c>
      <c r="H131" t="str">
        <f>IF(ISBLANK(JP!F135),"","x")</f>
        <v/>
      </c>
      <c r="I131" t="str">
        <f>IF(ISBLANK(JP!G135),"","x")</f>
        <v/>
      </c>
      <c r="J131" t="str">
        <f>IF(ISBLANK(JP!H135),"","x")</f>
        <v/>
      </c>
      <c r="K131" t="str">
        <f>IF(ISBLANK(JP!I135),"","x")</f>
        <v/>
      </c>
      <c r="L131" t="str">
        <f>IF(ISBLANK(JP!J135),"","x")</f>
        <v/>
      </c>
      <c r="M131" t="str">
        <f>IF(ISBLANK(JP!L135),"","x")</f>
        <v/>
      </c>
      <c r="N131" t="str">
        <f>IF(ISBLANK(JP!M135),"","x")</f>
        <v/>
      </c>
      <c r="O131" t="str">
        <f>IF(ISBLANK(JP!N135),"","x")</f>
        <v/>
      </c>
      <c r="P131" t="str">
        <f>IF(ISBLANK(JP!O135),"","x")</f>
        <v/>
      </c>
      <c r="Q131" t="str">
        <f>IF(ISBLANK(JP!P135),"","x")</f>
        <v/>
      </c>
      <c r="R131" t="str">
        <f>IF(ISBLANK(JP!Q135),"","x")</f>
        <v/>
      </c>
      <c r="S131" t="str">
        <f>IF(ISBLANK(JP!R135),"","x")</f>
        <v/>
      </c>
      <c r="T131" t="str">
        <f>IF(ISBLANK(JP!T135),"","x")</f>
        <v/>
      </c>
      <c r="U131" t="str">
        <f>IF(ISBLANK(JP!U135),"","x")</f>
        <v/>
      </c>
      <c r="V131" t="str">
        <f>IF(ISBLANK(JP!V135),"","x")</f>
        <v/>
      </c>
      <c r="W131" t="str">
        <f>IF(ISBLANK(JP!W135),"","x")</f>
        <v/>
      </c>
      <c r="X131" t="str">
        <f>IF(ISBLANK(JP!X135),"","x")</f>
        <v/>
      </c>
      <c r="Y131" t="str">
        <f>IF(ISBLANK(JP!Y135),"","x")</f>
        <v/>
      </c>
      <c r="Z131" t="str">
        <f>IF(ISBLANK(JP!Z135),"","x")</f>
        <v/>
      </c>
      <c r="AA131" t="str">
        <f>IF(ISBLANK(JP!AB135),"","x")</f>
        <v/>
      </c>
      <c r="AB131" t="str">
        <f>IF(ISBLANK(JP!AC135),"","x")</f>
        <v/>
      </c>
      <c r="AC131" t="str">
        <f>IF(ISBLANK(JP!AD135),"","x")</f>
        <v>x</v>
      </c>
      <c r="AD131" t="str">
        <f>IF(ISBLANK(JP!AE135),"","x")</f>
        <v/>
      </c>
      <c r="AE131" t="str">
        <f>IF(ISBLANK(JP!AF135),"","x")</f>
        <v/>
      </c>
      <c r="AF131" t="str">
        <f>IF(ISBLANK(JP!AG135),"","x")</f>
        <v/>
      </c>
      <c r="AG131" t="str">
        <f>IF(ISBLANK(JP!AH135),"","x")</f>
        <v/>
      </c>
      <c r="AH131" t="str">
        <f>IF(ISBLANK(JP!AJ135),"","x")</f>
        <v/>
      </c>
      <c r="AI131" t="str">
        <f>IF(ISBLANK(JP!AK135),"","x")</f>
        <v/>
      </c>
      <c r="AJ131" t="str">
        <f>IF(ISBLANK(JP!AL135),"","x")</f>
        <v/>
      </c>
      <c r="AK131" t="str">
        <f>IF(ISBLANK(JP!AM135),"","x")</f>
        <v/>
      </c>
      <c r="AL131" t="str">
        <f>IF(ISBLANK(JP!AN135),"","x")</f>
        <v/>
      </c>
      <c r="AM131" t="str">
        <f>IF(ISBLANK(JP!AO135),"","x")</f>
        <v/>
      </c>
      <c r="AN131" t="str">
        <f>IF(ISBLANK(JP!AP135),"","x")</f>
        <v/>
      </c>
      <c r="AO131" t="str">
        <f>IF(ISBLANK(JP!AR135),"","x")</f>
        <v/>
      </c>
      <c r="AP131" t="str">
        <f>IF(ISBLANK(JP!AS135),"","x")</f>
        <v/>
      </c>
      <c r="AQ131" t="str">
        <f>IF(ISBLANK(JP!AT135),"","x")</f>
        <v/>
      </c>
      <c r="AR131" t="str">
        <f>IF(ISBLANK(JP!AU135),"","x")</f>
        <v/>
      </c>
      <c r="AS131" t="str">
        <f>IF(ISBLANK(JP!AV135),"","x")</f>
        <v/>
      </c>
      <c r="AT131" t="str">
        <f>IF(ISBLANK(JP!AW135),"","x")</f>
        <v/>
      </c>
      <c r="AU131" t="str">
        <f>IF(ISBLANK(JP!AX135),"","x")</f>
        <v/>
      </c>
    </row>
    <row r="132" spans="2:47">
      <c r="B132">
        <f>IF(ISBLANK(JP!AZ136),"",JP!AZ136)</f>
        <v>10045090</v>
      </c>
      <c r="C132" t="str">
        <f>IF(ISBLANK(JP!BA136),"",JP!BA136)</f>
        <v>VS MINI MARKET</v>
      </c>
      <c r="D132" t="str">
        <f>IF(ISBLANK(JP!BC136),"",JP!BC136)</f>
        <v>20 SENOKO DRIVE</v>
      </c>
      <c r="E132">
        <f>IF(ISBLANK(JP!BB136),"",JP!BB136)</f>
        <v>1</v>
      </c>
      <c r="F132" t="str">
        <f>IF(ISBLANK(JP!D136),"","x")</f>
        <v/>
      </c>
      <c r="G132" t="str">
        <f>IF(ISBLANK(JP!E136),"","x")</f>
        <v/>
      </c>
      <c r="H132" t="str">
        <f>IF(ISBLANK(JP!F136),"","x")</f>
        <v/>
      </c>
      <c r="I132" t="str">
        <f>IF(ISBLANK(JP!G136),"","x")</f>
        <v/>
      </c>
      <c r="J132" t="str">
        <f>IF(ISBLANK(JP!H136),"","x")</f>
        <v/>
      </c>
      <c r="K132" t="str">
        <f>IF(ISBLANK(JP!I136),"","x")</f>
        <v/>
      </c>
      <c r="L132" t="str">
        <f>IF(ISBLANK(JP!J136),"","x")</f>
        <v/>
      </c>
      <c r="M132" t="str">
        <f>IF(ISBLANK(JP!L136),"","x")</f>
        <v/>
      </c>
      <c r="N132" t="str">
        <f>IF(ISBLANK(JP!M136),"","x")</f>
        <v/>
      </c>
      <c r="O132" t="str">
        <f>IF(ISBLANK(JP!N136),"","x")</f>
        <v/>
      </c>
      <c r="P132" t="str">
        <f>IF(ISBLANK(JP!O136),"","x")</f>
        <v/>
      </c>
      <c r="Q132" t="str">
        <f>IF(ISBLANK(JP!P136),"","x")</f>
        <v/>
      </c>
      <c r="R132" t="str">
        <f>IF(ISBLANK(JP!Q136),"","x")</f>
        <v/>
      </c>
      <c r="S132" t="str">
        <f>IF(ISBLANK(JP!R136),"","x")</f>
        <v/>
      </c>
      <c r="T132" t="str">
        <f>IF(ISBLANK(JP!T136),"","x")</f>
        <v/>
      </c>
      <c r="U132" t="str">
        <f>IF(ISBLANK(JP!U136),"","x")</f>
        <v/>
      </c>
      <c r="V132" t="str">
        <f>IF(ISBLANK(JP!V136),"","x")</f>
        <v/>
      </c>
      <c r="W132" t="str">
        <f>IF(ISBLANK(JP!W136),"","x")</f>
        <v/>
      </c>
      <c r="X132" t="str">
        <f>IF(ISBLANK(JP!X136),"","x")</f>
        <v/>
      </c>
      <c r="Y132" t="str">
        <f>IF(ISBLANK(JP!Y136),"","x")</f>
        <v/>
      </c>
      <c r="Z132" t="str">
        <f>IF(ISBLANK(JP!Z136),"","x")</f>
        <v/>
      </c>
      <c r="AA132" t="str">
        <f>IF(ISBLANK(JP!AB136),"","x")</f>
        <v/>
      </c>
      <c r="AB132" t="str">
        <f>IF(ISBLANK(JP!AC136),"","x")</f>
        <v/>
      </c>
      <c r="AC132" t="str">
        <f>IF(ISBLANK(JP!AD136),"","x")</f>
        <v/>
      </c>
      <c r="AD132" t="str">
        <f>IF(ISBLANK(JP!AE136),"","x")</f>
        <v/>
      </c>
      <c r="AE132" t="str">
        <f>IF(ISBLANK(JP!AF136),"","x")</f>
        <v>x</v>
      </c>
      <c r="AF132" t="str">
        <f>IF(ISBLANK(JP!AG136),"","x")</f>
        <v/>
      </c>
      <c r="AG132" t="str">
        <f>IF(ISBLANK(JP!AH136),"","x")</f>
        <v/>
      </c>
      <c r="AH132" t="str">
        <f>IF(ISBLANK(JP!AJ136),"","x")</f>
        <v/>
      </c>
      <c r="AI132" t="str">
        <f>IF(ISBLANK(JP!AK136),"","x")</f>
        <v/>
      </c>
      <c r="AJ132" t="str">
        <f>IF(ISBLANK(JP!AL136),"","x")</f>
        <v/>
      </c>
      <c r="AK132" t="str">
        <f>IF(ISBLANK(JP!AM136),"","x")</f>
        <v/>
      </c>
      <c r="AL132" t="str">
        <f>IF(ISBLANK(JP!AN136),"","x")</f>
        <v/>
      </c>
      <c r="AM132" t="str">
        <f>IF(ISBLANK(JP!AO136),"","x")</f>
        <v/>
      </c>
      <c r="AN132" t="str">
        <f>IF(ISBLANK(JP!AP136),"","x")</f>
        <v/>
      </c>
      <c r="AO132" t="str">
        <f>IF(ISBLANK(JP!AR136),"","x")</f>
        <v/>
      </c>
      <c r="AP132" t="str">
        <f>IF(ISBLANK(JP!AS136),"","x")</f>
        <v/>
      </c>
      <c r="AQ132" t="str">
        <f>IF(ISBLANK(JP!AT136),"","x")</f>
        <v/>
      </c>
      <c r="AR132" t="str">
        <f>IF(ISBLANK(JP!AU136),"","x")</f>
        <v/>
      </c>
      <c r="AS132" t="str">
        <f>IF(ISBLANK(JP!AV136),"","x")</f>
        <v/>
      </c>
      <c r="AT132" t="str">
        <f>IF(ISBLANK(JP!AW136),"","x")</f>
        <v/>
      </c>
      <c r="AU132" t="str">
        <f>IF(ISBLANK(JP!AX136),"","x")</f>
        <v/>
      </c>
    </row>
    <row r="133" spans="2:47">
      <c r="B133">
        <f>IF(ISBLANK(JP!AZ137),"",JP!AZ137)</f>
        <v>10044548</v>
      </c>
      <c r="C133" t="str">
        <f>IF(ISBLANK(JP!BA137),"",JP!BA137)</f>
        <v>KARTHIKA SUPERMARKET (YISHUN)</v>
      </c>
      <c r="D133" t="str">
        <f>IF(ISBLANK(JP!BC137),"",JP!BC137)</f>
        <v>101 YISHUN AVENUE 5</v>
      </c>
      <c r="E133">
        <f>IF(ISBLANK(JP!BB137),"",JP!BB137)</f>
        <v>1</v>
      </c>
      <c r="F133" t="str">
        <f>IF(ISBLANK(JP!D137),"","x")</f>
        <v/>
      </c>
      <c r="G133" t="str">
        <f>IF(ISBLANK(JP!E137),"","x")</f>
        <v/>
      </c>
      <c r="H133" t="str">
        <f>IF(ISBLANK(JP!F137),"","x")</f>
        <v/>
      </c>
      <c r="I133" t="str">
        <f>IF(ISBLANK(JP!G137),"","x")</f>
        <v/>
      </c>
      <c r="J133" t="str">
        <f>IF(ISBLANK(JP!H137),"","x")</f>
        <v/>
      </c>
      <c r="K133" t="str">
        <f>IF(ISBLANK(JP!I137),"","x")</f>
        <v/>
      </c>
      <c r="L133" t="str">
        <f>IF(ISBLANK(JP!J137),"","x")</f>
        <v/>
      </c>
      <c r="M133" t="str">
        <f>IF(ISBLANK(JP!L137),"","x")</f>
        <v/>
      </c>
      <c r="N133" t="str">
        <f>IF(ISBLANK(JP!M137),"","x")</f>
        <v/>
      </c>
      <c r="O133" t="str">
        <f>IF(ISBLANK(JP!N137),"","x")</f>
        <v/>
      </c>
      <c r="P133" t="str">
        <f>IF(ISBLANK(JP!O137),"","x")</f>
        <v/>
      </c>
      <c r="Q133" t="str">
        <f>IF(ISBLANK(JP!P137),"","x")</f>
        <v/>
      </c>
      <c r="R133" t="str">
        <f>IF(ISBLANK(JP!Q137),"","x")</f>
        <v/>
      </c>
      <c r="S133" t="str">
        <f>IF(ISBLANK(JP!R137),"","x")</f>
        <v/>
      </c>
      <c r="T133" t="str">
        <f>IF(ISBLANK(JP!T137),"","x")</f>
        <v/>
      </c>
      <c r="U133" t="str">
        <f>IF(ISBLANK(JP!U137),"","x")</f>
        <v/>
      </c>
      <c r="V133" t="str">
        <f>IF(ISBLANK(JP!V137),"","x")</f>
        <v/>
      </c>
      <c r="W133" t="str">
        <f>IF(ISBLANK(JP!W137),"","x")</f>
        <v/>
      </c>
      <c r="X133" t="str">
        <f>IF(ISBLANK(JP!X137),"","x")</f>
        <v/>
      </c>
      <c r="Y133" t="str">
        <f>IF(ISBLANK(JP!Y137),"","x")</f>
        <v/>
      </c>
      <c r="Z133" t="str">
        <f>IF(ISBLANK(JP!Z137),"","x")</f>
        <v/>
      </c>
      <c r="AA133" t="str">
        <f>IF(ISBLANK(JP!AB137),"","x")</f>
        <v/>
      </c>
      <c r="AB133" t="str">
        <f>IF(ISBLANK(JP!AC137),"","x")</f>
        <v/>
      </c>
      <c r="AC133" t="str">
        <f>IF(ISBLANK(JP!AD137),"","x")</f>
        <v/>
      </c>
      <c r="AD133" t="str">
        <f>IF(ISBLANK(JP!AE137),"","x")</f>
        <v/>
      </c>
      <c r="AE133" t="str">
        <f>IF(ISBLANK(JP!AF137),"","x")</f>
        <v/>
      </c>
      <c r="AF133" t="str">
        <f>IF(ISBLANK(JP!AG137),"","x")</f>
        <v>x</v>
      </c>
      <c r="AG133" t="str">
        <f>IF(ISBLANK(JP!AH137),"","x")</f>
        <v/>
      </c>
      <c r="AH133" t="str">
        <f>IF(ISBLANK(JP!AJ137),"","x")</f>
        <v/>
      </c>
      <c r="AI133" t="str">
        <f>IF(ISBLANK(JP!AK137),"","x")</f>
        <v/>
      </c>
      <c r="AJ133" t="str">
        <f>IF(ISBLANK(JP!AL137),"","x")</f>
        <v/>
      </c>
      <c r="AK133" t="str">
        <f>IF(ISBLANK(JP!AM137),"","x")</f>
        <v/>
      </c>
      <c r="AL133" t="str">
        <f>IF(ISBLANK(JP!AN137),"","x")</f>
        <v/>
      </c>
      <c r="AM133" t="str">
        <f>IF(ISBLANK(JP!AO137),"","x")</f>
        <v/>
      </c>
      <c r="AN133" t="str">
        <f>IF(ISBLANK(JP!AP137),"","x")</f>
        <v/>
      </c>
      <c r="AO133" t="str">
        <f>IF(ISBLANK(JP!AR137),"","x")</f>
        <v/>
      </c>
      <c r="AP133" t="str">
        <f>IF(ISBLANK(JP!AS137),"","x")</f>
        <v/>
      </c>
      <c r="AQ133" t="str">
        <f>IF(ISBLANK(JP!AT137),"","x")</f>
        <v/>
      </c>
      <c r="AR133" t="str">
        <f>IF(ISBLANK(JP!AU137),"","x")</f>
        <v/>
      </c>
      <c r="AS133" t="str">
        <f>IF(ISBLANK(JP!AV137),"","x")</f>
        <v/>
      </c>
      <c r="AT133" t="str">
        <f>IF(ISBLANK(JP!AW137),"","x")</f>
        <v/>
      </c>
      <c r="AU133" t="str">
        <f>IF(ISBLANK(JP!AX137),"","x")</f>
        <v/>
      </c>
    </row>
    <row r="134" spans="2:47">
      <c r="B134">
        <f>IF(ISBLANK(JP!AZ138),"",JP!AZ138)</f>
        <v>10030842</v>
      </c>
      <c r="C134" t="str">
        <f>IF(ISBLANK(JP!BA138),"",JP!BA138)</f>
        <v>KIM ENG MINI SUPERMARKET</v>
      </c>
      <c r="D134" t="str">
        <f>IF(ISBLANK(JP!BC138),"",JP!BC138)</f>
        <v>103 YISHUN RING ROAD</v>
      </c>
      <c r="E134">
        <f>IF(ISBLANK(JP!BB138),"",JP!BB138)</f>
        <v>1</v>
      </c>
      <c r="F134" t="str">
        <f>IF(ISBLANK(JP!D138),"","x")</f>
        <v/>
      </c>
      <c r="G134" t="str">
        <f>IF(ISBLANK(JP!E138),"","x")</f>
        <v/>
      </c>
      <c r="H134" t="str">
        <f>IF(ISBLANK(JP!F138),"","x")</f>
        <v/>
      </c>
      <c r="I134" t="str">
        <f>IF(ISBLANK(JP!G138),"","x")</f>
        <v/>
      </c>
      <c r="J134" t="str">
        <f>IF(ISBLANK(JP!H138),"","x")</f>
        <v/>
      </c>
      <c r="K134" t="str">
        <f>IF(ISBLANK(JP!I138),"","x")</f>
        <v/>
      </c>
      <c r="L134" t="str">
        <f>IF(ISBLANK(JP!J138),"","x")</f>
        <v/>
      </c>
      <c r="M134" t="str">
        <f>IF(ISBLANK(JP!L138),"","x")</f>
        <v/>
      </c>
      <c r="N134" t="str">
        <f>IF(ISBLANK(JP!M138),"","x")</f>
        <v/>
      </c>
      <c r="O134" t="str">
        <f>IF(ISBLANK(JP!N138),"","x")</f>
        <v/>
      </c>
      <c r="P134" t="str">
        <f>IF(ISBLANK(JP!O138),"","x")</f>
        <v/>
      </c>
      <c r="Q134" t="str">
        <f>IF(ISBLANK(JP!P138),"","x")</f>
        <v/>
      </c>
      <c r="R134" t="str">
        <f>IF(ISBLANK(JP!Q138),"","x")</f>
        <v/>
      </c>
      <c r="S134" t="str">
        <f>IF(ISBLANK(JP!R138),"","x")</f>
        <v/>
      </c>
      <c r="T134" t="str">
        <f>IF(ISBLANK(JP!T138),"","x")</f>
        <v/>
      </c>
      <c r="U134" t="str">
        <f>IF(ISBLANK(JP!U138),"","x")</f>
        <v/>
      </c>
      <c r="V134" t="str">
        <f>IF(ISBLANK(JP!V138),"","x")</f>
        <v/>
      </c>
      <c r="W134" t="str">
        <f>IF(ISBLANK(JP!W138),"","x")</f>
        <v/>
      </c>
      <c r="X134" t="str">
        <f>IF(ISBLANK(JP!X138),"","x")</f>
        <v/>
      </c>
      <c r="Y134" t="str">
        <f>IF(ISBLANK(JP!Y138),"","x")</f>
        <v/>
      </c>
      <c r="Z134" t="str">
        <f>IF(ISBLANK(JP!Z138),"","x")</f>
        <v/>
      </c>
      <c r="AA134" t="str">
        <f>IF(ISBLANK(JP!AB138),"","x")</f>
        <v/>
      </c>
      <c r="AB134" t="str">
        <f>IF(ISBLANK(JP!AC138),"","x")</f>
        <v/>
      </c>
      <c r="AC134" t="str">
        <f>IF(ISBLANK(JP!AD138),"","x")</f>
        <v/>
      </c>
      <c r="AD134" t="str">
        <f>IF(ISBLANK(JP!AE138),"","x")</f>
        <v/>
      </c>
      <c r="AE134" t="str">
        <f>IF(ISBLANK(JP!AF138),"","x")</f>
        <v/>
      </c>
      <c r="AF134" t="str">
        <f>IF(ISBLANK(JP!AG138),"","x")</f>
        <v>x</v>
      </c>
      <c r="AG134" t="str">
        <f>IF(ISBLANK(JP!AH138),"","x")</f>
        <v/>
      </c>
      <c r="AH134" t="str">
        <f>IF(ISBLANK(JP!AJ138),"","x")</f>
        <v/>
      </c>
      <c r="AI134" t="str">
        <f>IF(ISBLANK(JP!AK138),"","x")</f>
        <v/>
      </c>
      <c r="AJ134" t="str">
        <f>IF(ISBLANK(JP!AL138),"","x")</f>
        <v/>
      </c>
      <c r="AK134" t="str">
        <f>IF(ISBLANK(JP!AM138),"","x")</f>
        <v/>
      </c>
      <c r="AL134" t="str">
        <f>IF(ISBLANK(JP!AN138),"","x")</f>
        <v/>
      </c>
      <c r="AM134" t="str">
        <f>IF(ISBLANK(JP!AO138),"","x")</f>
        <v/>
      </c>
      <c r="AN134" t="str">
        <f>IF(ISBLANK(JP!AP138),"","x")</f>
        <v/>
      </c>
      <c r="AO134" t="str">
        <f>IF(ISBLANK(JP!AR138),"","x")</f>
        <v/>
      </c>
      <c r="AP134" t="str">
        <f>IF(ISBLANK(JP!AS138),"","x")</f>
        <v/>
      </c>
      <c r="AQ134" t="str">
        <f>IF(ISBLANK(JP!AT138),"","x")</f>
        <v/>
      </c>
      <c r="AR134" t="str">
        <f>IF(ISBLANK(JP!AU138),"","x")</f>
        <v/>
      </c>
      <c r="AS134" t="str">
        <f>IF(ISBLANK(JP!AV138),"","x")</f>
        <v/>
      </c>
      <c r="AT134" t="str">
        <f>IF(ISBLANK(JP!AW138),"","x")</f>
        <v/>
      </c>
      <c r="AU134" t="str">
        <f>IF(ISBLANK(JP!AX138),"","x")</f>
        <v/>
      </c>
    </row>
    <row r="135" spans="2:47">
      <c r="B135">
        <f>IF(ISBLANK(JP!AZ139),"",JP!AZ139)</f>
        <v>10043492</v>
      </c>
      <c r="C135" t="str">
        <f>IF(ISBLANK(JP!BA139),"",JP!BA139)</f>
        <v>GUAN HUAT PROVISION SHOP (YISHUN)</v>
      </c>
      <c r="D135" t="str">
        <f>IF(ISBLANK(JP!BC139),"",JP!BC139)</f>
        <v>103 YISHUN RING ROAD</v>
      </c>
      <c r="E135">
        <f>IF(ISBLANK(JP!BB139),"",JP!BB139)</f>
        <v>1</v>
      </c>
      <c r="F135" t="str">
        <f>IF(ISBLANK(JP!D139),"","x")</f>
        <v/>
      </c>
      <c r="G135" t="str">
        <f>IF(ISBLANK(JP!E139),"","x")</f>
        <v/>
      </c>
      <c r="H135" t="str">
        <f>IF(ISBLANK(JP!F139),"","x")</f>
        <v/>
      </c>
      <c r="I135" t="str">
        <f>IF(ISBLANK(JP!G139),"","x")</f>
        <v/>
      </c>
      <c r="J135" t="str">
        <f>IF(ISBLANK(JP!H139),"","x")</f>
        <v/>
      </c>
      <c r="K135" t="str">
        <f>IF(ISBLANK(JP!I139),"","x")</f>
        <v/>
      </c>
      <c r="L135" t="str">
        <f>IF(ISBLANK(JP!J139),"","x")</f>
        <v/>
      </c>
      <c r="M135" t="str">
        <f>IF(ISBLANK(JP!L139),"","x")</f>
        <v/>
      </c>
      <c r="N135" t="str">
        <f>IF(ISBLANK(JP!M139),"","x")</f>
        <v/>
      </c>
      <c r="O135" t="str">
        <f>IF(ISBLANK(JP!N139),"","x")</f>
        <v/>
      </c>
      <c r="P135" t="str">
        <f>IF(ISBLANK(JP!O139),"","x")</f>
        <v/>
      </c>
      <c r="Q135" t="str">
        <f>IF(ISBLANK(JP!P139),"","x")</f>
        <v/>
      </c>
      <c r="R135" t="str">
        <f>IF(ISBLANK(JP!Q139),"","x")</f>
        <v/>
      </c>
      <c r="S135" t="str">
        <f>IF(ISBLANK(JP!R139),"","x")</f>
        <v/>
      </c>
      <c r="T135" t="str">
        <f>IF(ISBLANK(JP!T139),"","x")</f>
        <v/>
      </c>
      <c r="U135" t="str">
        <f>IF(ISBLANK(JP!U139),"","x")</f>
        <v/>
      </c>
      <c r="V135" t="str">
        <f>IF(ISBLANK(JP!V139),"","x")</f>
        <v/>
      </c>
      <c r="W135" t="str">
        <f>IF(ISBLANK(JP!W139),"","x")</f>
        <v/>
      </c>
      <c r="X135" t="str">
        <f>IF(ISBLANK(JP!X139),"","x")</f>
        <v/>
      </c>
      <c r="Y135" t="str">
        <f>IF(ISBLANK(JP!Y139),"","x")</f>
        <v/>
      </c>
      <c r="Z135" t="str">
        <f>IF(ISBLANK(JP!Z139),"","x")</f>
        <v/>
      </c>
      <c r="AA135" t="str">
        <f>IF(ISBLANK(JP!AB139),"","x")</f>
        <v/>
      </c>
      <c r="AB135" t="str">
        <f>IF(ISBLANK(JP!AC139),"","x")</f>
        <v/>
      </c>
      <c r="AC135" t="str">
        <f>IF(ISBLANK(JP!AD139),"","x")</f>
        <v/>
      </c>
      <c r="AD135" t="str">
        <f>IF(ISBLANK(JP!AE139),"","x")</f>
        <v/>
      </c>
      <c r="AE135" t="str">
        <f>IF(ISBLANK(JP!AF139),"","x")</f>
        <v/>
      </c>
      <c r="AF135" t="str">
        <f>IF(ISBLANK(JP!AG139),"","x")</f>
        <v>x</v>
      </c>
      <c r="AG135" t="str">
        <f>IF(ISBLANK(JP!AH139),"","x")</f>
        <v/>
      </c>
      <c r="AH135" t="str">
        <f>IF(ISBLANK(JP!AJ139),"","x")</f>
        <v/>
      </c>
      <c r="AI135" t="str">
        <f>IF(ISBLANK(JP!AK139),"","x")</f>
        <v/>
      </c>
      <c r="AJ135" t="str">
        <f>IF(ISBLANK(JP!AL139),"","x")</f>
        <v/>
      </c>
      <c r="AK135" t="str">
        <f>IF(ISBLANK(JP!AM139),"","x")</f>
        <v/>
      </c>
      <c r="AL135" t="str">
        <f>IF(ISBLANK(JP!AN139),"","x")</f>
        <v/>
      </c>
      <c r="AM135" t="str">
        <f>IF(ISBLANK(JP!AO139),"","x")</f>
        <v/>
      </c>
      <c r="AN135" t="str">
        <f>IF(ISBLANK(JP!AP139),"","x")</f>
        <v/>
      </c>
      <c r="AO135" t="str">
        <f>IF(ISBLANK(JP!AR139),"","x")</f>
        <v/>
      </c>
      <c r="AP135" t="str">
        <f>IF(ISBLANK(JP!AS139),"","x")</f>
        <v/>
      </c>
      <c r="AQ135" t="str">
        <f>IF(ISBLANK(JP!AT139),"","x")</f>
        <v/>
      </c>
      <c r="AR135" t="str">
        <f>IF(ISBLANK(JP!AU139),"","x")</f>
        <v/>
      </c>
      <c r="AS135" t="str">
        <f>IF(ISBLANK(JP!AV139),"","x")</f>
        <v/>
      </c>
      <c r="AT135" t="str">
        <f>IF(ISBLANK(JP!AW139),"","x")</f>
        <v/>
      </c>
      <c r="AU135" t="str">
        <f>IF(ISBLANK(JP!AX139),"","x")</f>
        <v/>
      </c>
    </row>
    <row r="136" spans="2:47">
      <c r="B136">
        <f>IF(ISBLANK(JP!AZ140),"",JP!AZ140)</f>
        <v>10046045</v>
      </c>
      <c r="C136" t="str">
        <f>IF(ISBLANK(JP!BA140),"",JP!BA140)</f>
        <v>SRI SAI KRUPA TRADING PTE. LTD.</v>
      </c>
      <c r="D136" t="str">
        <f>IF(ISBLANK(JP!BC140),"",JP!BC140)</f>
        <v>103 YISHUN RING ROAD</v>
      </c>
      <c r="E136">
        <f>IF(ISBLANK(JP!BB140),"",JP!BB140)</f>
        <v>1</v>
      </c>
      <c r="F136" t="str">
        <f>IF(ISBLANK(JP!D140),"","x")</f>
        <v/>
      </c>
      <c r="G136" t="str">
        <f>IF(ISBLANK(JP!E140),"","x")</f>
        <v/>
      </c>
      <c r="H136" t="str">
        <f>IF(ISBLANK(JP!F140),"","x")</f>
        <v/>
      </c>
      <c r="I136" t="str">
        <f>IF(ISBLANK(JP!G140),"","x")</f>
        <v/>
      </c>
      <c r="J136" t="str">
        <f>IF(ISBLANK(JP!H140),"","x")</f>
        <v/>
      </c>
      <c r="K136" t="str">
        <f>IF(ISBLANK(JP!I140),"","x")</f>
        <v/>
      </c>
      <c r="L136" t="str">
        <f>IF(ISBLANK(JP!J140),"","x")</f>
        <v/>
      </c>
      <c r="M136" t="str">
        <f>IF(ISBLANK(JP!L140),"","x")</f>
        <v/>
      </c>
      <c r="N136" t="str">
        <f>IF(ISBLANK(JP!M140),"","x")</f>
        <v/>
      </c>
      <c r="O136" t="str">
        <f>IF(ISBLANK(JP!N140),"","x")</f>
        <v/>
      </c>
      <c r="P136" t="str">
        <f>IF(ISBLANK(JP!O140),"","x")</f>
        <v/>
      </c>
      <c r="Q136" t="str">
        <f>IF(ISBLANK(JP!P140),"","x")</f>
        <v/>
      </c>
      <c r="R136" t="str">
        <f>IF(ISBLANK(JP!Q140),"","x")</f>
        <v/>
      </c>
      <c r="S136" t="str">
        <f>IF(ISBLANK(JP!R140),"","x")</f>
        <v/>
      </c>
      <c r="T136" t="str">
        <f>IF(ISBLANK(JP!T140),"","x")</f>
        <v/>
      </c>
      <c r="U136" t="str">
        <f>IF(ISBLANK(JP!U140),"","x")</f>
        <v/>
      </c>
      <c r="V136" t="str">
        <f>IF(ISBLANK(JP!V140),"","x")</f>
        <v/>
      </c>
      <c r="W136" t="str">
        <f>IF(ISBLANK(JP!W140),"","x")</f>
        <v/>
      </c>
      <c r="X136" t="str">
        <f>IF(ISBLANK(JP!X140),"","x")</f>
        <v/>
      </c>
      <c r="Y136" t="str">
        <f>IF(ISBLANK(JP!Y140),"","x")</f>
        <v/>
      </c>
      <c r="Z136" t="str">
        <f>IF(ISBLANK(JP!Z140),"","x")</f>
        <v/>
      </c>
      <c r="AA136" t="str">
        <f>IF(ISBLANK(JP!AB140),"","x")</f>
        <v/>
      </c>
      <c r="AB136" t="str">
        <f>IF(ISBLANK(JP!AC140),"","x")</f>
        <v/>
      </c>
      <c r="AC136" t="str">
        <f>IF(ISBLANK(JP!AD140),"","x")</f>
        <v/>
      </c>
      <c r="AD136" t="str">
        <f>IF(ISBLANK(JP!AE140),"","x")</f>
        <v/>
      </c>
      <c r="AE136" t="str">
        <f>IF(ISBLANK(JP!AF140),"","x")</f>
        <v/>
      </c>
      <c r="AF136" t="str">
        <f>IF(ISBLANK(JP!AG140),"","x")</f>
        <v>x</v>
      </c>
      <c r="AG136" t="str">
        <f>IF(ISBLANK(JP!AH140),"","x")</f>
        <v/>
      </c>
      <c r="AH136" t="str">
        <f>IF(ISBLANK(JP!AJ140),"","x")</f>
        <v/>
      </c>
      <c r="AI136" t="str">
        <f>IF(ISBLANK(JP!AK140),"","x")</f>
        <v/>
      </c>
      <c r="AJ136" t="str">
        <f>IF(ISBLANK(JP!AL140),"","x")</f>
        <v/>
      </c>
      <c r="AK136" t="str">
        <f>IF(ISBLANK(JP!AM140),"","x")</f>
        <v/>
      </c>
      <c r="AL136" t="str">
        <f>IF(ISBLANK(JP!AN140),"","x")</f>
        <v/>
      </c>
      <c r="AM136" t="str">
        <f>IF(ISBLANK(JP!AO140),"","x")</f>
        <v/>
      </c>
      <c r="AN136" t="str">
        <f>IF(ISBLANK(JP!AP140),"","x")</f>
        <v/>
      </c>
      <c r="AO136" t="str">
        <f>IF(ISBLANK(JP!AR140),"","x")</f>
        <v/>
      </c>
      <c r="AP136" t="str">
        <f>IF(ISBLANK(JP!AS140),"","x")</f>
        <v/>
      </c>
      <c r="AQ136" t="str">
        <f>IF(ISBLANK(JP!AT140),"","x")</f>
        <v/>
      </c>
      <c r="AR136" t="str">
        <f>IF(ISBLANK(JP!AU140),"","x")</f>
        <v/>
      </c>
      <c r="AS136" t="str">
        <f>IF(ISBLANK(JP!AV140),"","x")</f>
        <v/>
      </c>
      <c r="AT136" t="str">
        <f>IF(ISBLANK(JP!AW140),"","x")</f>
        <v/>
      </c>
      <c r="AU136" t="str">
        <f>IF(ISBLANK(JP!AX140),"","x")</f>
        <v/>
      </c>
    </row>
    <row r="137" spans="2:47">
      <c r="B137">
        <f>IF(ISBLANK(JP!AZ141),"",JP!AZ141)</f>
        <v>10005564</v>
      </c>
      <c r="C137" t="str">
        <f>IF(ISBLANK(JP!BA141),"",JP!BA141)</f>
        <v>LIM NAM THYE PROVISION SHOP</v>
      </c>
      <c r="D137" t="str">
        <f>IF(ISBLANK(JP!BC141),"",JP!BC141)</f>
        <v>110 YISHUN RING ROAD</v>
      </c>
      <c r="E137">
        <f>IF(ISBLANK(JP!BB141),"",JP!BB141)</f>
        <v>1</v>
      </c>
      <c r="F137" t="str">
        <f>IF(ISBLANK(JP!D141),"","x")</f>
        <v/>
      </c>
      <c r="G137" t="str">
        <f>IF(ISBLANK(JP!E141),"","x")</f>
        <v/>
      </c>
      <c r="H137" t="str">
        <f>IF(ISBLANK(JP!F141),"","x")</f>
        <v/>
      </c>
      <c r="I137" t="str">
        <f>IF(ISBLANK(JP!G141),"","x")</f>
        <v/>
      </c>
      <c r="J137" t="str">
        <f>IF(ISBLANK(JP!H141),"","x")</f>
        <v/>
      </c>
      <c r="K137" t="str">
        <f>IF(ISBLANK(JP!I141),"","x")</f>
        <v/>
      </c>
      <c r="L137" t="str">
        <f>IF(ISBLANK(JP!J141),"","x")</f>
        <v/>
      </c>
      <c r="M137" t="str">
        <f>IF(ISBLANK(JP!L141),"","x")</f>
        <v/>
      </c>
      <c r="N137" t="str">
        <f>IF(ISBLANK(JP!M141),"","x")</f>
        <v/>
      </c>
      <c r="O137" t="str">
        <f>IF(ISBLANK(JP!N141),"","x")</f>
        <v/>
      </c>
      <c r="P137" t="str">
        <f>IF(ISBLANK(JP!O141),"","x")</f>
        <v/>
      </c>
      <c r="Q137" t="str">
        <f>IF(ISBLANK(JP!P141),"","x")</f>
        <v/>
      </c>
      <c r="R137" t="str">
        <f>IF(ISBLANK(JP!Q141),"","x")</f>
        <v/>
      </c>
      <c r="S137" t="str">
        <f>IF(ISBLANK(JP!R141),"","x")</f>
        <v/>
      </c>
      <c r="T137" t="str">
        <f>IF(ISBLANK(JP!T141),"","x")</f>
        <v/>
      </c>
      <c r="U137" t="str">
        <f>IF(ISBLANK(JP!U141),"","x")</f>
        <v/>
      </c>
      <c r="V137" t="str">
        <f>IF(ISBLANK(JP!V141),"","x")</f>
        <v/>
      </c>
      <c r="W137" t="str">
        <f>IF(ISBLANK(JP!W141),"","x")</f>
        <v/>
      </c>
      <c r="X137" t="str">
        <f>IF(ISBLANK(JP!X141),"","x")</f>
        <v/>
      </c>
      <c r="Y137" t="str">
        <f>IF(ISBLANK(JP!Y141),"","x")</f>
        <v/>
      </c>
      <c r="Z137" t="str">
        <f>IF(ISBLANK(JP!Z141),"","x")</f>
        <v/>
      </c>
      <c r="AA137" t="str">
        <f>IF(ISBLANK(JP!AB141),"","x")</f>
        <v/>
      </c>
      <c r="AB137" t="str">
        <f>IF(ISBLANK(JP!AC141),"","x")</f>
        <v/>
      </c>
      <c r="AC137" t="str">
        <f>IF(ISBLANK(JP!AD141),"","x")</f>
        <v/>
      </c>
      <c r="AD137" t="str">
        <f>IF(ISBLANK(JP!AE141),"","x")</f>
        <v/>
      </c>
      <c r="AE137" t="str">
        <f>IF(ISBLANK(JP!AF141),"","x")</f>
        <v/>
      </c>
      <c r="AF137" t="str">
        <f>IF(ISBLANK(JP!AG141),"","x")</f>
        <v>x</v>
      </c>
      <c r="AG137" t="str">
        <f>IF(ISBLANK(JP!AH141),"","x")</f>
        <v/>
      </c>
      <c r="AH137" t="str">
        <f>IF(ISBLANK(JP!AJ141),"","x")</f>
        <v/>
      </c>
      <c r="AI137" t="str">
        <f>IF(ISBLANK(JP!AK141),"","x")</f>
        <v/>
      </c>
      <c r="AJ137" t="str">
        <f>IF(ISBLANK(JP!AL141),"","x")</f>
        <v/>
      </c>
      <c r="AK137" t="str">
        <f>IF(ISBLANK(JP!AM141),"","x")</f>
        <v/>
      </c>
      <c r="AL137" t="str">
        <f>IF(ISBLANK(JP!AN141),"","x")</f>
        <v/>
      </c>
      <c r="AM137" t="str">
        <f>IF(ISBLANK(JP!AO141),"","x")</f>
        <v/>
      </c>
      <c r="AN137" t="str">
        <f>IF(ISBLANK(JP!AP141),"","x")</f>
        <v/>
      </c>
      <c r="AO137" t="str">
        <f>IF(ISBLANK(JP!AR141),"","x")</f>
        <v/>
      </c>
      <c r="AP137" t="str">
        <f>IF(ISBLANK(JP!AS141),"","x")</f>
        <v/>
      </c>
      <c r="AQ137" t="str">
        <f>IF(ISBLANK(JP!AT141),"","x")</f>
        <v/>
      </c>
      <c r="AR137" t="str">
        <f>IF(ISBLANK(JP!AU141),"","x")</f>
        <v/>
      </c>
      <c r="AS137" t="str">
        <f>IF(ISBLANK(JP!AV141),"","x")</f>
        <v/>
      </c>
      <c r="AT137" t="str">
        <f>IF(ISBLANK(JP!AW141),"","x")</f>
        <v/>
      </c>
      <c r="AU137" t="str">
        <f>IF(ISBLANK(JP!AX141),"","x")</f>
        <v/>
      </c>
    </row>
    <row r="138" spans="2:47">
      <c r="B138">
        <f>IF(ISBLANK(JP!AZ142),"",JP!AZ142)</f>
        <v>10043348</v>
      </c>
      <c r="C138" t="str">
        <f>IF(ISBLANK(JP!BA142),"",JP!BA142)</f>
        <v>ANGEL SUPERMART (YISHUN)</v>
      </c>
      <c r="D138" t="str">
        <f>IF(ISBLANK(JP!BC142),"",JP!BC142)</f>
        <v>110 YISHUN RING ROAD</v>
      </c>
      <c r="E138">
        <f>IF(ISBLANK(JP!BB142),"",JP!BB142)</f>
        <v>1</v>
      </c>
      <c r="F138" t="str">
        <f>IF(ISBLANK(JP!D142),"","x")</f>
        <v/>
      </c>
      <c r="G138" t="str">
        <f>IF(ISBLANK(JP!E142),"","x")</f>
        <v/>
      </c>
      <c r="H138" t="str">
        <f>IF(ISBLANK(JP!F142),"","x")</f>
        <v/>
      </c>
      <c r="I138" t="str">
        <f>IF(ISBLANK(JP!G142),"","x")</f>
        <v/>
      </c>
      <c r="J138" t="str">
        <f>IF(ISBLANK(JP!H142),"","x")</f>
        <v/>
      </c>
      <c r="K138" t="str">
        <f>IF(ISBLANK(JP!I142),"","x")</f>
        <v/>
      </c>
      <c r="L138" t="str">
        <f>IF(ISBLANK(JP!J142),"","x")</f>
        <v/>
      </c>
      <c r="M138" t="str">
        <f>IF(ISBLANK(JP!L142),"","x")</f>
        <v/>
      </c>
      <c r="N138" t="str">
        <f>IF(ISBLANK(JP!M142),"","x")</f>
        <v/>
      </c>
      <c r="O138" t="str">
        <f>IF(ISBLANK(JP!N142),"","x")</f>
        <v/>
      </c>
      <c r="P138" t="str">
        <f>IF(ISBLANK(JP!O142),"","x")</f>
        <v/>
      </c>
      <c r="Q138" t="str">
        <f>IF(ISBLANK(JP!P142),"","x")</f>
        <v/>
      </c>
      <c r="R138" t="str">
        <f>IF(ISBLANK(JP!Q142),"","x")</f>
        <v/>
      </c>
      <c r="S138" t="str">
        <f>IF(ISBLANK(JP!R142),"","x")</f>
        <v/>
      </c>
      <c r="T138" t="str">
        <f>IF(ISBLANK(JP!T142),"","x")</f>
        <v/>
      </c>
      <c r="U138" t="str">
        <f>IF(ISBLANK(JP!U142),"","x")</f>
        <v/>
      </c>
      <c r="V138" t="str">
        <f>IF(ISBLANK(JP!V142),"","x")</f>
        <v/>
      </c>
      <c r="W138" t="str">
        <f>IF(ISBLANK(JP!W142),"","x")</f>
        <v/>
      </c>
      <c r="X138" t="str">
        <f>IF(ISBLANK(JP!X142),"","x")</f>
        <v/>
      </c>
      <c r="Y138" t="str">
        <f>IF(ISBLANK(JP!Y142),"","x")</f>
        <v/>
      </c>
      <c r="Z138" t="str">
        <f>IF(ISBLANK(JP!Z142),"","x")</f>
        <v/>
      </c>
      <c r="AA138" t="str">
        <f>IF(ISBLANK(JP!AB142),"","x")</f>
        <v/>
      </c>
      <c r="AB138" t="str">
        <f>IF(ISBLANK(JP!AC142),"","x")</f>
        <v/>
      </c>
      <c r="AC138" t="str">
        <f>IF(ISBLANK(JP!AD142),"","x")</f>
        <v/>
      </c>
      <c r="AD138" t="str">
        <f>IF(ISBLANK(JP!AE142),"","x")</f>
        <v/>
      </c>
      <c r="AE138" t="str">
        <f>IF(ISBLANK(JP!AF142),"","x")</f>
        <v/>
      </c>
      <c r="AF138" t="str">
        <f>IF(ISBLANK(JP!AG142),"","x")</f>
        <v>x</v>
      </c>
      <c r="AG138" t="str">
        <f>IF(ISBLANK(JP!AH142),"","x")</f>
        <v/>
      </c>
      <c r="AH138" t="str">
        <f>IF(ISBLANK(JP!AJ142),"","x")</f>
        <v/>
      </c>
      <c r="AI138" t="str">
        <f>IF(ISBLANK(JP!AK142),"","x")</f>
        <v/>
      </c>
      <c r="AJ138" t="str">
        <f>IF(ISBLANK(JP!AL142),"","x")</f>
        <v/>
      </c>
      <c r="AK138" t="str">
        <f>IF(ISBLANK(JP!AM142),"","x")</f>
        <v/>
      </c>
      <c r="AL138" t="str">
        <f>IF(ISBLANK(JP!AN142),"","x")</f>
        <v/>
      </c>
      <c r="AM138" t="str">
        <f>IF(ISBLANK(JP!AO142),"","x")</f>
        <v/>
      </c>
      <c r="AN138" t="str">
        <f>IF(ISBLANK(JP!AP142),"","x")</f>
        <v/>
      </c>
      <c r="AO138" t="str">
        <f>IF(ISBLANK(JP!AR142),"","x")</f>
        <v/>
      </c>
      <c r="AP138" t="str">
        <f>IF(ISBLANK(JP!AS142),"","x")</f>
        <v/>
      </c>
      <c r="AQ138" t="str">
        <f>IF(ISBLANK(JP!AT142),"","x")</f>
        <v/>
      </c>
      <c r="AR138" t="str">
        <f>IF(ISBLANK(JP!AU142),"","x")</f>
        <v/>
      </c>
      <c r="AS138" t="str">
        <f>IF(ISBLANK(JP!AV142),"","x")</f>
        <v/>
      </c>
      <c r="AT138" t="str">
        <f>IF(ISBLANK(JP!AW142),"","x")</f>
        <v/>
      </c>
      <c r="AU138" t="str">
        <f>IF(ISBLANK(JP!AX142),"","x")</f>
        <v/>
      </c>
    </row>
    <row r="139" spans="2:47">
      <c r="B139">
        <f>IF(ISBLANK(JP!AZ143),"",JP!AZ143)</f>
        <v>10012594</v>
      </c>
      <c r="C139" t="str">
        <f>IF(ISBLANK(JP!BA143),"",JP!BA143)</f>
        <v>WILSON MINI MART</v>
      </c>
      <c r="D139" t="str">
        <f>IF(ISBLANK(JP!BC143),"",JP!BC143)</f>
        <v>156 YISHUN STREET 11</v>
      </c>
      <c r="E139">
        <f>IF(ISBLANK(JP!BB143),"",JP!BB143)</f>
        <v>1</v>
      </c>
      <c r="F139" t="str">
        <f>IF(ISBLANK(JP!D143),"","x")</f>
        <v/>
      </c>
      <c r="G139" t="str">
        <f>IF(ISBLANK(JP!E143),"","x")</f>
        <v/>
      </c>
      <c r="H139" t="str">
        <f>IF(ISBLANK(JP!F143),"","x")</f>
        <v/>
      </c>
      <c r="I139" t="str">
        <f>IF(ISBLANK(JP!G143),"","x")</f>
        <v/>
      </c>
      <c r="J139" t="str">
        <f>IF(ISBLANK(JP!H143),"","x")</f>
        <v/>
      </c>
      <c r="K139" t="str">
        <f>IF(ISBLANK(JP!I143),"","x")</f>
        <v/>
      </c>
      <c r="L139" t="str">
        <f>IF(ISBLANK(JP!J143),"","x")</f>
        <v/>
      </c>
      <c r="M139" t="str">
        <f>IF(ISBLANK(JP!L143),"","x")</f>
        <v/>
      </c>
      <c r="N139" t="str">
        <f>IF(ISBLANK(JP!M143),"","x")</f>
        <v/>
      </c>
      <c r="O139" t="str">
        <f>IF(ISBLANK(JP!N143),"","x")</f>
        <v/>
      </c>
      <c r="P139" t="str">
        <f>IF(ISBLANK(JP!O143),"","x")</f>
        <v/>
      </c>
      <c r="Q139" t="str">
        <f>IF(ISBLANK(JP!P143),"","x")</f>
        <v/>
      </c>
      <c r="R139" t="str">
        <f>IF(ISBLANK(JP!Q143),"","x")</f>
        <v/>
      </c>
      <c r="S139" t="str">
        <f>IF(ISBLANK(JP!R143),"","x")</f>
        <v/>
      </c>
      <c r="T139" t="str">
        <f>IF(ISBLANK(JP!T143),"","x")</f>
        <v/>
      </c>
      <c r="U139" t="str">
        <f>IF(ISBLANK(JP!U143),"","x")</f>
        <v/>
      </c>
      <c r="V139" t="str">
        <f>IF(ISBLANK(JP!V143),"","x")</f>
        <v/>
      </c>
      <c r="W139" t="str">
        <f>IF(ISBLANK(JP!W143),"","x")</f>
        <v/>
      </c>
      <c r="X139" t="str">
        <f>IF(ISBLANK(JP!X143),"","x")</f>
        <v/>
      </c>
      <c r="Y139" t="str">
        <f>IF(ISBLANK(JP!Y143),"","x")</f>
        <v/>
      </c>
      <c r="Z139" t="str">
        <f>IF(ISBLANK(JP!Z143),"","x")</f>
        <v/>
      </c>
      <c r="AA139" t="str">
        <f>IF(ISBLANK(JP!AB143),"","x")</f>
        <v/>
      </c>
      <c r="AB139" t="str">
        <f>IF(ISBLANK(JP!AC143),"","x")</f>
        <v/>
      </c>
      <c r="AC139" t="str">
        <f>IF(ISBLANK(JP!AD143),"","x")</f>
        <v/>
      </c>
      <c r="AD139" t="str">
        <f>IF(ISBLANK(JP!AE143),"","x")</f>
        <v/>
      </c>
      <c r="AE139" t="str">
        <f>IF(ISBLANK(JP!AF143),"","x")</f>
        <v/>
      </c>
      <c r="AF139" t="str">
        <f>IF(ISBLANK(JP!AG143),"","x")</f>
        <v>x</v>
      </c>
      <c r="AG139" t="str">
        <f>IF(ISBLANK(JP!AH143),"","x")</f>
        <v/>
      </c>
      <c r="AH139" t="str">
        <f>IF(ISBLANK(JP!AJ143),"","x")</f>
        <v/>
      </c>
      <c r="AI139" t="str">
        <f>IF(ISBLANK(JP!AK143),"","x")</f>
        <v/>
      </c>
      <c r="AJ139" t="str">
        <f>IF(ISBLANK(JP!AL143),"","x")</f>
        <v/>
      </c>
      <c r="AK139" t="str">
        <f>IF(ISBLANK(JP!AM143),"","x")</f>
        <v/>
      </c>
      <c r="AL139" t="str">
        <f>IF(ISBLANK(JP!AN143),"","x")</f>
        <v/>
      </c>
      <c r="AM139" t="str">
        <f>IF(ISBLANK(JP!AO143),"","x")</f>
        <v/>
      </c>
      <c r="AN139" t="str">
        <f>IF(ISBLANK(JP!AP143),"","x")</f>
        <v/>
      </c>
      <c r="AO139" t="str">
        <f>IF(ISBLANK(JP!AR143),"","x")</f>
        <v/>
      </c>
      <c r="AP139" t="str">
        <f>IF(ISBLANK(JP!AS143),"","x")</f>
        <v/>
      </c>
      <c r="AQ139" t="str">
        <f>IF(ISBLANK(JP!AT143),"","x")</f>
        <v/>
      </c>
      <c r="AR139" t="str">
        <f>IF(ISBLANK(JP!AU143),"","x")</f>
        <v/>
      </c>
      <c r="AS139" t="str">
        <f>IF(ISBLANK(JP!AV143),"","x")</f>
        <v/>
      </c>
      <c r="AT139" t="str">
        <f>IF(ISBLANK(JP!AW143),"","x")</f>
        <v/>
      </c>
      <c r="AU139" t="str">
        <f>IF(ISBLANK(JP!AX143),"","x")</f>
        <v/>
      </c>
    </row>
    <row r="140" spans="2:47">
      <c r="B140">
        <f>IF(ISBLANK(JP!AZ144),"",JP!AZ144)</f>
        <v>10040176</v>
      </c>
      <c r="C140" t="str">
        <f>IF(ISBLANK(JP!BA144),"",JP!BA144)</f>
        <v>MAY MYANMAR MINIMART</v>
      </c>
      <c r="D140" t="str">
        <f>IF(ISBLANK(JP!BC144),"",JP!BC144)</f>
        <v>156 YISHUN STREET 11</v>
      </c>
      <c r="E140">
        <f>IF(ISBLANK(JP!BB144),"",JP!BB144)</f>
        <v>1</v>
      </c>
      <c r="F140" t="str">
        <f>IF(ISBLANK(JP!D144),"","x")</f>
        <v/>
      </c>
      <c r="G140" t="str">
        <f>IF(ISBLANK(JP!E144),"","x")</f>
        <v/>
      </c>
      <c r="H140" t="str">
        <f>IF(ISBLANK(JP!F144),"","x")</f>
        <v/>
      </c>
      <c r="I140" t="str">
        <f>IF(ISBLANK(JP!G144),"","x")</f>
        <v/>
      </c>
      <c r="J140" t="str">
        <f>IF(ISBLANK(JP!H144),"","x")</f>
        <v/>
      </c>
      <c r="K140" t="str">
        <f>IF(ISBLANK(JP!I144),"","x")</f>
        <v/>
      </c>
      <c r="L140" t="str">
        <f>IF(ISBLANK(JP!J144),"","x")</f>
        <v/>
      </c>
      <c r="M140" t="str">
        <f>IF(ISBLANK(JP!L144),"","x")</f>
        <v/>
      </c>
      <c r="N140" t="str">
        <f>IF(ISBLANK(JP!M144),"","x")</f>
        <v/>
      </c>
      <c r="O140" t="str">
        <f>IF(ISBLANK(JP!N144),"","x")</f>
        <v/>
      </c>
      <c r="P140" t="str">
        <f>IF(ISBLANK(JP!O144),"","x")</f>
        <v/>
      </c>
      <c r="Q140" t="str">
        <f>IF(ISBLANK(JP!P144),"","x")</f>
        <v/>
      </c>
      <c r="R140" t="str">
        <f>IF(ISBLANK(JP!Q144),"","x")</f>
        <v/>
      </c>
      <c r="S140" t="str">
        <f>IF(ISBLANK(JP!R144),"","x")</f>
        <v/>
      </c>
      <c r="T140" t="str">
        <f>IF(ISBLANK(JP!T144),"","x")</f>
        <v/>
      </c>
      <c r="U140" t="str">
        <f>IF(ISBLANK(JP!U144),"","x")</f>
        <v/>
      </c>
      <c r="V140" t="str">
        <f>IF(ISBLANK(JP!V144),"","x")</f>
        <v/>
      </c>
      <c r="W140" t="str">
        <f>IF(ISBLANK(JP!W144),"","x")</f>
        <v/>
      </c>
      <c r="X140" t="str">
        <f>IF(ISBLANK(JP!X144),"","x")</f>
        <v/>
      </c>
      <c r="Y140" t="str">
        <f>IF(ISBLANK(JP!Y144),"","x")</f>
        <v/>
      </c>
      <c r="Z140" t="str">
        <f>IF(ISBLANK(JP!Z144),"","x")</f>
        <v/>
      </c>
      <c r="AA140" t="str">
        <f>IF(ISBLANK(JP!AB144),"","x")</f>
        <v/>
      </c>
      <c r="AB140" t="str">
        <f>IF(ISBLANK(JP!AC144),"","x")</f>
        <v/>
      </c>
      <c r="AC140" t="str">
        <f>IF(ISBLANK(JP!AD144),"","x")</f>
        <v/>
      </c>
      <c r="AD140" t="str">
        <f>IF(ISBLANK(JP!AE144),"","x")</f>
        <v/>
      </c>
      <c r="AE140" t="str">
        <f>IF(ISBLANK(JP!AF144),"","x")</f>
        <v/>
      </c>
      <c r="AF140" t="str">
        <f>IF(ISBLANK(JP!AG144),"","x")</f>
        <v>x</v>
      </c>
      <c r="AG140" t="str">
        <f>IF(ISBLANK(JP!AH144),"","x")</f>
        <v/>
      </c>
      <c r="AH140" t="str">
        <f>IF(ISBLANK(JP!AJ144),"","x")</f>
        <v/>
      </c>
      <c r="AI140" t="str">
        <f>IF(ISBLANK(JP!AK144),"","x")</f>
        <v/>
      </c>
      <c r="AJ140" t="str">
        <f>IF(ISBLANK(JP!AL144),"","x")</f>
        <v/>
      </c>
      <c r="AK140" t="str">
        <f>IF(ISBLANK(JP!AM144),"","x")</f>
        <v/>
      </c>
      <c r="AL140" t="str">
        <f>IF(ISBLANK(JP!AN144),"","x")</f>
        <v/>
      </c>
      <c r="AM140" t="str">
        <f>IF(ISBLANK(JP!AO144),"","x")</f>
        <v/>
      </c>
      <c r="AN140" t="str">
        <f>IF(ISBLANK(JP!AP144),"","x")</f>
        <v/>
      </c>
      <c r="AO140" t="str">
        <f>IF(ISBLANK(JP!AR144),"","x")</f>
        <v/>
      </c>
      <c r="AP140" t="str">
        <f>IF(ISBLANK(JP!AS144),"","x")</f>
        <v/>
      </c>
      <c r="AQ140" t="str">
        <f>IF(ISBLANK(JP!AT144),"","x")</f>
        <v/>
      </c>
      <c r="AR140" t="str">
        <f>IF(ISBLANK(JP!AU144),"","x")</f>
        <v/>
      </c>
      <c r="AS140" t="str">
        <f>IF(ISBLANK(JP!AV144),"","x")</f>
        <v/>
      </c>
      <c r="AT140" t="str">
        <f>IF(ISBLANK(JP!AW144),"","x")</f>
        <v/>
      </c>
      <c r="AU140" t="str">
        <f>IF(ISBLANK(JP!AX144),"","x")</f>
        <v/>
      </c>
    </row>
    <row r="141" spans="2:47">
      <c r="B141">
        <f>IF(ISBLANK(JP!AZ145),"",JP!AZ145)</f>
        <v>10009925</v>
      </c>
      <c r="C141" t="str">
        <f>IF(ISBLANK(JP!BA145),"",JP!BA145)</f>
        <v>HAK SENG KEE</v>
      </c>
      <c r="D141" t="str">
        <f>IF(ISBLANK(JP!BC145),"",JP!BC145)</f>
        <v>160 YISHUN STREET 11</v>
      </c>
      <c r="E141">
        <f>IF(ISBLANK(JP!BB145),"",JP!BB145)</f>
        <v>1</v>
      </c>
      <c r="F141" t="str">
        <f>IF(ISBLANK(JP!D145),"","x")</f>
        <v/>
      </c>
      <c r="G141" t="str">
        <f>IF(ISBLANK(JP!E145),"","x")</f>
        <v/>
      </c>
      <c r="H141" t="str">
        <f>IF(ISBLANK(JP!F145),"","x")</f>
        <v/>
      </c>
      <c r="I141" t="str">
        <f>IF(ISBLANK(JP!G145),"","x")</f>
        <v/>
      </c>
      <c r="J141" t="str">
        <f>IF(ISBLANK(JP!H145),"","x")</f>
        <v/>
      </c>
      <c r="K141" t="str">
        <f>IF(ISBLANK(JP!I145),"","x")</f>
        <v/>
      </c>
      <c r="L141" t="str">
        <f>IF(ISBLANK(JP!J145),"","x")</f>
        <v/>
      </c>
      <c r="M141" t="str">
        <f>IF(ISBLANK(JP!L145),"","x")</f>
        <v/>
      </c>
      <c r="N141" t="str">
        <f>IF(ISBLANK(JP!M145),"","x")</f>
        <v/>
      </c>
      <c r="O141" t="str">
        <f>IF(ISBLANK(JP!N145),"","x")</f>
        <v/>
      </c>
      <c r="P141" t="str">
        <f>IF(ISBLANK(JP!O145),"","x")</f>
        <v/>
      </c>
      <c r="Q141" t="str">
        <f>IF(ISBLANK(JP!P145),"","x")</f>
        <v/>
      </c>
      <c r="R141" t="str">
        <f>IF(ISBLANK(JP!Q145),"","x")</f>
        <v/>
      </c>
      <c r="S141" t="str">
        <f>IF(ISBLANK(JP!R145),"","x")</f>
        <v/>
      </c>
      <c r="T141" t="str">
        <f>IF(ISBLANK(JP!T145),"","x")</f>
        <v/>
      </c>
      <c r="U141" t="str">
        <f>IF(ISBLANK(JP!U145),"","x")</f>
        <v/>
      </c>
      <c r="V141" t="str">
        <f>IF(ISBLANK(JP!V145),"","x")</f>
        <v/>
      </c>
      <c r="W141" t="str">
        <f>IF(ISBLANK(JP!W145),"","x")</f>
        <v/>
      </c>
      <c r="X141" t="str">
        <f>IF(ISBLANK(JP!X145),"","x")</f>
        <v/>
      </c>
      <c r="Y141" t="str">
        <f>IF(ISBLANK(JP!Y145),"","x")</f>
        <v/>
      </c>
      <c r="Z141" t="str">
        <f>IF(ISBLANK(JP!Z145),"","x")</f>
        <v/>
      </c>
      <c r="AA141" t="str">
        <f>IF(ISBLANK(JP!AB145),"","x")</f>
        <v/>
      </c>
      <c r="AB141" t="str">
        <f>IF(ISBLANK(JP!AC145),"","x")</f>
        <v/>
      </c>
      <c r="AC141" t="str">
        <f>IF(ISBLANK(JP!AD145),"","x")</f>
        <v/>
      </c>
      <c r="AD141" t="str">
        <f>IF(ISBLANK(JP!AE145),"","x")</f>
        <v/>
      </c>
      <c r="AE141" t="str">
        <f>IF(ISBLANK(JP!AF145),"","x")</f>
        <v/>
      </c>
      <c r="AF141" t="str">
        <f>IF(ISBLANK(JP!AG145),"","x")</f>
        <v>x</v>
      </c>
      <c r="AG141" t="str">
        <f>IF(ISBLANK(JP!AH145),"","x")</f>
        <v/>
      </c>
      <c r="AH141" t="str">
        <f>IF(ISBLANK(JP!AJ145),"","x")</f>
        <v/>
      </c>
      <c r="AI141" t="str">
        <f>IF(ISBLANK(JP!AK145),"","x")</f>
        <v/>
      </c>
      <c r="AJ141" t="str">
        <f>IF(ISBLANK(JP!AL145),"","x")</f>
        <v/>
      </c>
      <c r="AK141" t="str">
        <f>IF(ISBLANK(JP!AM145),"","x")</f>
        <v/>
      </c>
      <c r="AL141" t="str">
        <f>IF(ISBLANK(JP!AN145),"","x")</f>
        <v/>
      </c>
      <c r="AM141" t="str">
        <f>IF(ISBLANK(JP!AO145),"","x")</f>
        <v/>
      </c>
      <c r="AN141" t="str">
        <f>IF(ISBLANK(JP!AP145),"","x")</f>
        <v/>
      </c>
      <c r="AO141" t="str">
        <f>IF(ISBLANK(JP!AR145),"","x")</f>
        <v/>
      </c>
      <c r="AP141" t="str">
        <f>IF(ISBLANK(JP!AS145),"","x")</f>
        <v/>
      </c>
      <c r="AQ141" t="str">
        <f>IF(ISBLANK(JP!AT145),"","x")</f>
        <v/>
      </c>
      <c r="AR141" t="str">
        <f>IF(ISBLANK(JP!AU145),"","x")</f>
        <v/>
      </c>
      <c r="AS141" t="str">
        <f>IF(ISBLANK(JP!AV145),"","x")</f>
        <v/>
      </c>
      <c r="AT141" t="str">
        <f>IF(ISBLANK(JP!AW145),"","x")</f>
        <v/>
      </c>
      <c r="AU141" t="str">
        <f>IF(ISBLANK(JP!AX145),"","x")</f>
        <v/>
      </c>
    </row>
    <row r="142" spans="2:47">
      <c r="B142">
        <f>IF(ISBLANK(JP!AZ146),"",JP!AZ146)</f>
        <v>10043305</v>
      </c>
      <c r="C142" t="str">
        <f>IF(ISBLANK(JP!BA146),"",JP!BA146)</f>
        <v>SANGEE MART</v>
      </c>
      <c r="D142" t="str">
        <f>IF(ISBLANK(JP!BC146),"",JP!BC146)</f>
        <v>160 YISHUN STREET 11</v>
      </c>
      <c r="E142">
        <f>IF(ISBLANK(JP!BB146),"",JP!BB146)</f>
        <v>1</v>
      </c>
      <c r="F142" t="str">
        <f>IF(ISBLANK(JP!D146),"","x")</f>
        <v/>
      </c>
      <c r="G142" t="str">
        <f>IF(ISBLANK(JP!E146),"","x")</f>
        <v/>
      </c>
      <c r="H142" t="str">
        <f>IF(ISBLANK(JP!F146),"","x")</f>
        <v/>
      </c>
      <c r="I142" t="str">
        <f>IF(ISBLANK(JP!G146),"","x")</f>
        <v/>
      </c>
      <c r="J142" t="str">
        <f>IF(ISBLANK(JP!H146),"","x")</f>
        <v/>
      </c>
      <c r="K142" t="str">
        <f>IF(ISBLANK(JP!I146),"","x")</f>
        <v/>
      </c>
      <c r="L142" t="str">
        <f>IF(ISBLANK(JP!J146),"","x")</f>
        <v/>
      </c>
      <c r="M142" t="str">
        <f>IF(ISBLANK(JP!L146),"","x")</f>
        <v/>
      </c>
      <c r="N142" t="str">
        <f>IF(ISBLANK(JP!M146),"","x")</f>
        <v/>
      </c>
      <c r="O142" t="str">
        <f>IF(ISBLANK(JP!N146),"","x")</f>
        <v/>
      </c>
      <c r="P142" t="str">
        <f>IF(ISBLANK(JP!O146),"","x")</f>
        <v/>
      </c>
      <c r="Q142" t="str">
        <f>IF(ISBLANK(JP!P146),"","x")</f>
        <v/>
      </c>
      <c r="R142" t="str">
        <f>IF(ISBLANK(JP!Q146),"","x")</f>
        <v/>
      </c>
      <c r="S142" t="str">
        <f>IF(ISBLANK(JP!R146),"","x")</f>
        <v/>
      </c>
      <c r="T142" t="str">
        <f>IF(ISBLANK(JP!T146),"","x")</f>
        <v/>
      </c>
      <c r="U142" t="str">
        <f>IF(ISBLANK(JP!U146),"","x")</f>
        <v/>
      </c>
      <c r="V142" t="str">
        <f>IF(ISBLANK(JP!V146),"","x")</f>
        <v/>
      </c>
      <c r="W142" t="str">
        <f>IF(ISBLANK(JP!W146),"","x")</f>
        <v/>
      </c>
      <c r="X142" t="str">
        <f>IF(ISBLANK(JP!X146),"","x")</f>
        <v/>
      </c>
      <c r="Y142" t="str">
        <f>IF(ISBLANK(JP!Y146),"","x")</f>
        <v/>
      </c>
      <c r="Z142" t="str">
        <f>IF(ISBLANK(JP!Z146),"","x")</f>
        <v/>
      </c>
      <c r="AA142" t="str">
        <f>IF(ISBLANK(JP!AB146),"","x")</f>
        <v/>
      </c>
      <c r="AB142" t="str">
        <f>IF(ISBLANK(JP!AC146),"","x")</f>
        <v/>
      </c>
      <c r="AC142" t="str">
        <f>IF(ISBLANK(JP!AD146),"","x")</f>
        <v/>
      </c>
      <c r="AD142" t="str">
        <f>IF(ISBLANK(JP!AE146),"","x")</f>
        <v/>
      </c>
      <c r="AE142" t="str">
        <f>IF(ISBLANK(JP!AF146),"","x")</f>
        <v/>
      </c>
      <c r="AF142" t="str">
        <f>IF(ISBLANK(JP!AG146),"","x")</f>
        <v/>
      </c>
      <c r="AG142" t="str">
        <f>IF(ISBLANK(JP!AH146),"","x")</f>
        <v/>
      </c>
      <c r="AH142" t="str">
        <f>IF(ISBLANK(JP!AJ146),"","x")</f>
        <v/>
      </c>
      <c r="AI142" t="str">
        <f>IF(ISBLANK(JP!AK146),"","x")</f>
        <v/>
      </c>
      <c r="AJ142" t="str">
        <f>IF(ISBLANK(JP!AL146),"","x")</f>
        <v/>
      </c>
      <c r="AK142" t="str">
        <f>IF(ISBLANK(JP!AM146),"","x")</f>
        <v/>
      </c>
      <c r="AL142" t="str">
        <f>IF(ISBLANK(JP!AN146),"","x")</f>
        <v/>
      </c>
      <c r="AM142" t="str">
        <f>IF(ISBLANK(JP!AO146),"","x")</f>
        <v>x</v>
      </c>
      <c r="AN142" t="str">
        <f>IF(ISBLANK(JP!AP146),"","x")</f>
        <v/>
      </c>
      <c r="AO142" t="str">
        <f>IF(ISBLANK(JP!AR146),"","x")</f>
        <v/>
      </c>
      <c r="AP142" t="str">
        <f>IF(ISBLANK(JP!AS146),"","x")</f>
        <v/>
      </c>
      <c r="AQ142" t="str">
        <f>IF(ISBLANK(JP!AT146),"","x")</f>
        <v/>
      </c>
      <c r="AR142" t="str">
        <f>IF(ISBLANK(JP!AU146),"","x")</f>
        <v/>
      </c>
      <c r="AS142" t="str">
        <f>IF(ISBLANK(JP!AV146),"","x")</f>
        <v/>
      </c>
      <c r="AT142" t="str">
        <f>IF(ISBLANK(JP!AW146),"","x")</f>
        <v/>
      </c>
      <c r="AU142" t="str">
        <f>IF(ISBLANK(JP!AX146),"","x")</f>
        <v/>
      </c>
    </row>
    <row r="143" spans="2:47">
      <c r="B143">
        <f>IF(ISBLANK(JP!AZ147),"",JP!AZ147)</f>
        <v>10010407</v>
      </c>
      <c r="C143" t="str">
        <f>IF(ISBLANK(JP!BA147),"",JP!BA147)</f>
        <v>ASERET TRADING</v>
      </c>
      <c r="D143" t="str">
        <f>IF(ISBLANK(JP!BC147),"",JP!BC147)</f>
        <v>173 YISHUN AVENUE 7</v>
      </c>
      <c r="E143">
        <f>IF(ISBLANK(JP!BB147),"",JP!BB147)</f>
        <v>1</v>
      </c>
      <c r="F143" t="str">
        <f>IF(ISBLANK(JP!D147),"","x")</f>
        <v/>
      </c>
      <c r="G143" t="str">
        <f>IF(ISBLANK(JP!E147),"","x")</f>
        <v/>
      </c>
      <c r="H143" t="str">
        <f>IF(ISBLANK(JP!F147),"","x")</f>
        <v/>
      </c>
      <c r="I143" t="str">
        <f>IF(ISBLANK(JP!G147),"","x")</f>
        <v/>
      </c>
      <c r="J143" t="str">
        <f>IF(ISBLANK(JP!H147),"","x")</f>
        <v/>
      </c>
      <c r="K143" t="str">
        <f>IF(ISBLANK(JP!I147),"","x")</f>
        <v/>
      </c>
      <c r="L143" t="str">
        <f>IF(ISBLANK(JP!J147),"","x")</f>
        <v/>
      </c>
      <c r="M143" t="str">
        <f>IF(ISBLANK(JP!L147),"","x")</f>
        <v/>
      </c>
      <c r="N143" t="str">
        <f>IF(ISBLANK(JP!M147),"","x")</f>
        <v/>
      </c>
      <c r="O143" t="str">
        <f>IF(ISBLANK(JP!N147),"","x")</f>
        <v/>
      </c>
      <c r="P143" t="str">
        <f>IF(ISBLANK(JP!O147),"","x")</f>
        <v/>
      </c>
      <c r="Q143" t="str">
        <f>IF(ISBLANK(JP!P147),"","x")</f>
        <v/>
      </c>
      <c r="R143" t="str">
        <f>IF(ISBLANK(JP!Q147),"","x")</f>
        <v/>
      </c>
      <c r="S143" t="str">
        <f>IF(ISBLANK(JP!R147),"","x")</f>
        <v/>
      </c>
      <c r="T143" t="str">
        <f>IF(ISBLANK(JP!T147),"","x")</f>
        <v/>
      </c>
      <c r="U143" t="str">
        <f>IF(ISBLANK(JP!U147),"","x")</f>
        <v/>
      </c>
      <c r="V143" t="str">
        <f>IF(ISBLANK(JP!V147),"","x")</f>
        <v/>
      </c>
      <c r="W143" t="str">
        <f>IF(ISBLANK(JP!W147),"","x")</f>
        <v/>
      </c>
      <c r="X143" t="str">
        <f>IF(ISBLANK(JP!X147),"","x")</f>
        <v/>
      </c>
      <c r="Y143" t="str">
        <f>IF(ISBLANK(JP!Y147),"","x")</f>
        <v/>
      </c>
      <c r="Z143" t="str">
        <f>IF(ISBLANK(JP!Z147),"","x")</f>
        <v/>
      </c>
      <c r="AA143" t="str">
        <f>IF(ISBLANK(JP!AB147),"","x")</f>
        <v/>
      </c>
      <c r="AB143" t="str">
        <f>IF(ISBLANK(JP!AC147),"","x")</f>
        <v/>
      </c>
      <c r="AC143" t="str">
        <f>IF(ISBLANK(JP!AD147),"","x")</f>
        <v/>
      </c>
      <c r="AD143" t="str">
        <f>IF(ISBLANK(JP!AE147),"","x")</f>
        <v/>
      </c>
      <c r="AE143" t="str">
        <f>IF(ISBLANK(JP!AF147),"","x")</f>
        <v/>
      </c>
      <c r="AF143" t="str">
        <f>IF(ISBLANK(JP!AG147),"","x")</f>
        <v/>
      </c>
      <c r="AG143" t="str">
        <f>IF(ISBLANK(JP!AH147),"","x")</f>
        <v/>
      </c>
      <c r="AH143" t="str">
        <f>IF(ISBLANK(JP!AJ147),"","x")</f>
        <v/>
      </c>
      <c r="AI143" t="str">
        <f>IF(ISBLANK(JP!AK147),"","x")</f>
        <v/>
      </c>
      <c r="AJ143" t="str">
        <f>IF(ISBLANK(JP!AL147),"","x")</f>
        <v/>
      </c>
      <c r="AK143" t="str">
        <f>IF(ISBLANK(JP!AM147),"","x")</f>
        <v/>
      </c>
      <c r="AL143" t="str">
        <f>IF(ISBLANK(JP!AN147),"","x")</f>
        <v/>
      </c>
      <c r="AM143" t="str">
        <f>IF(ISBLANK(JP!AO147),"","x")</f>
        <v>x</v>
      </c>
      <c r="AN143" t="str">
        <f>IF(ISBLANK(JP!AP147),"","x")</f>
        <v/>
      </c>
      <c r="AO143" t="str">
        <f>IF(ISBLANK(JP!AR147),"","x")</f>
        <v/>
      </c>
      <c r="AP143" t="str">
        <f>IF(ISBLANK(JP!AS147),"","x")</f>
        <v/>
      </c>
      <c r="AQ143" t="str">
        <f>IF(ISBLANK(JP!AT147),"","x")</f>
        <v/>
      </c>
      <c r="AR143" t="str">
        <f>IF(ISBLANK(JP!AU147),"","x")</f>
        <v/>
      </c>
      <c r="AS143" t="str">
        <f>IF(ISBLANK(JP!AV147),"","x")</f>
        <v/>
      </c>
      <c r="AT143" t="str">
        <f>IF(ISBLANK(JP!AW147),"","x")</f>
        <v/>
      </c>
      <c r="AU143" t="str">
        <f>IF(ISBLANK(JP!AX147),"","x")</f>
        <v/>
      </c>
    </row>
    <row r="144" spans="2:47">
      <c r="B144">
        <f>IF(ISBLANK(JP!AZ148),"",JP!AZ148)</f>
        <v>10042314</v>
      </c>
      <c r="C144" t="str">
        <f>IF(ISBLANK(JP!BA148),"",JP!BA148)</f>
        <v>JEYAM TRADERS PTE. LTD.</v>
      </c>
      <c r="D144" t="str">
        <f>IF(ISBLANK(JP!BC148),"",JP!BC148)</f>
        <v>174 YISHUN AVENUE 7</v>
      </c>
      <c r="E144">
        <f>IF(ISBLANK(JP!BB148),"",JP!BB148)</f>
        <v>1</v>
      </c>
      <c r="F144" t="str">
        <f>IF(ISBLANK(JP!D148),"","x")</f>
        <v/>
      </c>
      <c r="G144" t="str">
        <f>IF(ISBLANK(JP!E148),"","x")</f>
        <v/>
      </c>
      <c r="H144" t="str">
        <f>IF(ISBLANK(JP!F148),"","x")</f>
        <v/>
      </c>
      <c r="I144" t="str">
        <f>IF(ISBLANK(JP!G148),"","x")</f>
        <v/>
      </c>
      <c r="J144" t="str">
        <f>IF(ISBLANK(JP!H148),"","x")</f>
        <v/>
      </c>
      <c r="K144" t="str">
        <f>IF(ISBLANK(JP!I148),"","x")</f>
        <v/>
      </c>
      <c r="L144" t="str">
        <f>IF(ISBLANK(JP!J148),"","x")</f>
        <v/>
      </c>
      <c r="M144" t="str">
        <f>IF(ISBLANK(JP!L148),"","x")</f>
        <v/>
      </c>
      <c r="N144" t="str">
        <f>IF(ISBLANK(JP!M148),"","x")</f>
        <v/>
      </c>
      <c r="O144" t="str">
        <f>IF(ISBLANK(JP!N148),"","x")</f>
        <v/>
      </c>
      <c r="P144" t="str">
        <f>IF(ISBLANK(JP!O148),"","x")</f>
        <v/>
      </c>
      <c r="Q144" t="str">
        <f>IF(ISBLANK(JP!P148),"","x")</f>
        <v/>
      </c>
      <c r="R144" t="str">
        <f>IF(ISBLANK(JP!Q148),"","x")</f>
        <v/>
      </c>
      <c r="S144" t="str">
        <f>IF(ISBLANK(JP!R148),"","x")</f>
        <v/>
      </c>
      <c r="T144" t="str">
        <f>IF(ISBLANK(JP!T148),"","x")</f>
        <v/>
      </c>
      <c r="U144" t="str">
        <f>IF(ISBLANK(JP!U148),"","x")</f>
        <v/>
      </c>
      <c r="V144" t="str">
        <f>IF(ISBLANK(JP!V148),"","x")</f>
        <v/>
      </c>
      <c r="W144" t="str">
        <f>IF(ISBLANK(JP!W148),"","x")</f>
        <v/>
      </c>
      <c r="X144" t="str">
        <f>IF(ISBLANK(JP!X148),"","x")</f>
        <v/>
      </c>
      <c r="Y144" t="str">
        <f>IF(ISBLANK(JP!Y148),"","x")</f>
        <v/>
      </c>
      <c r="Z144" t="str">
        <f>IF(ISBLANK(JP!Z148),"","x")</f>
        <v/>
      </c>
      <c r="AA144" t="str">
        <f>IF(ISBLANK(JP!AB148),"","x")</f>
        <v/>
      </c>
      <c r="AB144" t="str">
        <f>IF(ISBLANK(JP!AC148),"","x")</f>
        <v/>
      </c>
      <c r="AC144" t="str">
        <f>IF(ISBLANK(JP!AD148),"","x")</f>
        <v/>
      </c>
      <c r="AD144" t="str">
        <f>IF(ISBLANK(JP!AE148),"","x")</f>
        <v/>
      </c>
      <c r="AE144" t="str">
        <f>IF(ISBLANK(JP!AF148),"","x")</f>
        <v/>
      </c>
      <c r="AF144" t="str">
        <f>IF(ISBLANK(JP!AG148),"","x")</f>
        <v/>
      </c>
      <c r="AG144" t="str">
        <f>IF(ISBLANK(JP!AH148),"","x")</f>
        <v/>
      </c>
      <c r="AH144" t="str">
        <f>IF(ISBLANK(JP!AJ148),"","x")</f>
        <v/>
      </c>
      <c r="AI144" t="str">
        <f>IF(ISBLANK(JP!AK148),"","x")</f>
        <v/>
      </c>
      <c r="AJ144" t="str">
        <f>IF(ISBLANK(JP!AL148),"","x")</f>
        <v/>
      </c>
      <c r="AK144" t="str">
        <f>IF(ISBLANK(JP!AM148),"","x")</f>
        <v/>
      </c>
      <c r="AL144" t="str">
        <f>IF(ISBLANK(JP!AN148),"","x")</f>
        <v/>
      </c>
      <c r="AM144" t="str">
        <f>IF(ISBLANK(JP!AO148),"","x")</f>
        <v>x</v>
      </c>
      <c r="AN144" t="str">
        <f>IF(ISBLANK(JP!AP148),"","x")</f>
        <v/>
      </c>
      <c r="AO144" t="str">
        <f>IF(ISBLANK(JP!AR148),"","x")</f>
        <v/>
      </c>
      <c r="AP144" t="str">
        <f>IF(ISBLANK(JP!AS148),"","x")</f>
        <v/>
      </c>
      <c r="AQ144" t="str">
        <f>IF(ISBLANK(JP!AT148),"","x")</f>
        <v/>
      </c>
      <c r="AR144" t="str">
        <f>IF(ISBLANK(JP!AU148),"","x")</f>
        <v/>
      </c>
      <c r="AS144" t="str">
        <f>IF(ISBLANK(JP!AV148),"","x")</f>
        <v/>
      </c>
      <c r="AT144" t="str">
        <f>IF(ISBLANK(JP!AW148),"","x")</f>
        <v/>
      </c>
      <c r="AU144" t="str">
        <f>IF(ISBLANK(JP!AX148),"","x")</f>
        <v/>
      </c>
    </row>
    <row r="145" spans="2:47">
      <c r="B145">
        <f>IF(ISBLANK(JP!AZ149),"",JP!AZ149)</f>
        <v>10005220</v>
      </c>
      <c r="C145" t="str">
        <f>IF(ISBLANK(JP!BA149),"",JP!BA149)</f>
        <v>PHUA SOON LEE</v>
      </c>
      <c r="D145" t="str">
        <f>IF(ISBLANK(JP!BC149),"",JP!BC149)</f>
        <v>236 YISHUN RING ROAD</v>
      </c>
      <c r="E145">
        <f>IF(ISBLANK(JP!BB149),"",JP!BB149)</f>
        <v>1</v>
      </c>
      <c r="F145" t="str">
        <f>IF(ISBLANK(JP!D149),"","x")</f>
        <v/>
      </c>
      <c r="G145" t="str">
        <f>IF(ISBLANK(JP!E149),"","x")</f>
        <v/>
      </c>
      <c r="H145" t="str">
        <f>IF(ISBLANK(JP!F149),"","x")</f>
        <v/>
      </c>
      <c r="I145" t="str">
        <f>IF(ISBLANK(JP!G149),"","x")</f>
        <v/>
      </c>
      <c r="J145" t="str">
        <f>IF(ISBLANK(JP!H149),"","x")</f>
        <v/>
      </c>
      <c r="K145" t="str">
        <f>IF(ISBLANK(JP!I149),"","x")</f>
        <v/>
      </c>
      <c r="L145" t="str">
        <f>IF(ISBLANK(JP!J149),"","x")</f>
        <v/>
      </c>
      <c r="M145" t="str">
        <f>IF(ISBLANK(JP!L149),"","x")</f>
        <v/>
      </c>
      <c r="N145" t="str">
        <f>IF(ISBLANK(JP!M149),"","x")</f>
        <v/>
      </c>
      <c r="O145" t="str">
        <f>IF(ISBLANK(JP!N149),"","x")</f>
        <v/>
      </c>
      <c r="P145" t="str">
        <f>IF(ISBLANK(JP!O149),"","x")</f>
        <v/>
      </c>
      <c r="Q145" t="str">
        <f>IF(ISBLANK(JP!P149),"","x")</f>
        <v/>
      </c>
      <c r="R145" t="str">
        <f>IF(ISBLANK(JP!Q149),"","x")</f>
        <v/>
      </c>
      <c r="S145" t="str">
        <f>IF(ISBLANK(JP!R149),"","x")</f>
        <v/>
      </c>
      <c r="T145" t="str">
        <f>IF(ISBLANK(JP!T149),"","x")</f>
        <v/>
      </c>
      <c r="U145" t="str">
        <f>IF(ISBLANK(JP!U149),"","x")</f>
        <v/>
      </c>
      <c r="V145" t="str">
        <f>IF(ISBLANK(JP!V149),"","x")</f>
        <v/>
      </c>
      <c r="W145" t="str">
        <f>IF(ISBLANK(JP!W149),"","x")</f>
        <v/>
      </c>
      <c r="X145" t="str">
        <f>IF(ISBLANK(JP!X149),"","x")</f>
        <v/>
      </c>
      <c r="Y145" t="str">
        <f>IF(ISBLANK(JP!Y149),"","x")</f>
        <v/>
      </c>
      <c r="Z145" t="str">
        <f>IF(ISBLANK(JP!Z149),"","x")</f>
        <v/>
      </c>
      <c r="AA145" t="str">
        <f>IF(ISBLANK(JP!AB149),"","x")</f>
        <v/>
      </c>
      <c r="AB145" t="str">
        <f>IF(ISBLANK(JP!AC149),"","x")</f>
        <v/>
      </c>
      <c r="AC145" t="str">
        <f>IF(ISBLANK(JP!AD149),"","x")</f>
        <v/>
      </c>
      <c r="AD145" t="str">
        <f>IF(ISBLANK(JP!AE149),"","x")</f>
        <v/>
      </c>
      <c r="AE145" t="str">
        <f>IF(ISBLANK(JP!AF149),"","x")</f>
        <v/>
      </c>
      <c r="AF145" t="str">
        <f>IF(ISBLANK(JP!AG149),"","x")</f>
        <v/>
      </c>
      <c r="AG145" t="str">
        <f>IF(ISBLANK(JP!AH149),"","x")</f>
        <v/>
      </c>
      <c r="AH145" t="str">
        <f>IF(ISBLANK(JP!AJ149),"","x")</f>
        <v/>
      </c>
      <c r="AI145" t="str">
        <f>IF(ISBLANK(JP!AK149),"","x")</f>
        <v/>
      </c>
      <c r="AJ145" t="str">
        <f>IF(ISBLANK(JP!AL149),"","x")</f>
        <v/>
      </c>
      <c r="AK145" t="str">
        <f>IF(ISBLANK(JP!AM149),"","x")</f>
        <v/>
      </c>
      <c r="AL145" t="str">
        <f>IF(ISBLANK(JP!AN149),"","x")</f>
        <v/>
      </c>
      <c r="AM145" t="str">
        <f>IF(ISBLANK(JP!AO149),"","x")</f>
        <v>x</v>
      </c>
      <c r="AN145" t="str">
        <f>IF(ISBLANK(JP!AP149),"","x")</f>
        <v/>
      </c>
      <c r="AO145" t="str">
        <f>IF(ISBLANK(JP!AR149),"","x")</f>
        <v/>
      </c>
      <c r="AP145" t="str">
        <f>IF(ISBLANK(JP!AS149),"","x")</f>
        <v/>
      </c>
      <c r="AQ145" t="str">
        <f>IF(ISBLANK(JP!AT149),"","x")</f>
        <v/>
      </c>
      <c r="AR145" t="str">
        <f>IF(ISBLANK(JP!AU149),"","x")</f>
        <v/>
      </c>
      <c r="AS145" t="str">
        <f>IF(ISBLANK(JP!AV149),"","x")</f>
        <v/>
      </c>
      <c r="AT145" t="str">
        <f>IF(ISBLANK(JP!AW149),"","x")</f>
        <v/>
      </c>
      <c r="AU145" t="str">
        <f>IF(ISBLANK(JP!AX149),"","x")</f>
        <v/>
      </c>
    </row>
    <row r="146" spans="2:47">
      <c r="B146">
        <f>IF(ISBLANK(JP!AZ150),"",JP!AZ150)</f>
        <v>10009733</v>
      </c>
      <c r="C146" t="str">
        <f>IF(ISBLANK(JP!BA150),"",JP!BA150)</f>
        <v>JIN WAN LI MINI-MART</v>
      </c>
      <c r="D146" t="str">
        <f>IF(ISBLANK(JP!BC150),"",JP!BC150)</f>
        <v>256 YISHUN RING ROAD</v>
      </c>
      <c r="E146">
        <f>IF(ISBLANK(JP!BB150),"",JP!BB150)</f>
        <v>1</v>
      </c>
      <c r="F146" t="str">
        <f>IF(ISBLANK(JP!D150),"","x")</f>
        <v/>
      </c>
      <c r="G146" t="str">
        <f>IF(ISBLANK(JP!E150),"","x")</f>
        <v/>
      </c>
      <c r="H146" t="str">
        <f>IF(ISBLANK(JP!F150),"","x")</f>
        <v/>
      </c>
      <c r="I146" t="str">
        <f>IF(ISBLANK(JP!G150),"","x")</f>
        <v/>
      </c>
      <c r="J146" t="str">
        <f>IF(ISBLANK(JP!H150),"","x")</f>
        <v/>
      </c>
      <c r="K146" t="str">
        <f>IF(ISBLANK(JP!I150),"","x")</f>
        <v/>
      </c>
      <c r="L146" t="str">
        <f>IF(ISBLANK(JP!J150),"","x")</f>
        <v/>
      </c>
      <c r="M146" t="str">
        <f>IF(ISBLANK(JP!L150),"","x")</f>
        <v/>
      </c>
      <c r="N146" t="str">
        <f>IF(ISBLANK(JP!M150),"","x")</f>
        <v/>
      </c>
      <c r="O146" t="str">
        <f>IF(ISBLANK(JP!N150),"","x")</f>
        <v/>
      </c>
      <c r="P146" t="str">
        <f>IF(ISBLANK(JP!O150),"","x")</f>
        <v/>
      </c>
      <c r="Q146" t="str">
        <f>IF(ISBLANK(JP!P150),"","x")</f>
        <v/>
      </c>
      <c r="R146" t="str">
        <f>IF(ISBLANK(JP!Q150),"","x")</f>
        <v/>
      </c>
      <c r="S146" t="str">
        <f>IF(ISBLANK(JP!R150),"","x")</f>
        <v/>
      </c>
      <c r="T146" t="str">
        <f>IF(ISBLANK(JP!T150),"","x")</f>
        <v/>
      </c>
      <c r="U146" t="str">
        <f>IF(ISBLANK(JP!U150),"","x")</f>
        <v/>
      </c>
      <c r="V146" t="str">
        <f>IF(ISBLANK(JP!V150),"","x")</f>
        <v/>
      </c>
      <c r="W146" t="str">
        <f>IF(ISBLANK(JP!W150),"","x")</f>
        <v/>
      </c>
      <c r="X146" t="str">
        <f>IF(ISBLANK(JP!X150),"","x")</f>
        <v/>
      </c>
      <c r="Y146" t="str">
        <f>IF(ISBLANK(JP!Y150),"","x")</f>
        <v/>
      </c>
      <c r="Z146" t="str">
        <f>IF(ISBLANK(JP!Z150),"","x")</f>
        <v/>
      </c>
      <c r="AA146" t="str">
        <f>IF(ISBLANK(JP!AB150),"","x")</f>
        <v/>
      </c>
      <c r="AB146" t="str">
        <f>IF(ISBLANK(JP!AC150),"","x")</f>
        <v/>
      </c>
      <c r="AC146" t="str">
        <f>IF(ISBLANK(JP!AD150),"","x")</f>
        <v/>
      </c>
      <c r="AD146" t="str">
        <f>IF(ISBLANK(JP!AE150),"","x")</f>
        <v/>
      </c>
      <c r="AE146" t="str">
        <f>IF(ISBLANK(JP!AF150),"","x")</f>
        <v/>
      </c>
      <c r="AF146" t="str">
        <f>IF(ISBLANK(JP!AG150),"","x")</f>
        <v/>
      </c>
      <c r="AG146" t="str">
        <f>IF(ISBLANK(JP!AH150),"","x")</f>
        <v/>
      </c>
      <c r="AH146" t="str">
        <f>IF(ISBLANK(JP!AJ150),"","x")</f>
        <v/>
      </c>
      <c r="AI146" t="str">
        <f>IF(ISBLANK(JP!AK150),"","x")</f>
        <v/>
      </c>
      <c r="AJ146" t="str">
        <f>IF(ISBLANK(JP!AL150),"","x")</f>
        <v/>
      </c>
      <c r="AK146" t="str">
        <f>IF(ISBLANK(JP!AM150),"","x")</f>
        <v/>
      </c>
      <c r="AL146" t="str">
        <f>IF(ISBLANK(JP!AN150),"","x")</f>
        <v/>
      </c>
      <c r="AM146" t="str">
        <f>IF(ISBLANK(JP!AO150),"","x")</f>
        <v>x</v>
      </c>
      <c r="AN146" t="str">
        <f>IF(ISBLANK(JP!AP150),"","x")</f>
        <v/>
      </c>
      <c r="AO146" t="str">
        <f>IF(ISBLANK(JP!AR150),"","x")</f>
        <v/>
      </c>
      <c r="AP146" t="str">
        <f>IF(ISBLANK(JP!AS150),"","x")</f>
        <v/>
      </c>
      <c r="AQ146" t="str">
        <f>IF(ISBLANK(JP!AT150),"","x")</f>
        <v/>
      </c>
      <c r="AR146" t="str">
        <f>IF(ISBLANK(JP!AU150),"","x")</f>
        <v/>
      </c>
      <c r="AS146" t="str">
        <f>IF(ISBLANK(JP!AV150),"","x")</f>
        <v/>
      </c>
      <c r="AT146" t="str">
        <f>IF(ISBLANK(JP!AW150),"","x")</f>
        <v/>
      </c>
      <c r="AU146" t="str">
        <f>IF(ISBLANK(JP!AX150),"","x")</f>
        <v/>
      </c>
    </row>
    <row r="147" spans="2:47">
      <c r="B147">
        <f>IF(ISBLANK(JP!AZ151),"",JP!AZ151)</f>
        <v>10032929</v>
      </c>
      <c r="C147" t="str">
        <f>IF(ISBLANK(JP!BA151),"",JP!BA151)</f>
        <v>SRI AMBIKAS PTE. LTD.</v>
      </c>
      <c r="D147" t="str">
        <f>IF(ISBLANK(JP!BC151),"",JP!BC151)</f>
        <v>261 YISHUN STREET 22</v>
      </c>
      <c r="E147">
        <f>IF(ISBLANK(JP!BB151),"",JP!BB151)</f>
        <v>1</v>
      </c>
      <c r="F147" t="str">
        <f>IF(ISBLANK(JP!D151),"","x")</f>
        <v/>
      </c>
      <c r="G147" t="str">
        <f>IF(ISBLANK(JP!E151),"","x")</f>
        <v/>
      </c>
      <c r="H147" t="str">
        <f>IF(ISBLANK(JP!F151),"","x")</f>
        <v/>
      </c>
      <c r="I147" t="str">
        <f>IF(ISBLANK(JP!G151),"","x")</f>
        <v/>
      </c>
      <c r="J147" t="str">
        <f>IF(ISBLANK(JP!H151),"","x")</f>
        <v/>
      </c>
      <c r="K147" t="str">
        <f>IF(ISBLANK(JP!I151),"","x")</f>
        <v/>
      </c>
      <c r="L147" t="str">
        <f>IF(ISBLANK(JP!J151),"","x")</f>
        <v/>
      </c>
      <c r="M147" t="str">
        <f>IF(ISBLANK(JP!L151),"","x")</f>
        <v/>
      </c>
      <c r="N147" t="str">
        <f>IF(ISBLANK(JP!M151),"","x")</f>
        <v/>
      </c>
      <c r="O147" t="str">
        <f>IF(ISBLANK(JP!N151),"","x")</f>
        <v/>
      </c>
      <c r="P147" t="str">
        <f>IF(ISBLANK(JP!O151),"","x")</f>
        <v/>
      </c>
      <c r="Q147" t="str">
        <f>IF(ISBLANK(JP!P151),"","x")</f>
        <v/>
      </c>
      <c r="R147" t="str">
        <f>IF(ISBLANK(JP!Q151),"","x")</f>
        <v/>
      </c>
      <c r="S147" t="str">
        <f>IF(ISBLANK(JP!R151),"","x")</f>
        <v/>
      </c>
      <c r="T147" t="str">
        <f>IF(ISBLANK(JP!T151),"","x")</f>
        <v/>
      </c>
      <c r="U147" t="str">
        <f>IF(ISBLANK(JP!U151),"","x")</f>
        <v/>
      </c>
      <c r="V147" t="str">
        <f>IF(ISBLANK(JP!V151),"","x")</f>
        <v/>
      </c>
      <c r="W147" t="str">
        <f>IF(ISBLANK(JP!W151),"","x")</f>
        <v/>
      </c>
      <c r="X147" t="str">
        <f>IF(ISBLANK(JP!X151),"","x")</f>
        <v/>
      </c>
      <c r="Y147" t="str">
        <f>IF(ISBLANK(JP!Y151),"","x")</f>
        <v/>
      </c>
      <c r="Z147" t="str">
        <f>IF(ISBLANK(JP!Z151),"","x")</f>
        <v/>
      </c>
      <c r="AA147" t="str">
        <f>IF(ISBLANK(JP!AB151),"","x")</f>
        <v/>
      </c>
      <c r="AB147" t="str">
        <f>IF(ISBLANK(JP!AC151),"","x")</f>
        <v/>
      </c>
      <c r="AC147" t="str">
        <f>IF(ISBLANK(JP!AD151),"","x")</f>
        <v/>
      </c>
      <c r="AD147" t="str">
        <f>IF(ISBLANK(JP!AE151),"","x")</f>
        <v/>
      </c>
      <c r="AE147" t="str">
        <f>IF(ISBLANK(JP!AF151),"","x")</f>
        <v/>
      </c>
      <c r="AF147" t="str">
        <f>IF(ISBLANK(JP!AG151),"","x")</f>
        <v/>
      </c>
      <c r="AG147" t="str">
        <f>IF(ISBLANK(JP!AH151),"","x")</f>
        <v/>
      </c>
      <c r="AH147" t="str">
        <f>IF(ISBLANK(JP!AJ151),"","x")</f>
        <v/>
      </c>
      <c r="AI147" t="str">
        <f>IF(ISBLANK(JP!AK151),"","x")</f>
        <v/>
      </c>
      <c r="AJ147" t="str">
        <f>IF(ISBLANK(JP!AL151),"","x")</f>
        <v/>
      </c>
      <c r="AK147" t="str">
        <f>IF(ISBLANK(JP!AM151),"","x")</f>
        <v/>
      </c>
      <c r="AL147" t="str">
        <f>IF(ISBLANK(JP!AN151),"","x")</f>
        <v/>
      </c>
      <c r="AM147" t="str">
        <f>IF(ISBLANK(JP!AO151),"","x")</f>
        <v>x</v>
      </c>
      <c r="AN147" t="str">
        <f>IF(ISBLANK(JP!AP151),"","x")</f>
        <v/>
      </c>
      <c r="AO147" t="str">
        <f>IF(ISBLANK(JP!AR151),"","x")</f>
        <v/>
      </c>
      <c r="AP147" t="str">
        <f>IF(ISBLANK(JP!AS151),"","x")</f>
        <v/>
      </c>
      <c r="AQ147" t="str">
        <f>IF(ISBLANK(JP!AT151),"","x")</f>
        <v/>
      </c>
      <c r="AR147" t="str">
        <f>IF(ISBLANK(JP!AU151),"","x")</f>
        <v/>
      </c>
      <c r="AS147" t="str">
        <f>IF(ISBLANK(JP!AV151),"","x")</f>
        <v/>
      </c>
      <c r="AT147" t="str">
        <f>IF(ISBLANK(JP!AW151),"","x")</f>
        <v/>
      </c>
      <c r="AU147" t="str">
        <f>IF(ISBLANK(JP!AX151),"","x")</f>
        <v/>
      </c>
    </row>
    <row r="148" spans="2:47">
      <c r="B148">
        <f>IF(ISBLANK(JP!AZ152),"",JP!AZ152)</f>
        <v>10046271</v>
      </c>
      <c r="C148" t="str">
        <f>IF(ISBLANK(JP!BA152),"",JP!BA152)</f>
        <v>SPRING MYANMAR MINIMART</v>
      </c>
      <c r="D148" t="str">
        <f>IF(ISBLANK(JP!BC152),"",JP!BC152)</f>
        <v>261 YISHUN STREET 22</v>
      </c>
      <c r="E148">
        <f>IF(ISBLANK(JP!BB152),"",JP!BB152)</f>
        <v>1</v>
      </c>
      <c r="F148" t="str">
        <f>IF(ISBLANK(JP!D152),"","x")</f>
        <v/>
      </c>
      <c r="G148" t="str">
        <f>IF(ISBLANK(JP!E152),"","x")</f>
        <v/>
      </c>
      <c r="H148" t="str">
        <f>IF(ISBLANK(JP!F152),"","x")</f>
        <v/>
      </c>
      <c r="I148" t="str">
        <f>IF(ISBLANK(JP!G152),"","x")</f>
        <v/>
      </c>
      <c r="J148" t="str">
        <f>IF(ISBLANK(JP!H152),"","x")</f>
        <v/>
      </c>
      <c r="K148" t="str">
        <f>IF(ISBLANK(JP!I152),"","x")</f>
        <v/>
      </c>
      <c r="L148" t="str">
        <f>IF(ISBLANK(JP!J152),"","x")</f>
        <v/>
      </c>
      <c r="M148" t="str">
        <f>IF(ISBLANK(JP!L152),"","x")</f>
        <v/>
      </c>
      <c r="N148" t="str">
        <f>IF(ISBLANK(JP!M152),"","x")</f>
        <v/>
      </c>
      <c r="O148" t="str">
        <f>IF(ISBLANK(JP!N152),"","x")</f>
        <v/>
      </c>
      <c r="P148" t="str">
        <f>IF(ISBLANK(JP!O152),"","x")</f>
        <v/>
      </c>
      <c r="Q148" t="str">
        <f>IF(ISBLANK(JP!P152),"","x")</f>
        <v/>
      </c>
      <c r="R148" t="str">
        <f>IF(ISBLANK(JP!Q152),"","x")</f>
        <v/>
      </c>
      <c r="S148" t="str">
        <f>IF(ISBLANK(JP!R152),"","x")</f>
        <v/>
      </c>
      <c r="T148" t="str">
        <f>IF(ISBLANK(JP!T152),"","x")</f>
        <v/>
      </c>
      <c r="U148" t="str">
        <f>IF(ISBLANK(JP!U152),"","x")</f>
        <v/>
      </c>
      <c r="V148" t="str">
        <f>IF(ISBLANK(JP!V152),"","x")</f>
        <v/>
      </c>
      <c r="W148" t="str">
        <f>IF(ISBLANK(JP!W152),"","x")</f>
        <v/>
      </c>
      <c r="X148" t="str">
        <f>IF(ISBLANK(JP!X152),"","x")</f>
        <v/>
      </c>
      <c r="Y148" t="str">
        <f>IF(ISBLANK(JP!Y152),"","x")</f>
        <v/>
      </c>
      <c r="Z148" t="str">
        <f>IF(ISBLANK(JP!Z152),"","x")</f>
        <v/>
      </c>
      <c r="AA148" t="str">
        <f>IF(ISBLANK(JP!AB152),"","x")</f>
        <v/>
      </c>
      <c r="AB148" t="str">
        <f>IF(ISBLANK(JP!AC152),"","x")</f>
        <v/>
      </c>
      <c r="AC148" t="str">
        <f>IF(ISBLANK(JP!AD152),"","x")</f>
        <v/>
      </c>
      <c r="AD148" t="str">
        <f>IF(ISBLANK(JP!AE152),"","x")</f>
        <v/>
      </c>
      <c r="AE148" t="str">
        <f>IF(ISBLANK(JP!AF152),"","x")</f>
        <v/>
      </c>
      <c r="AF148" t="str">
        <f>IF(ISBLANK(JP!AG152),"","x")</f>
        <v/>
      </c>
      <c r="AG148" t="str">
        <f>IF(ISBLANK(JP!AH152),"","x")</f>
        <v/>
      </c>
      <c r="AH148" t="str">
        <f>IF(ISBLANK(JP!AJ152),"","x")</f>
        <v/>
      </c>
      <c r="AI148" t="str">
        <f>IF(ISBLANK(JP!AK152),"","x")</f>
        <v/>
      </c>
      <c r="AJ148" t="str">
        <f>IF(ISBLANK(JP!AL152),"","x")</f>
        <v/>
      </c>
      <c r="AK148" t="str">
        <f>IF(ISBLANK(JP!AM152),"","x")</f>
        <v/>
      </c>
      <c r="AL148" t="str">
        <f>IF(ISBLANK(JP!AN152),"","x")</f>
        <v/>
      </c>
      <c r="AM148" t="str">
        <f>IF(ISBLANK(JP!AO152),"","x")</f>
        <v>x</v>
      </c>
      <c r="AN148" t="str">
        <f>IF(ISBLANK(JP!AP152),"","x")</f>
        <v/>
      </c>
      <c r="AO148" t="str">
        <f>IF(ISBLANK(JP!AR152),"","x")</f>
        <v/>
      </c>
      <c r="AP148" t="str">
        <f>IF(ISBLANK(JP!AS152),"","x")</f>
        <v/>
      </c>
      <c r="AQ148" t="str">
        <f>IF(ISBLANK(JP!AT152),"","x")</f>
        <v/>
      </c>
      <c r="AR148" t="str">
        <f>IF(ISBLANK(JP!AU152),"","x")</f>
        <v/>
      </c>
      <c r="AS148" t="str">
        <f>IF(ISBLANK(JP!AV152),"","x")</f>
        <v/>
      </c>
      <c r="AT148" t="str">
        <f>IF(ISBLANK(JP!AW152),"","x")</f>
        <v/>
      </c>
      <c r="AU148" t="str">
        <f>IF(ISBLANK(JP!AX152),"","x")</f>
        <v/>
      </c>
    </row>
    <row r="149" spans="2:47">
      <c r="B149">
        <f>IF(ISBLANK(JP!AZ153),"",JP!AZ153)</f>
        <v>10039355</v>
      </c>
      <c r="C149" t="str">
        <f>IF(ISBLANK(JP!BA153),"",JP!BA153)</f>
        <v>RAJMAHAL TRADING PTE. LTD.</v>
      </c>
      <c r="D149" t="str">
        <f>IF(ISBLANK(JP!BC153),"",JP!BC153)</f>
        <v>274 YISHUN STREET 22</v>
      </c>
      <c r="E149">
        <f>IF(ISBLANK(JP!BB153),"",JP!BB153)</f>
        <v>1</v>
      </c>
      <c r="F149" t="str">
        <f>IF(ISBLANK(JP!D153),"","x")</f>
        <v/>
      </c>
      <c r="G149" t="str">
        <f>IF(ISBLANK(JP!E153),"","x")</f>
        <v/>
      </c>
      <c r="H149" t="str">
        <f>IF(ISBLANK(JP!F153),"","x")</f>
        <v/>
      </c>
      <c r="I149" t="str">
        <f>IF(ISBLANK(JP!G153),"","x")</f>
        <v/>
      </c>
      <c r="J149" t="str">
        <f>IF(ISBLANK(JP!H153),"","x")</f>
        <v/>
      </c>
      <c r="K149" t="str">
        <f>IF(ISBLANK(JP!I153),"","x")</f>
        <v/>
      </c>
      <c r="L149" t="str">
        <f>IF(ISBLANK(JP!J153),"","x")</f>
        <v/>
      </c>
      <c r="M149" t="str">
        <f>IF(ISBLANK(JP!L153),"","x")</f>
        <v/>
      </c>
      <c r="N149" t="str">
        <f>IF(ISBLANK(JP!M153),"","x")</f>
        <v/>
      </c>
      <c r="O149" t="str">
        <f>IF(ISBLANK(JP!N153),"","x")</f>
        <v/>
      </c>
      <c r="P149" t="str">
        <f>IF(ISBLANK(JP!O153),"","x")</f>
        <v/>
      </c>
      <c r="Q149" t="str">
        <f>IF(ISBLANK(JP!P153),"","x")</f>
        <v/>
      </c>
      <c r="R149" t="str">
        <f>IF(ISBLANK(JP!Q153),"","x")</f>
        <v/>
      </c>
      <c r="S149" t="str">
        <f>IF(ISBLANK(JP!R153),"","x")</f>
        <v/>
      </c>
      <c r="T149" t="str">
        <f>IF(ISBLANK(JP!T153),"","x")</f>
        <v/>
      </c>
      <c r="U149" t="str">
        <f>IF(ISBLANK(JP!U153),"","x")</f>
        <v/>
      </c>
      <c r="V149" t="str">
        <f>IF(ISBLANK(JP!V153),"","x")</f>
        <v/>
      </c>
      <c r="W149" t="str">
        <f>IF(ISBLANK(JP!W153),"","x")</f>
        <v/>
      </c>
      <c r="X149" t="str">
        <f>IF(ISBLANK(JP!X153),"","x")</f>
        <v/>
      </c>
      <c r="Y149" t="str">
        <f>IF(ISBLANK(JP!Y153),"","x")</f>
        <v/>
      </c>
      <c r="Z149" t="str">
        <f>IF(ISBLANK(JP!Z153),"","x")</f>
        <v/>
      </c>
      <c r="AA149" t="str">
        <f>IF(ISBLANK(JP!AB153),"","x")</f>
        <v/>
      </c>
      <c r="AB149" t="str">
        <f>IF(ISBLANK(JP!AC153),"","x")</f>
        <v/>
      </c>
      <c r="AC149" t="str">
        <f>IF(ISBLANK(JP!AD153),"","x")</f>
        <v/>
      </c>
      <c r="AD149" t="str">
        <f>IF(ISBLANK(JP!AE153),"","x")</f>
        <v/>
      </c>
      <c r="AE149" t="str">
        <f>IF(ISBLANK(JP!AF153),"","x")</f>
        <v/>
      </c>
      <c r="AF149" t="str">
        <f>IF(ISBLANK(JP!AG153),"","x")</f>
        <v/>
      </c>
      <c r="AG149" t="str">
        <f>IF(ISBLANK(JP!AH153),"","x")</f>
        <v/>
      </c>
      <c r="AH149" t="str">
        <f>IF(ISBLANK(JP!AJ153),"","x")</f>
        <v/>
      </c>
      <c r="AI149" t="str">
        <f>IF(ISBLANK(JP!AK153),"","x")</f>
        <v/>
      </c>
      <c r="AJ149" t="str">
        <f>IF(ISBLANK(JP!AL153),"","x")</f>
        <v/>
      </c>
      <c r="AK149" t="str">
        <f>IF(ISBLANK(JP!AM153),"","x")</f>
        <v/>
      </c>
      <c r="AL149" t="str">
        <f>IF(ISBLANK(JP!AN153),"","x")</f>
        <v/>
      </c>
      <c r="AM149" t="str">
        <f>IF(ISBLANK(JP!AO153),"","x")</f>
        <v>x</v>
      </c>
      <c r="AN149" t="str">
        <f>IF(ISBLANK(JP!AP153),"","x")</f>
        <v/>
      </c>
      <c r="AO149" t="str">
        <f>IF(ISBLANK(JP!AR153),"","x")</f>
        <v/>
      </c>
      <c r="AP149" t="str">
        <f>IF(ISBLANK(JP!AS153),"","x")</f>
        <v/>
      </c>
      <c r="AQ149" t="str">
        <f>IF(ISBLANK(JP!AT153),"","x")</f>
        <v/>
      </c>
      <c r="AR149" t="str">
        <f>IF(ISBLANK(JP!AU153),"","x")</f>
        <v/>
      </c>
      <c r="AS149" t="str">
        <f>IF(ISBLANK(JP!AV153),"","x")</f>
        <v/>
      </c>
      <c r="AT149" t="str">
        <f>IF(ISBLANK(JP!AW153),"","x")</f>
        <v/>
      </c>
      <c r="AU149" t="str">
        <f>IF(ISBLANK(JP!AX153),"","x")</f>
        <v/>
      </c>
    </row>
    <row r="150" spans="2:47">
      <c r="B150">
        <f>IF(ISBLANK(JP!AZ154),"",JP!AZ154)</f>
        <v>10009734</v>
      </c>
      <c r="C150" t="str">
        <f>IF(ISBLANK(JP!BA154),"",JP!BA154)</f>
        <v>CHIN SENG WINE MERCHANT TRADING</v>
      </c>
      <c r="D150" t="str">
        <f>IF(ISBLANK(JP!BC154),"",JP!BC154)</f>
        <v>285 YISHUN AVENUE 6</v>
      </c>
      <c r="E150">
        <f>IF(ISBLANK(JP!BB154),"",JP!BB154)</f>
        <v>1</v>
      </c>
      <c r="F150" t="str">
        <f>IF(ISBLANK(JP!D154),"","x")</f>
        <v/>
      </c>
      <c r="G150" t="str">
        <f>IF(ISBLANK(JP!E154),"","x")</f>
        <v/>
      </c>
      <c r="H150" t="str">
        <f>IF(ISBLANK(JP!F154),"","x")</f>
        <v/>
      </c>
      <c r="I150" t="str">
        <f>IF(ISBLANK(JP!G154),"","x")</f>
        <v/>
      </c>
      <c r="J150" t="str">
        <f>IF(ISBLANK(JP!H154),"","x")</f>
        <v/>
      </c>
      <c r="K150" t="str">
        <f>IF(ISBLANK(JP!I154),"","x")</f>
        <v/>
      </c>
      <c r="L150" t="str">
        <f>IF(ISBLANK(JP!J154),"","x")</f>
        <v/>
      </c>
      <c r="M150" t="str">
        <f>IF(ISBLANK(JP!L154),"","x")</f>
        <v/>
      </c>
      <c r="N150" t="str">
        <f>IF(ISBLANK(JP!M154),"","x")</f>
        <v/>
      </c>
      <c r="O150" t="str">
        <f>IF(ISBLANK(JP!N154),"","x")</f>
        <v/>
      </c>
      <c r="P150" t="str">
        <f>IF(ISBLANK(JP!O154),"","x")</f>
        <v/>
      </c>
      <c r="Q150" t="str">
        <f>IF(ISBLANK(JP!P154),"","x")</f>
        <v/>
      </c>
      <c r="R150" t="str">
        <f>IF(ISBLANK(JP!Q154),"","x")</f>
        <v>x</v>
      </c>
      <c r="S150" t="str">
        <f>IF(ISBLANK(JP!R154),"","x")</f>
        <v/>
      </c>
      <c r="T150" t="str">
        <f>IF(ISBLANK(JP!T154),"","x")</f>
        <v/>
      </c>
      <c r="U150" t="str">
        <f>IF(ISBLANK(JP!U154),"","x")</f>
        <v/>
      </c>
      <c r="V150" t="str">
        <f>IF(ISBLANK(JP!V154),"","x")</f>
        <v/>
      </c>
      <c r="W150" t="str">
        <f>IF(ISBLANK(JP!W154),"","x")</f>
        <v/>
      </c>
      <c r="X150" t="str">
        <f>IF(ISBLANK(JP!X154),"","x")</f>
        <v/>
      </c>
      <c r="Y150" t="str">
        <f>IF(ISBLANK(JP!Y154),"","x")</f>
        <v/>
      </c>
      <c r="Z150" t="str">
        <f>IF(ISBLANK(JP!Z154),"","x")</f>
        <v/>
      </c>
      <c r="AA150" t="str">
        <f>IF(ISBLANK(JP!AB154),"","x")</f>
        <v/>
      </c>
      <c r="AB150" t="str">
        <f>IF(ISBLANK(JP!AC154),"","x")</f>
        <v/>
      </c>
      <c r="AC150" t="str">
        <f>IF(ISBLANK(JP!AD154),"","x")</f>
        <v/>
      </c>
      <c r="AD150" t="str">
        <f>IF(ISBLANK(JP!AE154),"","x")</f>
        <v/>
      </c>
      <c r="AE150" t="str">
        <f>IF(ISBLANK(JP!AF154),"","x")</f>
        <v/>
      </c>
      <c r="AF150" t="str">
        <f>IF(ISBLANK(JP!AG154),"","x")</f>
        <v/>
      </c>
      <c r="AG150" t="str">
        <f>IF(ISBLANK(JP!AH154),"","x")</f>
        <v/>
      </c>
      <c r="AH150" t="str">
        <f>IF(ISBLANK(JP!AJ154),"","x")</f>
        <v/>
      </c>
      <c r="AI150" t="str">
        <f>IF(ISBLANK(JP!AK154),"","x")</f>
        <v/>
      </c>
      <c r="AJ150" t="str">
        <f>IF(ISBLANK(JP!AL154),"","x")</f>
        <v/>
      </c>
      <c r="AK150" t="str">
        <f>IF(ISBLANK(JP!AM154),"","x")</f>
        <v/>
      </c>
      <c r="AL150" t="str">
        <f>IF(ISBLANK(JP!AN154),"","x")</f>
        <v/>
      </c>
      <c r="AM150" t="str">
        <f>IF(ISBLANK(JP!AO154),"","x")</f>
        <v/>
      </c>
      <c r="AN150" t="str">
        <f>IF(ISBLANK(JP!AP154),"","x")</f>
        <v/>
      </c>
      <c r="AO150" t="str">
        <f>IF(ISBLANK(JP!AR154),"","x")</f>
        <v/>
      </c>
      <c r="AP150" t="str">
        <f>IF(ISBLANK(JP!AS154),"","x")</f>
        <v/>
      </c>
      <c r="AQ150" t="str">
        <f>IF(ISBLANK(JP!AT154),"","x")</f>
        <v/>
      </c>
      <c r="AR150" t="str">
        <f>IF(ISBLANK(JP!AU154),"","x")</f>
        <v/>
      </c>
      <c r="AS150" t="str">
        <f>IF(ISBLANK(JP!AV154),"","x")</f>
        <v/>
      </c>
      <c r="AT150" t="str">
        <f>IF(ISBLANK(JP!AW154),"","x")</f>
        <v/>
      </c>
      <c r="AU150" t="str">
        <f>IF(ISBLANK(JP!AX154),"","x")</f>
        <v/>
      </c>
    </row>
    <row r="151" spans="2:47">
      <c r="B151">
        <f>IF(ISBLANK(JP!AZ155),"",JP!AZ155)</f>
        <v>10028188</v>
      </c>
      <c r="C151" t="str">
        <f>IF(ISBLANK(JP!BA155),"",JP!BA155)</f>
        <v>THAI KHANENG MINIMART (BLK 285)</v>
      </c>
      <c r="D151" t="str">
        <f>IF(ISBLANK(JP!BC155),"",JP!BC155)</f>
        <v>285 YISHUN AVENUE 6</v>
      </c>
      <c r="E151">
        <f>IF(ISBLANK(JP!BB155),"",JP!BB155)</f>
        <v>1</v>
      </c>
      <c r="F151" t="str">
        <f>IF(ISBLANK(JP!D155),"","x")</f>
        <v/>
      </c>
      <c r="G151" t="str">
        <f>IF(ISBLANK(JP!E155),"","x")</f>
        <v/>
      </c>
      <c r="H151" t="str">
        <f>IF(ISBLANK(JP!F155),"","x")</f>
        <v/>
      </c>
      <c r="I151" t="str">
        <f>IF(ISBLANK(JP!G155),"","x")</f>
        <v/>
      </c>
      <c r="J151" t="str">
        <f>IF(ISBLANK(JP!H155),"","x")</f>
        <v/>
      </c>
      <c r="K151" t="str">
        <f>IF(ISBLANK(JP!I155),"","x")</f>
        <v/>
      </c>
      <c r="L151" t="str">
        <f>IF(ISBLANK(JP!J155),"","x")</f>
        <v/>
      </c>
      <c r="M151" t="str">
        <f>IF(ISBLANK(JP!L155),"","x")</f>
        <v/>
      </c>
      <c r="N151" t="str">
        <f>IF(ISBLANK(JP!M155),"","x")</f>
        <v/>
      </c>
      <c r="O151" t="str">
        <f>IF(ISBLANK(JP!N155),"","x")</f>
        <v/>
      </c>
      <c r="P151" t="str">
        <f>IF(ISBLANK(JP!O155),"","x")</f>
        <v/>
      </c>
      <c r="Q151" t="str">
        <f>IF(ISBLANK(JP!P155),"","x")</f>
        <v/>
      </c>
      <c r="R151" t="str">
        <f>IF(ISBLANK(JP!Q155),"","x")</f>
        <v>x</v>
      </c>
      <c r="S151" t="str">
        <f>IF(ISBLANK(JP!R155),"","x")</f>
        <v/>
      </c>
      <c r="T151" t="str">
        <f>IF(ISBLANK(JP!T155),"","x")</f>
        <v/>
      </c>
      <c r="U151" t="str">
        <f>IF(ISBLANK(JP!U155),"","x")</f>
        <v/>
      </c>
      <c r="V151" t="str">
        <f>IF(ISBLANK(JP!V155),"","x")</f>
        <v/>
      </c>
      <c r="W151" t="str">
        <f>IF(ISBLANK(JP!W155),"","x")</f>
        <v/>
      </c>
      <c r="X151" t="str">
        <f>IF(ISBLANK(JP!X155),"","x")</f>
        <v/>
      </c>
      <c r="Y151" t="str">
        <f>IF(ISBLANK(JP!Y155),"","x")</f>
        <v/>
      </c>
      <c r="Z151" t="str">
        <f>IF(ISBLANK(JP!Z155),"","x")</f>
        <v/>
      </c>
      <c r="AA151" t="str">
        <f>IF(ISBLANK(JP!AB155),"","x")</f>
        <v/>
      </c>
      <c r="AB151" t="str">
        <f>IF(ISBLANK(JP!AC155),"","x")</f>
        <v/>
      </c>
      <c r="AC151" t="str">
        <f>IF(ISBLANK(JP!AD155),"","x")</f>
        <v/>
      </c>
      <c r="AD151" t="str">
        <f>IF(ISBLANK(JP!AE155),"","x")</f>
        <v/>
      </c>
      <c r="AE151" t="str">
        <f>IF(ISBLANK(JP!AF155),"","x")</f>
        <v/>
      </c>
      <c r="AF151" t="str">
        <f>IF(ISBLANK(JP!AG155),"","x")</f>
        <v/>
      </c>
      <c r="AG151" t="str">
        <f>IF(ISBLANK(JP!AH155),"","x")</f>
        <v/>
      </c>
      <c r="AH151" t="str">
        <f>IF(ISBLANK(JP!AJ155),"","x")</f>
        <v/>
      </c>
      <c r="AI151" t="str">
        <f>IF(ISBLANK(JP!AK155),"","x")</f>
        <v/>
      </c>
      <c r="AJ151" t="str">
        <f>IF(ISBLANK(JP!AL155),"","x")</f>
        <v/>
      </c>
      <c r="AK151" t="str">
        <f>IF(ISBLANK(JP!AM155),"","x")</f>
        <v/>
      </c>
      <c r="AL151" t="str">
        <f>IF(ISBLANK(JP!AN155),"","x")</f>
        <v/>
      </c>
      <c r="AM151" t="str">
        <f>IF(ISBLANK(JP!AO155),"","x")</f>
        <v/>
      </c>
      <c r="AN151" t="str">
        <f>IF(ISBLANK(JP!AP155),"","x")</f>
        <v/>
      </c>
      <c r="AO151" t="str">
        <f>IF(ISBLANK(JP!AR155),"","x")</f>
        <v/>
      </c>
      <c r="AP151" t="str">
        <f>IF(ISBLANK(JP!AS155),"","x")</f>
        <v/>
      </c>
      <c r="AQ151" t="str">
        <f>IF(ISBLANK(JP!AT155),"","x")</f>
        <v/>
      </c>
      <c r="AR151" t="str">
        <f>IF(ISBLANK(JP!AU155),"","x")</f>
        <v/>
      </c>
      <c r="AS151" t="str">
        <f>IF(ISBLANK(JP!AV155),"","x")</f>
        <v/>
      </c>
      <c r="AT151" t="str">
        <f>IF(ISBLANK(JP!AW155),"","x")</f>
        <v/>
      </c>
      <c r="AU151" t="str">
        <f>IF(ISBLANK(JP!AX155),"","x")</f>
        <v/>
      </c>
    </row>
    <row r="152" spans="2:47">
      <c r="B152">
        <f>IF(ISBLANK(JP!AZ156),"",JP!AZ156)</f>
        <v>10005217</v>
      </c>
      <c r="C152" t="str">
        <f>IF(ISBLANK(JP!BA156),"",JP!BA156)</f>
        <v>TOH ENG LEE (PSC)</v>
      </c>
      <c r="D152" t="str">
        <f>IF(ISBLANK(JP!BC156),"",JP!BC156)</f>
        <v>291 YISHUN STREET 22</v>
      </c>
      <c r="E152">
        <f>IF(ISBLANK(JP!BB156),"",JP!BB156)</f>
        <v>1</v>
      </c>
      <c r="F152" t="str">
        <f>IF(ISBLANK(JP!D156),"","x")</f>
        <v/>
      </c>
      <c r="G152" t="str">
        <f>IF(ISBLANK(JP!E156),"","x")</f>
        <v/>
      </c>
      <c r="H152" t="str">
        <f>IF(ISBLANK(JP!F156),"","x")</f>
        <v/>
      </c>
      <c r="I152" t="str">
        <f>IF(ISBLANK(JP!G156),"","x")</f>
        <v/>
      </c>
      <c r="J152" t="str">
        <f>IF(ISBLANK(JP!H156),"","x")</f>
        <v/>
      </c>
      <c r="K152" t="str">
        <f>IF(ISBLANK(JP!I156),"","x")</f>
        <v/>
      </c>
      <c r="L152" t="str">
        <f>IF(ISBLANK(JP!J156),"","x")</f>
        <v/>
      </c>
      <c r="M152" t="str">
        <f>IF(ISBLANK(JP!L156),"","x")</f>
        <v/>
      </c>
      <c r="N152" t="str">
        <f>IF(ISBLANK(JP!M156),"","x")</f>
        <v/>
      </c>
      <c r="O152" t="str">
        <f>IF(ISBLANK(JP!N156),"","x")</f>
        <v/>
      </c>
      <c r="P152" t="str">
        <f>IF(ISBLANK(JP!O156),"","x")</f>
        <v/>
      </c>
      <c r="Q152" t="str">
        <f>IF(ISBLANK(JP!P156),"","x")</f>
        <v/>
      </c>
      <c r="R152" t="str">
        <f>IF(ISBLANK(JP!Q156),"","x")</f>
        <v>x</v>
      </c>
      <c r="S152" t="str">
        <f>IF(ISBLANK(JP!R156),"","x")</f>
        <v/>
      </c>
      <c r="T152" t="str">
        <f>IF(ISBLANK(JP!T156),"","x")</f>
        <v/>
      </c>
      <c r="U152" t="str">
        <f>IF(ISBLANK(JP!U156),"","x")</f>
        <v/>
      </c>
      <c r="V152" t="str">
        <f>IF(ISBLANK(JP!V156),"","x")</f>
        <v/>
      </c>
      <c r="W152" t="str">
        <f>IF(ISBLANK(JP!W156),"","x")</f>
        <v/>
      </c>
      <c r="X152" t="str">
        <f>IF(ISBLANK(JP!X156),"","x")</f>
        <v/>
      </c>
      <c r="Y152" t="str">
        <f>IF(ISBLANK(JP!Y156),"","x")</f>
        <v/>
      </c>
      <c r="Z152" t="str">
        <f>IF(ISBLANK(JP!Z156),"","x")</f>
        <v/>
      </c>
      <c r="AA152" t="str">
        <f>IF(ISBLANK(JP!AB156),"","x")</f>
        <v/>
      </c>
      <c r="AB152" t="str">
        <f>IF(ISBLANK(JP!AC156),"","x")</f>
        <v/>
      </c>
      <c r="AC152" t="str">
        <f>IF(ISBLANK(JP!AD156),"","x")</f>
        <v/>
      </c>
      <c r="AD152" t="str">
        <f>IF(ISBLANK(JP!AE156),"","x")</f>
        <v/>
      </c>
      <c r="AE152" t="str">
        <f>IF(ISBLANK(JP!AF156),"","x")</f>
        <v/>
      </c>
      <c r="AF152" t="str">
        <f>IF(ISBLANK(JP!AG156),"","x")</f>
        <v/>
      </c>
      <c r="AG152" t="str">
        <f>IF(ISBLANK(JP!AH156),"","x")</f>
        <v/>
      </c>
      <c r="AH152" t="str">
        <f>IF(ISBLANK(JP!AJ156),"","x")</f>
        <v/>
      </c>
      <c r="AI152" t="str">
        <f>IF(ISBLANK(JP!AK156),"","x")</f>
        <v/>
      </c>
      <c r="AJ152" t="str">
        <f>IF(ISBLANK(JP!AL156),"","x")</f>
        <v/>
      </c>
      <c r="AK152" t="str">
        <f>IF(ISBLANK(JP!AM156),"","x")</f>
        <v/>
      </c>
      <c r="AL152" t="str">
        <f>IF(ISBLANK(JP!AN156),"","x")</f>
        <v/>
      </c>
      <c r="AM152" t="str">
        <f>IF(ISBLANK(JP!AO156),"","x")</f>
        <v/>
      </c>
      <c r="AN152" t="str">
        <f>IF(ISBLANK(JP!AP156),"","x")</f>
        <v/>
      </c>
      <c r="AO152" t="str">
        <f>IF(ISBLANK(JP!AR156),"","x")</f>
        <v/>
      </c>
      <c r="AP152" t="str">
        <f>IF(ISBLANK(JP!AS156),"","x")</f>
        <v/>
      </c>
      <c r="AQ152" t="str">
        <f>IF(ISBLANK(JP!AT156),"","x")</f>
        <v/>
      </c>
      <c r="AR152" t="str">
        <f>IF(ISBLANK(JP!AU156),"","x")</f>
        <v/>
      </c>
      <c r="AS152" t="str">
        <f>IF(ISBLANK(JP!AV156),"","x")</f>
        <v/>
      </c>
      <c r="AT152" t="str">
        <f>IF(ISBLANK(JP!AW156),"","x")</f>
        <v/>
      </c>
      <c r="AU152" t="str">
        <f>IF(ISBLANK(JP!AX156),"","x")</f>
        <v/>
      </c>
    </row>
    <row r="153" spans="2:47">
      <c r="B153">
        <f>IF(ISBLANK(JP!AZ157),"",JP!AZ157)</f>
        <v>10045844</v>
      </c>
      <c r="C153" t="str">
        <f>IF(ISBLANK(JP!BA157),"",JP!BA157)</f>
        <v>U STARS PTE. LTD. (YISHUN 291)</v>
      </c>
      <c r="D153" t="str">
        <f>IF(ISBLANK(JP!BC157),"",JP!BC157)</f>
        <v>291 YISHUN STREET 22</v>
      </c>
      <c r="E153">
        <f>IF(ISBLANK(JP!BB157),"",JP!BB157)</f>
        <v>2</v>
      </c>
      <c r="F153" t="str">
        <f>IF(ISBLANK(JP!D157),"","x")</f>
        <v/>
      </c>
      <c r="G153" t="str">
        <f>IF(ISBLANK(JP!E157),"","x")</f>
        <v/>
      </c>
      <c r="H153" t="str">
        <f>IF(ISBLANK(JP!F157),"","x")</f>
        <v/>
      </c>
      <c r="I153" t="str">
        <f>IF(ISBLANK(JP!G157),"","x")</f>
        <v/>
      </c>
      <c r="J153" t="str">
        <f>IF(ISBLANK(JP!H157),"","x")</f>
        <v/>
      </c>
      <c r="K153" t="str">
        <f>IF(ISBLANK(JP!I157),"","x")</f>
        <v/>
      </c>
      <c r="L153" t="str">
        <f>IF(ISBLANK(JP!J157),"","x")</f>
        <v/>
      </c>
      <c r="M153" t="str">
        <f>IF(ISBLANK(JP!L157),"","x")</f>
        <v/>
      </c>
      <c r="N153" t="str">
        <f>IF(ISBLANK(JP!M157),"","x")</f>
        <v/>
      </c>
      <c r="O153" t="str">
        <f>IF(ISBLANK(JP!N157),"","x")</f>
        <v/>
      </c>
      <c r="P153" t="str">
        <f>IF(ISBLANK(JP!O157),"","x")</f>
        <v/>
      </c>
      <c r="Q153" t="str">
        <f>IF(ISBLANK(JP!P157),"","x")</f>
        <v/>
      </c>
      <c r="R153" t="str">
        <f>IF(ISBLANK(JP!Q157),"","x")</f>
        <v>x</v>
      </c>
      <c r="S153" t="str">
        <f>IF(ISBLANK(JP!R157),"","x")</f>
        <v/>
      </c>
      <c r="T153" t="str">
        <f>IF(ISBLANK(JP!T157),"","x")</f>
        <v/>
      </c>
      <c r="U153" t="str">
        <f>IF(ISBLANK(JP!U157),"","x")</f>
        <v/>
      </c>
      <c r="V153" t="str">
        <f>IF(ISBLANK(JP!V157),"","x")</f>
        <v/>
      </c>
      <c r="W153" t="str">
        <f>IF(ISBLANK(JP!W157),"","x")</f>
        <v/>
      </c>
      <c r="X153" t="str">
        <f>IF(ISBLANK(JP!X157),"","x")</f>
        <v/>
      </c>
      <c r="Y153" t="str">
        <f>IF(ISBLANK(JP!Y157),"","x")</f>
        <v/>
      </c>
      <c r="Z153" t="str">
        <f>IF(ISBLANK(JP!Z157),"","x")</f>
        <v/>
      </c>
      <c r="AA153" t="str">
        <f>IF(ISBLANK(JP!AB157),"","x")</f>
        <v/>
      </c>
      <c r="AB153" t="str">
        <f>IF(ISBLANK(JP!AC157),"","x")</f>
        <v/>
      </c>
      <c r="AC153" t="str">
        <f>IF(ISBLANK(JP!AD157),"","x")</f>
        <v/>
      </c>
      <c r="AD153" t="str">
        <f>IF(ISBLANK(JP!AE157),"","x")</f>
        <v/>
      </c>
      <c r="AE153" t="str">
        <f>IF(ISBLANK(JP!AF157),"","x")</f>
        <v/>
      </c>
      <c r="AF153" t="str">
        <f>IF(ISBLANK(JP!AG157),"","x")</f>
        <v/>
      </c>
      <c r="AG153" t="str">
        <f>IF(ISBLANK(JP!AH157),"","x")</f>
        <v/>
      </c>
      <c r="AH153" t="str">
        <f>IF(ISBLANK(JP!AJ157),"","x")</f>
        <v/>
      </c>
      <c r="AI153" t="str">
        <f>IF(ISBLANK(JP!AK157),"","x")</f>
        <v/>
      </c>
      <c r="AJ153" t="str">
        <f>IF(ISBLANK(JP!AL157),"","x")</f>
        <v/>
      </c>
      <c r="AK153" t="str">
        <f>IF(ISBLANK(JP!AM157),"","x")</f>
        <v/>
      </c>
      <c r="AL153" t="str">
        <f>IF(ISBLANK(JP!AN157),"","x")</f>
        <v>x</v>
      </c>
      <c r="AM153" t="str">
        <f>IF(ISBLANK(JP!AO157),"","x")</f>
        <v/>
      </c>
      <c r="AN153" t="str">
        <f>IF(ISBLANK(JP!AP157),"","x")</f>
        <v/>
      </c>
      <c r="AO153" t="str">
        <f>IF(ISBLANK(JP!AR157),"","x")</f>
        <v/>
      </c>
      <c r="AP153" t="str">
        <f>IF(ISBLANK(JP!AS157),"","x")</f>
        <v/>
      </c>
      <c r="AQ153" t="str">
        <f>IF(ISBLANK(JP!AT157),"","x")</f>
        <v/>
      </c>
      <c r="AR153" t="str">
        <f>IF(ISBLANK(JP!AU157),"","x")</f>
        <v/>
      </c>
      <c r="AS153" t="str">
        <f>IF(ISBLANK(JP!AV157),"","x")</f>
        <v/>
      </c>
      <c r="AT153" t="str">
        <f>IF(ISBLANK(JP!AW157),"","x")</f>
        <v/>
      </c>
      <c r="AU153" t="str">
        <f>IF(ISBLANK(JP!AX157),"","x")</f>
        <v/>
      </c>
    </row>
    <row r="154" spans="2:47">
      <c r="B154">
        <f>IF(ISBLANK(JP!AZ158),"",JP!AZ158)</f>
        <v>10043115</v>
      </c>
      <c r="C154" t="str">
        <f>IF(ISBLANK(JP!BA158),"",JP!BA158)</f>
        <v>AMMAN HOUSEHOLD SUPPLIES PTE. LTD. (YIS)</v>
      </c>
      <c r="D154" t="str">
        <f>IF(ISBLANK(JP!BC158),"",JP!BC158)</f>
        <v>292 YISHUN STREET 22</v>
      </c>
      <c r="E154">
        <f>IF(ISBLANK(JP!BB158),"",JP!BB158)</f>
        <v>1</v>
      </c>
      <c r="F154" t="str">
        <f>IF(ISBLANK(JP!D158),"","x")</f>
        <v/>
      </c>
      <c r="G154" t="str">
        <f>IF(ISBLANK(JP!E158),"","x")</f>
        <v/>
      </c>
      <c r="H154" t="str">
        <f>IF(ISBLANK(JP!F158),"","x")</f>
        <v/>
      </c>
      <c r="I154" t="str">
        <f>IF(ISBLANK(JP!G158),"","x")</f>
        <v/>
      </c>
      <c r="J154" t="str">
        <f>IF(ISBLANK(JP!H158),"","x")</f>
        <v/>
      </c>
      <c r="K154" t="str">
        <f>IF(ISBLANK(JP!I158),"","x")</f>
        <v/>
      </c>
      <c r="L154" t="str">
        <f>IF(ISBLANK(JP!J158),"","x")</f>
        <v/>
      </c>
      <c r="M154" t="str">
        <f>IF(ISBLANK(JP!L158),"","x")</f>
        <v/>
      </c>
      <c r="N154" t="str">
        <f>IF(ISBLANK(JP!M158),"","x")</f>
        <v/>
      </c>
      <c r="O154" t="str">
        <f>IF(ISBLANK(JP!N158),"","x")</f>
        <v/>
      </c>
      <c r="P154" t="str">
        <f>IF(ISBLANK(JP!O158),"","x")</f>
        <v/>
      </c>
      <c r="Q154" t="str">
        <f>IF(ISBLANK(JP!P158),"","x")</f>
        <v/>
      </c>
      <c r="R154" t="str">
        <f>IF(ISBLANK(JP!Q158),"","x")</f>
        <v/>
      </c>
      <c r="S154" t="str">
        <f>IF(ISBLANK(JP!R158),"","x")</f>
        <v/>
      </c>
      <c r="T154" t="str">
        <f>IF(ISBLANK(JP!T158),"","x")</f>
        <v/>
      </c>
      <c r="U154" t="str">
        <f>IF(ISBLANK(JP!U158),"","x")</f>
        <v/>
      </c>
      <c r="V154" t="str">
        <f>IF(ISBLANK(JP!V158),"","x")</f>
        <v/>
      </c>
      <c r="W154" t="str">
        <f>IF(ISBLANK(JP!W158),"","x")</f>
        <v/>
      </c>
      <c r="X154" t="str">
        <f>IF(ISBLANK(JP!X158),"","x")</f>
        <v/>
      </c>
      <c r="Y154" t="str">
        <f>IF(ISBLANK(JP!Y158),"","x")</f>
        <v/>
      </c>
      <c r="Z154" t="str">
        <f>IF(ISBLANK(JP!Z158),"","x")</f>
        <v/>
      </c>
      <c r="AA154" t="str">
        <f>IF(ISBLANK(JP!AB158),"","x")</f>
        <v/>
      </c>
      <c r="AB154" t="str">
        <f>IF(ISBLANK(JP!AC158),"","x")</f>
        <v/>
      </c>
      <c r="AC154" t="str">
        <f>IF(ISBLANK(JP!AD158),"","x")</f>
        <v/>
      </c>
      <c r="AD154" t="str">
        <f>IF(ISBLANK(JP!AE158),"","x")</f>
        <v/>
      </c>
      <c r="AE154" t="str">
        <f>IF(ISBLANK(JP!AF158),"","x")</f>
        <v/>
      </c>
      <c r="AF154" t="str">
        <f>IF(ISBLANK(JP!AG158),"","x")</f>
        <v/>
      </c>
      <c r="AG154" t="str">
        <f>IF(ISBLANK(JP!AH158),"","x")</f>
        <v/>
      </c>
      <c r="AH154" t="str">
        <f>IF(ISBLANK(JP!AJ158),"","x")</f>
        <v/>
      </c>
      <c r="AI154" t="str">
        <f>IF(ISBLANK(JP!AK158),"","x")</f>
        <v/>
      </c>
      <c r="AJ154" t="str">
        <f>IF(ISBLANK(JP!AL158),"","x")</f>
        <v/>
      </c>
      <c r="AK154" t="str">
        <f>IF(ISBLANK(JP!AM158),"","x")</f>
        <v/>
      </c>
      <c r="AL154" t="str">
        <f>IF(ISBLANK(JP!AN158),"","x")</f>
        <v>x</v>
      </c>
      <c r="AM154" t="str">
        <f>IF(ISBLANK(JP!AO158),"","x")</f>
        <v/>
      </c>
      <c r="AN154" t="str">
        <f>IF(ISBLANK(JP!AP158),"","x")</f>
        <v/>
      </c>
      <c r="AO154" t="str">
        <f>IF(ISBLANK(JP!AR158),"","x")</f>
        <v/>
      </c>
      <c r="AP154" t="str">
        <f>IF(ISBLANK(JP!AS158),"","x")</f>
        <v/>
      </c>
      <c r="AQ154" t="str">
        <f>IF(ISBLANK(JP!AT158),"","x")</f>
        <v/>
      </c>
      <c r="AR154" t="str">
        <f>IF(ISBLANK(JP!AU158),"","x")</f>
        <v/>
      </c>
      <c r="AS154" t="str">
        <f>IF(ISBLANK(JP!AV158),"","x")</f>
        <v/>
      </c>
      <c r="AT154" t="str">
        <f>IF(ISBLANK(JP!AW158),"","x")</f>
        <v/>
      </c>
      <c r="AU154" t="str">
        <f>IF(ISBLANK(JP!AX158),"","x")</f>
        <v/>
      </c>
    </row>
    <row r="155" spans="2:47">
      <c r="B155">
        <f>IF(ISBLANK(JP!AZ159),"",JP!AZ159)</f>
        <v>10044788</v>
      </c>
      <c r="C155" t="str">
        <f>IF(ISBLANK(JP!BA159),"",JP!BA159)</f>
        <v>A-STAR CASH &amp; CARRY (292 YISHUN)</v>
      </c>
      <c r="D155" t="str">
        <f>IF(ISBLANK(JP!BC159),"",JP!BC159)</f>
        <v>292 YISHUN STREET 22</v>
      </c>
      <c r="E155">
        <f>IF(ISBLANK(JP!BB159),"",JP!BB159)</f>
        <v>1</v>
      </c>
      <c r="F155" t="str">
        <f>IF(ISBLANK(JP!D159),"","x")</f>
        <v/>
      </c>
      <c r="G155" t="str">
        <f>IF(ISBLANK(JP!E159),"","x")</f>
        <v/>
      </c>
      <c r="H155" t="str">
        <f>IF(ISBLANK(JP!F159),"","x")</f>
        <v/>
      </c>
      <c r="I155" t="str">
        <f>IF(ISBLANK(JP!G159),"","x")</f>
        <v/>
      </c>
      <c r="J155" t="str">
        <f>IF(ISBLANK(JP!H159),"","x")</f>
        <v/>
      </c>
      <c r="K155" t="str">
        <f>IF(ISBLANK(JP!I159),"","x")</f>
        <v/>
      </c>
      <c r="L155" t="str">
        <f>IF(ISBLANK(JP!J159),"","x")</f>
        <v/>
      </c>
      <c r="M155" t="str">
        <f>IF(ISBLANK(JP!L159),"","x")</f>
        <v/>
      </c>
      <c r="N155" t="str">
        <f>IF(ISBLANK(JP!M159),"","x")</f>
        <v/>
      </c>
      <c r="O155" t="str">
        <f>IF(ISBLANK(JP!N159),"","x")</f>
        <v/>
      </c>
      <c r="P155" t="str">
        <f>IF(ISBLANK(JP!O159),"","x")</f>
        <v/>
      </c>
      <c r="Q155" t="str">
        <f>IF(ISBLANK(JP!P159),"","x")</f>
        <v/>
      </c>
      <c r="R155" t="str">
        <f>IF(ISBLANK(JP!Q159),"","x")</f>
        <v/>
      </c>
      <c r="S155" t="str">
        <f>IF(ISBLANK(JP!R159),"","x")</f>
        <v/>
      </c>
      <c r="T155" t="str">
        <f>IF(ISBLANK(JP!T159),"","x")</f>
        <v/>
      </c>
      <c r="U155" t="str">
        <f>IF(ISBLANK(JP!U159),"","x")</f>
        <v/>
      </c>
      <c r="V155" t="str">
        <f>IF(ISBLANK(JP!V159),"","x")</f>
        <v/>
      </c>
      <c r="W155" t="str">
        <f>IF(ISBLANK(JP!W159),"","x")</f>
        <v/>
      </c>
      <c r="X155" t="str">
        <f>IF(ISBLANK(JP!X159),"","x")</f>
        <v/>
      </c>
      <c r="Y155" t="str">
        <f>IF(ISBLANK(JP!Y159),"","x")</f>
        <v/>
      </c>
      <c r="Z155" t="str">
        <f>IF(ISBLANK(JP!Z159),"","x")</f>
        <v/>
      </c>
      <c r="AA155" t="str">
        <f>IF(ISBLANK(JP!AB159),"","x")</f>
        <v/>
      </c>
      <c r="AB155" t="str">
        <f>IF(ISBLANK(JP!AC159),"","x")</f>
        <v/>
      </c>
      <c r="AC155" t="str">
        <f>IF(ISBLANK(JP!AD159),"","x")</f>
        <v/>
      </c>
      <c r="AD155" t="str">
        <f>IF(ISBLANK(JP!AE159),"","x")</f>
        <v/>
      </c>
      <c r="AE155" t="str">
        <f>IF(ISBLANK(JP!AF159),"","x")</f>
        <v/>
      </c>
      <c r="AF155" t="str">
        <f>IF(ISBLANK(JP!AG159),"","x")</f>
        <v/>
      </c>
      <c r="AG155" t="str">
        <f>IF(ISBLANK(JP!AH159),"","x")</f>
        <v/>
      </c>
      <c r="AH155" t="str">
        <f>IF(ISBLANK(JP!AJ159),"","x")</f>
        <v/>
      </c>
      <c r="AI155" t="str">
        <f>IF(ISBLANK(JP!AK159),"","x")</f>
        <v/>
      </c>
      <c r="AJ155" t="str">
        <f>IF(ISBLANK(JP!AL159),"","x")</f>
        <v/>
      </c>
      <c r="AK155" t="str">
        <f>IF(ISBLANK(JP!AM159),"","x")</f>
        <v/>
      </c>
      <c r="AL155" t="str">
        <f>IF(ISBLANK(JP!AN159),"","x")</f>
        <v>x</v>
      </c>
      <c r="AM155" t="str">
        <f>IF(ISBLANK(JP!AO159),"","x")</f>
        <v/>
      </c>
      <c r="AN155" t="str">
        <f>IF(ISBLANK(JP!AP159),"","x")</f>
        <v/>
      </c>
      <c r="AO155" t="str">
        <f>IF(ISBLANK(JP!AR159),"","x")</f>
        <v/>
      </c>
      <c r="AP155" t="str">
        <f>IF(ISBLANK(JP!AS159),"","x")</f>
        <v/>
      </c>
      <c r="AQ155" t="str">
        <f>IF(ISBLANK(JP!AT159),"","x")</f>
        <v/>
      </c>
      <c r="AR155" t="str">
        <f>IF(ISBLANK(JP!AU159),"","x")</f>
        <v/>
      </c>
      <c r="AS155" t="str">
        <f>IF(ISBLANK(JP!AV159),"","x")</f>
        <v/>
      </c>
      <c r="AT155" t="str">
        <f>IF(ISBLANK(JP!AW159),"","x")</f>
        <v/>
      </c>
      <c r="AU155" t="str">
        <f>IF(ISBLANK(JP!AX159),"","x")</f>
        <v/>
      </c>
    </row>
    <row r="156" spans="2:47">
      <c r="B156">
        <f>IF(ISBLANK(JP!AZ160),"",JP!AZ160)</f>
        <v>10041963</v>
      </c>
      <c r="C156" t="str">
        <f>IF(ISBLANK(JP!BA160),"",JP!BA160)</f>
        <v>SMART99</v>
      </c>
      <c r="D156" t="str">
        <f>IF(ISBLANK(JP!BC160),"",JP!BC160)</f>
        <v>317 YISHUN AVENUE 9</v>
      </c>
      <c r="E156">
        <f>IF(ISBLANK(JP!BB160),"",JP!BB160)</f>
        <v>1</v>
      </c>
      <c r="F156" t="str">
        <f>IF(ISBLANK(JP!D160),"","x")</f>
        <v/>
      </c>
      <c r="G156" t="str">
        <f>IF(ISBLANK(JP!E160),"","x")</f>
        <v/>
      </c>
      <c r="H156" t="str">
        <f>IF(ISBLANK(JP!F160),"","x")</f>
        <v/>
      </c>
      <c r="I156" t="str">
        <f>IF(ISBLANK(JP!G160),"","x")</f>
        <v/>
      </c>
      <c r="J156" t="str">
        <f>IF(ISBLANK(JP!H160),"","x")</f>
        <v/>
      </c>
      <c r="K156" t="str">
        <f>IF(ISBLANK(JP!I160),"","x")</f>
        <v/>
      </c>
      <c r="L156" t="str">
        <f>IF(ISBLANK(JP!J160),"","x")</f>
        <v/>
      </c>
      <c r="M156" t="str">
        <f>IF(ISBLANK(JP!L160),"","x")</f>
        <v/>
      </c>
      <c r="N156" t="str">
        <f>IF(ISBLANK(JP!M160),"","x")</f>
        <v>x</v>
      </c>
      <c r="O156" t="str">
        <f>IF(ISBLANK(JP!N160),"","x")</f>
        <v/>
      </c>
      <c r="P156" t="str">
        <f>IF(ISBLANK(JP!O160),"","x")</f>
        <v/>
      </c>
      <c r="Q156" t="str">
        <f>IF(ISBLANK(JP!P160),"","x")</f>
        <v/>
      </c>
      <c r="R156" t="str">
        <f>IF(ISBLANK(JP!Q160),"","x")</f>
        <v/>
      </c>
      <c r="S156" t="str">
        <f>IF(ISBLANK(JP!R160),"","x")</f>
        <v/>
      </c>
      <c r="T156" t="str">
        <f>IF(ISBLANK(JP!T160),"","x")</f>
        <v/>
      </c>
      <c r="U156" t="str">
        <f>IF(ISBLANK(JP!U160),"","x")</f>
        <v/>
      </c>
      <c r="V156" t="str">
        <f>IF(ISBLANK(JP!V160),"","x")</f>
        <v/>
      </c>
      <c r="W156" t="str">
        <f>IF(ISBLANK(JP!W160),"","x")</f>
        <v/>
      </c>
      <c r="X156" t="str">
        <f>IF(ISBLANK(JP!X160),"","x")</f>
        <v/>
      </c>
      <c r="Y156" t="str">
        <f>IF(ISBLANK(JP!Y160),"","x")</f>
        <v/>
      </c>
      <c r="Z156" t="str">
        <f>IF(ISBLANK(JP!Z160),"","x")</f>
        <v/>
      </c>
      <c r="AA156" t="str">
        <f>IF(ISBLANK(JP!AB160),"","x")</f>
        <v/>
      </c>
      <c r="AB156" t="str">
        <f>IF(ISBLANK(JP!AC160),"","x")</f>
        <v/>
      </c>
      <c r="AC156" t="str">
        <f>IF(ISBLANK(JP!AD160),"","x")</f>
        <v/>
      </c>
      <c r="AD156" t="str">
        <f>IF(ISBLANK(JP!AE160),"","x")</f>
        <v/>
      </c>
      <c r="AE156" t="str">
        <f>IF(ISBLANK(JP!AF160),"","x")</f>
        <v/>
      </c>
      <c r="AF156" t="str">
        <f>IF(ISBLANK(JP!AG160),"","x")</f>
        <v/>
      </c>
      <c r="AG156" t="str">
        <f>IF(ISBLANK(JP!AH160),"","x")</f>
        <v/>
      </c>
      <c r="AH156" t="str">
        <f>IF(ISBLANK(JP!AJ160),"","x")</f>
        <v/>
      </c>
      <c r="AI156" t="str">
        <f>IF(ISBLANK(JP!AK160),"","x")</f>
        <v/>
      </c>
      <c r="AJ156" t="str">
        <f>IF(ISBLANK(JP!AL160),"","x")</f>
        <v/>
      </c>
      <c r="AK156" t="str">
        <f>IF(ISBLANK(JP!AM160),"","x")</f>
        <v/>
      </c>
      <c r="AL156" t="str">
        <f>IF(ISBLANK(JP!AN160),"","x")</f>
        <v/>
      </c>
      <c r="AM156" t="str">
        <f>IF(ISBLANK(JP!AO160),"","x")</f>
        <v/>
      </c>
      <c r="AN156" t="str">
        <f>IF(ISBLANK(JP!AP160),"","x")</f>
        <v/>
      </c>
      <c r="AO156" t="str">
        <f>IF(ISBLANK(JP!AR160),"","x")</f>
        <v/>
      </c>
      <c r="AP156" t="str">
        <f>IF(ISBLANK(JP!AS160),"","x")</f>
        <v/>
      </c>
      <c r="AQ156" t="str">
        <f>IF(ISBLANK(JP!AT160),"","x")</f>
        <v/>
      </c>
      <c r="AR156" t="str">
        <f>IF(ISBLANK(JP!AU160),"","x")</f>
        <v/>
      </c>
      <c r="AS156" t="str">
        <f>IF(ISBLANK(JP!AV160),"","x")</f>
        <v/>
      </c>
      <c r="AT156" t="str">
        <f>IF(ISBLANK(JP!AW160),"","x")</f>
        <v/>
      </c>
      <c r="AU156" t="str">
        <f>IF(ISBLANK(JP!AX160),"","x")</f>
        <v/>
      </c>
    </row>
    <row r="157" spans="2:47">
      <c r="B157">
        <f>IF(ISBLANK(JP!AZ161),"",JP!AZ161)</f>
        <v>10043831</v>
      </c>
      <c r="C157" t="str">
        <f>IF(ISBLANK(JP!BA161),"",JP!BA161)</f>
        <v>YU YIN TRADING</v>
      </c>
      <c r="D157" t="str">
        <f>IF(ISBLANK(JP!BC161),"",JP!BC161)</f>
        <v>348 YISHUN AVENUE 11</v>
      </c>
      <c r="E157">
        <f>IF(ISBLANK(JP!BB161),"",JP!BB161)</f>
        <v>1</v>
      </c>
      <c r="F157" t="str">
        <f>IF(ISBLANK(JP!D161),"","x")</f>
        <v/>
      </c>
      <c r="G157" t="str">
        <f>IF(ISBLANK(JP!E161),"","x")</f>
        <v/>
      </c>
      <c r="H157" t="str">
        <f>IF(ISBLANK(JP!F161),"","x")</f>
        <v/>
      </c>
      <c r="I157" t="str">
        <f>IF(ISBLANK(JP!G161),"","x")</f>
        <v/>
      </c>
      <c r="J157" t="str">
        <f>IF(ISBLANK(JP!H161),"","x")</f>
        <v/>
      </c>
      <c r="K157" t="str">
        <f>IF(ISBLANK(JP!I161),"","x")</f>
        <v/>
      </c>
      <c r="L157" t="str">
        <f>IF(ISBLANK(JP!J161),"","x")</f>
        <v/>
      </c>
      <c r="M157" t="str">
        <f>IF(ISBLANK(JP!L161),"","x")</f>
        <v/>
      </c>
      <c r="N157" t="str">
        <f>IF(ISBLANK(JP!M161),"","x")</f>
        <v>x</v>
      </c>
      <c r="O157" t="str">
        <f>IF(ISBLANK(JP!N161),"","x")</f>
        <v/>
      </c>
      <c r="P157" t="str">
        <f>IF(ISBLANK(JP!O161),"","x")</f>
        <v/>
      </c>
      <c r="Q157" t="str">
        <f>IF(ISBLANK(JP!P161),"","x")</f>
        <v/>
      </c>
      <c r="R157" t="str">
        <f>IF(ISBLANK(JP!Q161),"","x")</f>
        <v/>
      </c>
      <c r="S157" t="str">
        <f>IF(ISBLANK(JP!R161),"","x")</f>
        <v/>
      </c>
      <c r="T157" t="str">
        <f>IF(ISBLANK(JP!T161),"","x")</f>
        <v/>
      </c>
      <c r="U157" t="str">
        <f>IF(ISBLANK(JP!U161),"","x")</f>
        <v/>
      </c>
      <c r="V157" t="str">
        <f>IF(ISBLANK(JP!V161),"","x")</f>
        <v/>
      </c>
      <c r="W157" t="str">
        <f>IF(ISBLANK(JP!W161),"","x")</f>
        <v/>
      </c>
      <c r="X157" t="str">
        <f>IF(ISBLANK(JP!X161),"","x")</f>
        <v/>
      </c>
      <c r="Y157" t="str">
        <f>IF(ISBLANK(JP!Y161),"","x")</f>
        <v/>
      </c>
      <c r="Z157" t="str">
        <f>IF(ISBLANK(JP!Z161),"","x")</f>
        <v/>
      </c>
      <c r="AA157" t="str">
        <f>IF(ISBLANK(JP!AB161),"","x")</f>
        <v/>
      </c>
      <c r="AB157" t="str">
        <f>IF(ISBLANK(JP!AC161),"","x")</f>
        <v/>
      </c>
      <c r="AC157" t="str">
        <f>IF(ISBLANK(JP!AD161),"","x")</f>
        <v/>
      </c>
      <c r="AD157" t="str">
        <f>IF(ISBLANK(JP!AE161),"","x")</f>
        <v/>
      </c>
      <c r="AE157" t="str">
        <f>IF(ISBLANK(JP!AF161),"","x")</f>
        <v/>
      </c>
      <c r="AF157" t="str">
        <f>IF(ISBLANK(JP!AG161),"","x")</f>
        <v/>
      </c>
      <c r="AG157" t="str">
        <f>IF(ISBLANK(JP!AH161),"","x")</f>
        <v/>
      </c>
      <c r="AH157" t="str">
        <f>IF(ISBLANK(JP!AJ161),"","x")</f>
        <v/>
      </c>
      <c r="AI157" t="str">
        <f>IF(ISBLANK(JP!AK161),"","x")</f>
        <v/>
      </c>
      <c r="AJ157" t="str">
        <f>IF(ISBLANK(JP!AL161),"","x")</f>
        <v/>
      </c>
      <c r="AK157" t="str">
        <f>IF(ISBLANK(JP!AM161),"","x")</f>
        <v/>
      </c>
      <c r="AL157" t="str">
        <f>IF(ISBLANK(JP!AN161),"","x")</f>
        <v/>
      </c>
      <c r="AM157" t="str">
        <f>IF(ISBLANK(JP!AO161),"","x")</f>
        <v/>
      </c>
      <c r="AN157" t="str">
        <f>IF(ISBLANK(JP!AP161),"","x")</f>
        <v/>
      </c>
      <c r="AO157" t="str">
        <f>IF(ISBLANK(JP!AR161),"","x")</f>
        <v/>
      </c>
      <c r="AP157" t="str">
        <f>IF(ISBLANK(JP!AS161),"","x")</f>
        <v/>
      </c>
      <c r="AQ157" t="str">
        <f>IF(ISBLANK(JP!AT161),"","x")</f>
        <v/>
      </c>
      <c r="AR157" t="str">
        <f>IF(ISBLANK(JP!AU161),"","x")</f>
        <v/>
      </c>
      <c r="AS157" t="str">
        <f>IF(ISBLANK(JP!AV161),"","x")</f>
        <v/>
      </c>
      <c r="AT157" t="str">
        <f>IF(ISBLANK(JP!AW161),"","x")</f>
        <v/>
      </c>
      <c r="AU157" t="str">
        <f>IF(ISBLANK(JP!AX161),"","x")</f>
        <v/>
      </c>
    </row>
    <row r="158" spans="2:47">
      <c r="B158">
        <f>IF(ISBLANK(JP!AZ162),"",JP!AZ162)</f>
        <v>10046313</v>
      </c>
      <c r="C158" t="str">
        <f>IF(ISBLANK(JP!BA162),"",JP!BA162)</f>
        <v>ZHONG GUO CAO SHI (417)</v>
      </c>
      <c r="D158" t="str">
        <f>IF(ISBLANK(JP!BC162),"",JP!BC162)</f>
        <v>417 YISHUN AVENUE 11</v>
      </c>
      <c r="E158">
        <f>IF(ISBLANK(JP!BB162),"",JP!BB162)</f>
        <v>1</v>
      </c>
      <c r="F158" t="str">
        <f>IF(ISBLANK(JP!D162),"","x")</f>
        <v/>
      </c>
      <c r="G158" t="str">
        <f>IF(ISBLANK(JP!E162),"","x")</f>
        <v/>
      </c>
      <c r="H158" t="str">
        <f>IF(ISBLANK(JP!F162),"","x")</f>
        <v/>
      </c>
      <c r="I158" t="str">
        <f>IF(ISBLANK(JP!G162),"","x")</f>
        <v/>
      </c>
      <c r="J158" t="str">
        <f>IF(ISBLANK(JP!H162),"","x")</f>
        <v/>
      </c>
      <c r="K158" t="str">
        <f>IF(ISBLANK(JP!I162),"","x")</f>
        <v/>
      </c>
      <c r="L158" t="str">
        <f>IF(ISBLANK(JP!J162),"","x")</f>
        <v/>
      </c>
      <c r="M158" t="str">
        <f>IF(ISBLANK(JP!L162),"","x")</f>
        <v/>
      </c>
      <c r="N158" t="str">
        <f>IF(ISBLANK(JP!M162),"","x")</f>
        <v>x</v>
      </c>
      <c r="O158" t="str">
        <f>IF(ISBLANK(JP!N162),"","x")</f>
        <v/>
      </c>
      <c r="P158" t="str">
        <f>IF(ISBLANK(JP!O162),"","x")</f>
        <v/>
      </c>
      <c r="Q158" t="str">
        <f>IF(ISBLANK(JP!P162),"","x")</f>
        <v/>
      </c>
      <c r="R158" t="str">
        <f>IF(ISBLANK(JP!Q162),"","x")</f>
        <v/>
      </c>
      <c r="S158" t="str">
        <f>IF(ISBLANK(JP!R162),"","x")</f>
        <v/>
      </c>
      <c r="T158" t="str">
        <f>IF(ISBLANK(JP!T162),"","x")</f>
        <v/>
      </c>
      <c r="U158" t="str">
        <f>IF(ISBLANK(JP!U162),"","x")</f>
        <v/>
      </c>
      <c r="V158" t="str">
        <f>IF(ISBLANK(JP!V162),"","x")</f>
        <v/>
      </c>
      <c r="W158" t="str">
        <f>IF(ISBLANK(JP!W162),"","x")</f>
        <v/>
      </c>
      <c r="X158" t="str">
        <f>IF(ISBLANK(JP!X162),"","x")</f>
        <v/>
      </c>
      <c r="Y158" t="str">
        <f>IF(ISBLANK(JP!Y162),"","x")</f>
        <v/>
      </c>
      <c r="Z158" t="str">
        <f>IF(ISBLANK(JP!Z162),"","x")</f>
        <v/>
      </c>
      <c r="AA158" t="str">
        <f>IF(ISBLANK(JP!AB162),"","x")</f>
        <v/>
      </c>
      <c r="AB158" t="str">
        <f>IF(ISBLANK(JP!AC162),"","x")</f>
        <v/>
      </c>
      <c r="AC158" t="str">
        <f>IF(ISBLANK(JP!AD162),"","x")</f>
        <v/>
      </c>
      <c r="AD158" t="str">
        <f>IF(ISBLANK(JP!AE162),"","x")</f>
        <v/>
      </c>
      <c r="AE158" t="str">
        <f>IF(ISBLANK(JP!AF162),"","x")</f>
        <v/>
      </c>
      <c r="AF158" t="str">
        <f>IF(ISBLANK(JP!AG162),"","x")</f>
        <v/>
      </c>
      <c r="AG158" t="str">
        <f>IF(ISBLANK(JP!AH162),"","x")</f>
        <v/>
      </c>
      <c r="AH158" t="str">
        <f>IF(ISBLANK(JP!AJ162),"","x")</f>
        <v/>
      </c>
      <c r="AI158" t="str">
        <f>IF(ISBLANK(JP!AK162),"","x")</f>
        <v/>
      </c>
      <c r="AJ158" t="str">
        <f>IF(ISBLANK(JP!AL162),"","x")</f>
        <v/>
      </c>
      <c r="AK158" t="str">
        <f>IF(ISBLANK(JP!AM162),"","x")</f>
        <v/>
      </c>
      <c r="AL158" t="str">
        <f>IF(ISBLANK(JP!AN162),"","x")</f>
        <v/>
      </c>
      <c r="AM158" t="str">
        <f>IF(ISBLANK(JP!AO162),"","x")</f>
        <v/>
      </c>
      <c r="AN158" t="str">
        <f>IF(ISBLANK(JP!AP162),"","x")</f>
        <v/>
      </c>
      <c r="AO158" t="str">
        <f>IF(ISBLANK(JP!AR162),"","x")</f>
        <v/>
      </c>
      <c r="AP158" t="str">
        <f>IF(ISBLANK(JP!AS162),"","x")</f>
        <v/>
      </c>
      <c r="AQ158" t="str">
        <f>IF(ISBLANK(JP!AT162),"","x")</f>
        <v/>
      </c>
      <c r="AR158" t="str">
        <f>IF(ISBLANK(JP!AU162),"","x")</f>
        <v/>
      </c>
      <c r="AS158" t="str">
        <f>IF(ISBLANK(JP!AV162),"","x")</f>
        <v/>
      </c>
      <c r="AT158" t="str">
        <f>IF(ISBLANK(JP!AW162),"","x")</f>
        <v/>
      </c>
      <c r="AU158" t="str">
        <f>IF(ISBLANK(JP!AX162),"","x")</f>
        <v/>
      </c>
    </row>
    <row r="159" spans="2:47">
      <c r="B159">
        <f>IF(ISBLANK(JP!AZ163),"",JP!AZ163)</f>
        <v>10043288</v>
      </c>
      <c r="C159" t="str">
        <f>IF(ISBLANK(JP!BA163),"",JP!BA163)</f>
        <v>ZHONG GUO CAO SHI (418)</v>
      </c>
      <c r="D159" t="str">
        <f>IF(ISBLANK(JP!BC163),"",JP!BC163)</f>
        <v>418 YISHUN AVENUE 11</v>
      </c>
      <c r="E159">
        <f>IF(ISBLANK(JP!BB163),"",JP!BB163)</f>
        <v>1</v>
      </c>
      <c r="F159" t="str">
        <f>IF(ISBLANK(JP!D163),"","x")</f>
        <v/>
      </c>
      <c r="G159" t="str">
        <f>IF(ISBLANK(JP!E163),"","x")</f>
        <v/>
      </c>
      <c r="H159" t="str">
        <f>IF(ISBLANK(JP!F163),"","x")</f>
        <v/>
      </c>
      <c r="I159" t="str">
        <f>IF(ISBLANK(JP!G163),"","x")</f>
        <v/>
      </c>
      <c r="J159" t="str">
        <f>IF(ISBLANK(JP!H163),"","x")</f>
        <v/>
      </c>
      <c r="K159" t="str">
        <f>IF(ISBLANK(JP!I163),"","x")</f>
        <v/>
      </c>
      <c r="L159" t="str">
        <f>IF(ISBLANK(JP!J163),"","x")</f>
        <v/>
      </c>
      <c r="M159" t="str">
        <f>IF(ISBLANK(JP!L163),"","x")</f>
        <v/>
      </c>
      <c r="N159" t="str">
        <f>IF(ISBLANK(JP!M163),"","x")</f>
        <v>x</v>
      </c>
      <c r="O159" t="str">
        <f>IF(ISBLANK(JP!N163),"","x")</f>
        <v/>
      </c>
      <c r="P159" t="str">
        <f>IF(ISBLANK(JP!O163),"","x")</f>
        <v/>
      </c>
      <c r="Q159" t="str">
        <f>IF(ISBLANK(JP!P163),"","x")</f>
        <v/>
      </c>
      <c r="R159" t="str">
        <f>IF(ISBLANK(JP!Q163),"","x")</f>
        <v/>
      </c>
      <c r="S159" t="str">
        <f>IF(ISBLANK(JP!R163),"","x")</f>
        <v/>
      </c>
      <c r="T159" t="str">
        <f>IF(ISBLANK(JP!T163),"","x")</f>
        <v/>
      </c>
      <c r="U159" t="str">
        <f>IF(ISBLANK(JP!U163),"","x")</f>
        <v/>
      </c>
      <c r="V159" t="str">
        <f>IF(ISBLANK(JP!V163),"","x")</f>
        <v/>
      </c>
      <c r="W159" t="str">
        <f>IF(ISBLANK(JP!W163),"","x")</f>
        <v/>
      </c>
      <c r="X159" t="str">
        <f>IF(ISBLANK(JP!X163),"","x")</f>
        <v/>
      </c>
      <c r="Y159" t="str">
        <f>IF(ISBLANK(JP!Y163),"","x")</f>
        <v/>
      </c>
      <c r="Z159" t="str">
        <f>IF(ISBLANK(JP!Z163),"","x")</f>
        <v/>
      </c>
      <c r="AA159" t="str">
        <f>IF(ISBLANK(JP!AB163),"","x")</f>
        <v/>
      </c>
      <c r="AB159" t="str">
        <f>IF(ISBLANK(JP!AC163),"","x")</f>
        <v/>
      </c>
      <c r="AC159" t="str">
        <f>IF(ISBLANK(JP!AD163),"","x")</f>
        <v/>
      </c>
      <c r="AD159" t="str">
        <f>IF(ISBLANK(JP!AE163),"","x")</f>
        <v/>
      </c>
      <c r="AE159" t="str">
        <f>IF(ISBLANK(JP!AF163),"","x")</f>
        <v/>
      </c>
      <c r="AF159" t="str">
        <f>IF(ISBLANK(JP!AG163),"","x")</f>
        <v/>
      </c>
      <c r="AG159" t="str">
        <f>IF(ISBLANK(JP!AH163),"","x")</f>
        <v/>
      </c>
      <c r="AH159" t="str">
        <f>IF(ISBLANK(JP!AJ163),"","x")</f>
        <v/>
      </c>
      <c r="AI159" t="str">
        <f>IF(ISBLANK(JP!AK163),"","x")</f>
        <v/>
      </c>
      <c r="AJ159" t="str">
        <f>IF(ISBLANK(JP!AL163),"","x")</f>
        <v/>
      </c>
      <c r="AK159" t="str">
        <f>IF(ISBLANK(JP!AM163),"","x")</f>
        <v/>
      </c>
      <c r="AL159" t="str">
        <f>IF(ISBLANK(JP!AN163),"","x")</f>
        <v/>
      </c>
      <c r="AM159" t="str">
        <f>IF(ISBLANK(JP!AO163),"","x")</f>
        <v/>
      </c>
      <c r="AN159" t="str">
        <f>IF(ISBLANK(JP!AP163),"","x")</f>
        <v/>
      </c>
      <c r="AO159" t="str">
        <f>IF(ISBLANK(JP!AR163),"","x")</f>
        <v/>
      </c>
      <c r="AP159" t="str">
        <f>IF(ISBLANK(JP!AS163),"","x")</f>
        <v/>
      </c>
      <c r="AQ159" t="str">
        <f>IF(ISBLANK(JP!AT163),"","x")</f>
        <v/>
      </c>
      <c r="AR159" t="str">
        <f>IF(ISBLANK(JP!AU163),"","x")</f>
        <v/>
      </c>
      <c r="AS159" t="str">
        <f>IF(ISBLANK(JP!AV163),"","x")</f>
        <v/>
      </c>
      <c r="AT159" t="str">
        <f>IF(ISBLANK(JP!AW163),"","x")</f>
        <v/>
      </c>
      <c r="AU159" t="str">
        <f>IF(ISBLANK(JP!AX163),"","x")</f>
        <v/>
      </c>
    </row>
    <row r="160" spans="2:47">
      <c r="B160">
        <f>IF(ISBLANK(JP!AZ164),"",JP!AZ164)</f>
        <v>10045072</v>
      </c>
      <c r="C160" t="str">
        <f>IF(ISBLANK(JP!BA164),"",JP!BA164)</f>
        <v>S.M. PROVISION PTE LTD</v>
      </c>
      <c r="D160" t="str">
        <f>IF(ISBLANK(JP!BC164),"",JP!BC164)</f>
        <v>418 YISHUN AVENUE 11</v>
      </c>
      <c r="E160">
        <f>IF(ISBLANK(JP!BB164),"",JP!BB164)</f>
        <v>1</v>
      </c>
      <c r="F160" t="str">
        <f>IF(ISBLANK(JP!D164),"","x")</f>
        <v/>
      </c>
      <c r="G160" t="str">
        <f>IF(ISBLANK(JP!E164),"","x")</f>
        <v/>
      </c>
      <c r="H160" t="str">
        <f>IF(ISBLANK(JP!F164),"","x")</f>
        <v/>
      </c>
      <c r="I160" t="str">
        <f>IF(ISBLANK(JP!G164),"","x")</f>
        <v/>
      </c>
      <c r="J160" t="str">
        <f>IF(ISBLANK(JP!H164),"","x")</f>
        <v/>
      </c>
      <c r="K160" t="str">
        <f>IF(ISBLANK(JP!I164),"","x")</f>
        <v/>
      </c>
      <c r="L160" t="str">
        <f>IF(ISBLANK(JP!J164),"","x")</f>
        <v/>
      </c>
      <c r="M160" t="str">
        <f>IF(ISBLANK(JP!L164),"","x")</f>
        <v/>
      </c>
      <c r="N160" t="str">
        <f>IF(ISBLANK(JP!M164),"","x")</f>
        <v>x</v>
      </c>
      <c r="O160" t="str">
        <f>IF(ISBLANK(JP!N164),"","x")</f>
        <v/>
      </c>
      <c r="P160" t="str">
        <f>IF(ISBLANK(JP!O164),"","x")</f>
        <v/>
      </c>
      <c r="Q160" t="str">
        <f>IF(ISBLANK(JP!P164),"","x")</f>
        <v/>
      </c>
      <c r="R160" t="str">
        <f>IF(ISBLANK(JP!Q164),"","x")</f>
        <v/>
      </c>
      <c r="S160" t="str">
        <f>IF(ISBLANK(JP!R164),"","x")</f>
        <v/>
      </c>
      <c r="T160" t="str">
        <f>IF(ISBLANK(JP!T164),"","x")</f>
        <v/>
      </c>
      <c r="U160" t="str">
        <f>IF(ISBLANK(JP!U164),"","x")</f>
        <v/>
      </c>
      <c r="V160" t="str">
        <f>IF(ISBLANK(JP!V164),"","x")</f>
        <v/>
      </c>
      <c r="W160" t="str">
        <f>IF(ISBLANK(JP!W164),"","x")</f>
        <v/>
      </c>
      <c r="X160" t="str">
        <f>IF(ISBLANK(JP!X164),"","x")</f>
        <v/>
      </c>
      <c r="Y160" t="str">
        <f>IF(ISBLANK(JP!Y164),"","x")</f>
        <v/>
      </c>
      <c r="Z160" t="str">
        <f>IF(ISBLANK(JP!Z164),"","x")</f>
        <v/>
      </c>
      <c r="AA160" t="str">
        <f>IF(ISBLANK(JP!AB164),"","x")</f>
        <v/>
      </c>
      <c r="AB160" t="str">
        <f>IF(ISBLANK(JP!AC164),"","x")</f>
        <v/>
      </c>
      <c r="AC160" t="str">
        <f>IF(ISBLANK(JP!AD164),"","x")</f>
        <v/>
      </c>
      <c r="AD160" t="str">
        <f>IF(ISBLANK(JP!AE164),"","x")</f>
        <v/>
      </c>
      <c r="AE160" t="str">
        <f>IF(ISBLANK(JP!AF164),"","x")</f>
        <v/>
      </c>
      <c r="AF160" t="str">
        <f>IF(ISBLANK(JP!AG164),"","x")</f>
        <v/>
      </c>
      <c r="AG160" t="str">
        <f>IF(ISBLANK(JP!AH164),"","x")</f>
        <v/>
      </c>
      <c r="AH160" t="str">
        <f>IF(ISBLANK(JP!AJ164),"","x")</f>
        <v/>
      </c>
      <c r="AI160" t="str">
        <f>IF(ISBLANK(JP!AK164),"","x")</f>
        <v/>
      </c>
      <c r="AJ160" t="str">
        <f>IF(ISBLANK(JP!AL164),"","x")</f>
        <v/>
      </c>
      <c r="AK160" t="str">
        <f>IF(ISBLANK(JP!AM164),"","x")</f>
        <v/>
      </c>
      <c r="AL160" t="str">
        <f>IF(ISBLANK(JP!AN164),"","x")</f>
        <v/>
      </c>
      <c r="AM160" t="str">
        <f>IF(ISBLANK(JP!AO164),"","x")</f>
        <v/>
      </c>
      <c r="AN160" t="str">
        <f>IF(ISBLANK(JP!AP164),"","x")</f>
        <v/>
      </c>
      <c r="AO160" t="str">
        <f>IF(ISBLANK(JP!AR164),"","x")</f>
        <v/>
      </c>
      <c r="AP160" t="str">
        <f>IF(ISBLANK(JP!AS164),"","x")</f>
        <v/>
      </c>
      <c r="AQ160" t="str">
        <f>IF(ISBLANK(JP!AT164),"","x")</f>
        <v/>
      </c>
      <c r="AR160" t="str">
        <f>IF(ISBLANK(JP!AU164),"","x")</f>
        <v/>
      </c>
      <c r="AS160" t="str">
        <f>IF(ISBLANK(JP!AV164),"","x")</f>
        <v/>
      </c>
      <c r="AT160" t="str">
        <f>IF(ISBLANK(JP!AW164),"","x")</f>
        <v/>
      </c>
      <c r="AU160" t="str">
        <f>IF(ISBLANK(JP!AX164),"","x")</f>
        <v/>
      </c>
    </row>
    <row r="161" spans="2:47">
      <c r="B161">
        <f>IF(ISBLANK(JP!AZ165),"",JP!AZ165)</f>
        <v>10015749</v>
      </c>
      <c r="C161" t="str">
        <f>IF(ISBLANK(JP!BA165),"",JP!BA165)</f>
        <v>HENG ENG BOON M/MART (YISHUN AVE 11)</v>
      </c>
      <c r="D161" t="str">
        <f>IF(ISBLANK(JP!BC165),"",JP!BC165)</f>
        <v>419 YISHUN AVENUE 11</v>
      </c>
      <c r="E161">
        <f>IF(ISBLANK(JP!BB165),"",JP!BB165)</f>
        <v>1</v>
      </c>
      <c r="F161" t="str">
        <f>IF(ISBLANK(JP!D165),"","x")</f>
        <v/>
      </c>
      <c r="G161" t="str">
        <f>IF(ISBLANK(JP!E165),"","x")</f>
        <v/>
      </c>
      <c r="H161" t="str">
        <f>IF(ISBLANK(JP!F165),"","x")</f>
        <v/>
      </c>
      <c r="I161" t="str">
        <f>IF(ISBLANK(JP!G165),"","x")</f>
        <v/>
      </c>
      <c r="J161" t="str">
        <f>IF(ISBLANK(JP!H165),"","x")</f>
        <v/>
      </c>
      <c r="K161" t="str">
        <f>IF(ISBLANK(JP!I165),"","x")</f>
        <v/>
      </c>
      <c r="L161" t="str">
        <f>IF(ISBLANK(JP!J165),"","x")</f>
        <v/>
      </c>
      <c r="M161" t="str">
        <f>IF(ISBLANK(JP!L165),"","x")</f>
        <v/>
      </c>
      <c r="N161" t="str">
        <f>IF(ISBLANK(JP!M165),"","x")</f>
        <v>x</v>
      </c>
      <c r="O161" t="str">
        <f>IF(ISBLANK(JP!N165),"","x")</f>
        <v/>
      </c>
      <c r="P161" t="str">
        <f>IF(ISBLANK(JP!O165),"","x")</f>
        <v/>
      </c>
      <c r="Q161" t="str">
        <f>IF(ISBLANK(JP!P165),"","x")</f>
        <v/>
      </c>
      <c r="R161" t="str">
        <f>IF(ISBLANK(JP!Q165),"","x")</f>
        <v/>
      </c>
      <c r="S161" t="str">
        <f>IF(ISBLANK(JP!R165),"","x")</f>
        <v/>
      </c>
      <c r="T161" t="str">
        <f>IF(ISBLANK(JP!T165),"","x")</f>
        <v/>
      </c>
      <c r="U161" t="str">
        <f>IF(ISBLANK(JP!U165),"","x")</f>
        <v/>
      </c>
      <c r="V161" t="str">
        <f>IF(ISBLANK(JP!V165),"","x")</f>
        <v/>
      </c>
      <c r="W161" t="str">
        <f>IF(ISBLANK(JP!W165),"","x")</f>
        <v/>
      </c>
      <c r="X161" t="str">
        <f>IF(ISBLANK(JP!X165),"","x")</f>
        <v/>
      </c>
      <c r="Y161" t="str">
        <f>IF(ISBLANK(JP!Y165),"","x")</f>
        <v/>
      </c>
      <c r="Z161" t="str">
        <f>IF(ISBLANK(JP!Z165),"","x")</f>
        <v/>
      </c>
      <c r="AA161" t="str">
        <f>IF(ISBLANK(JP!AB165),"","x")</f>
        <v/>
      </c>
      <c r="AB161" t="str">
        <f>IF(ISBLANK(JP!AC165),"","x")</f>
        <v/>
      </c>
      <c r="AC161" t="str">
        <f>IF(ISBLANK(JP!AD165),"","x")</f>
        <v/>
      </c>
      <c r="AD161" t="str">
        <f>IF(ISBLANK(JP!AE165),"","x")</f>
        <v/>
      </c>
      <c r="AE161" t="str">
        <f>IF(ISBLANK(JP!AF165),"","x")</f>
        <v/>
      </c>
      <c r="AF161" t="str">
        <f>IF(ISBLANK(JP!AG165),"","x")</f>
        <v/>
      </c>
      <c r="AG161" t="str">
        <f>IF(ISBLANK(JP!AH165),"","x")</f>
        <v/>
      </c>
      <c r="AH161" t="str">
        <f>IF(ISBLANK(JP!AJ165),"","x")</f>
        <v/>
      </c>
      <c r="AI161" t="str">
        <f>IF(ISBLANK(JP!AK165),"","x")</f>
        <v/>
      </c>
      <c r="AJ161" t="str">
        <f>IF(ISBLANK(JP!AL165),"","x")</f>
        <v/>
      </c>
      <c r="AK161" t="str">
        <f>IF(ISBLANK(JP!AM165),"","x")</f>
        <v/>
      </c>
      <c r="AL161" t="str">
        <f>IF(ISBLANK(JP!AN165),"","x")</f>
        <v/>
      </c>
      <c r="AM161" t="str">
        <f>IF(ISBLANK(JP!AO165),"","x")</f>
        <v/>
      </c>
      <c r="AN161" t="str">
        <f>IF(ISBLANK(JP!AP165),"","x")</f>
        <v/>
      </c>
      <c r="AO161" t="str">
        <f>IF(ISBLANK(JP!AR165),"","x")</f>
        <v/>
      </c>
      <c r="AP161" t="str">
        <f>IF(ISBLANK(JP!AS165),"","x")</f>
        <v/>
      </c>
      <c r="AQ161" t="str">
        <f>IF(ISBLANK(JP!AT165),"","x")</f>
        <v/>
      </c>
      <c r="AR161" t="str">
        <f>IF(ISBLANK(JP!AU165),"","x")</f>
        <v/>
      </c>
      <c r="AS161" t="str">
        <f>IF(ISBLANK(JP!AV165),"","x")</f>
        <v/>
      </c>
      <c r="AT161" t="str">
        <f>IF(ISBLANK(JP!AW165),"","x")</f>
        <v/>
      </c>
      <c r="AU161" t="str">
        <f>IF(ISBLANK(JP!AX165),"","x")</f>
        <v/>
      </c>
    </row>
    <row r="162" spans="2:47">
      <c r="B162">
        <f>IF(ISBLANK(JP!AZ166),"",JP!AZ166)</f>
        <v>10041296</v>
      </c>
      <c r="C162" t="str">
        <f>IF(ISBLANK(JP!BA166),"",JP!BA166)</f>
        <v>METRO FRESH MART</v>
      </c>
      <c r="D162" t="str">
        <f>IF(ISBLANK(JP!BC166),"",JP!BC166)</f>
        <v>504 YISHUN STREET 51</v>
      </c>
      <c r="E162">
        <f>IF(ISBLANK(JP!BB166),"",JP!BB166)</f>
        <v>1</v>
      </c>
      <c r="F162" t="str">
        <f>IF(ISBLANK(JP!D166),"","x")</f>
        <v/>
      </c>
      <c r="G162" t="str">
        <f>IF(ISBLANK(JP!E166),"","x")</f>
        <v/>
      </c>
      <c r="H162" t="str">
        <f>IF(ISBLANK(JP!F166),"","x")</f>
        <v/>
      </c>
      <c r="I162" t="str">
        <f>IF(ISBLANK(JP!G166),"","x")</f>
        <v/>
      </c>
      <c r="J162" t="str">
        <f>IF(ISBLANK(JP!H166),"","x")</f>
        <v/>
      </c>
      <c r="K162" t="str">
        <f>IF(ISBLANK(JP!I166),"","x")</f>
        <v/>
      </c>
      <c r="L162" t="str">
        <f>IF(ISBLANK(JP!J166),"","x")</f>
        <v/>
      </c>
      <c r="M162" t="str">
        <f>IF(ISBLANK(JP!L166),"","x")</f>
        <v/>
      </c>
      <c r="N162" t="str">
        <f>IF(ISBLANK(JP!M166),"","x")</f>
        <v>x</v>
      </c>
      <c r="O162" t="str">
        <f>IF(ISBLANK(JP!N166),"","x")</f>
        <v/>
      </c>
      <c r="P162" t="str">
        <f>IF(ISBLANK(JP!O166),"","x")</f>
        <v/>
      </c>
      <c r="Q162" t="str">
        <f>IF(ISBLANK(JP!P166),"","x")</f>
        <v/>
      </c>
      <c r="R162" t="str">
        <f>IF(ISBLANK(JP!Q166),"","x")</f>
        <v/>
      </c>
      <c r="S162" t="str">
        <f>IF(ISBLANK(JP!R166),"","x")</f>
        <v/>
      </c>
      <c r="T162" t="str">
        <f>IF(ISBLANK(JP!T166),"","x")</f>
        <v/>
      </c>
      <c r="U162" t="str">
        <f>IF(ISBLANK(JP!U166),"","x")</f>
        <v/>
      </c>
      <c r="V162" t="str">
        <f>IF(ISBLANK(JP!V166),"","x")</f>
        <v/>
      </c>
      <c r="W162" t="str">
        <f>IF(ISBLANK(JP!W166),"","x")</f>
        <v/>
      </c>
      <c r="X162" t="str">
        <f>IF(ISBLANK(JP!X166),"","x")</f>
        <v/>
      </c>
      <c r="Y162" t="str">
        <f>IF(ISBLANK(JP!Y166),"","x")</f>
        <v/>
      </c>
      <c r="Z162" t="str">
        <f>IF(ISBLANK(JP!Z166),"","x")</f>
        <v/>
      </c>
      <c r="AA162" t="str">
        <f>IF(ISBLANK(JP!AB166),"","x")</f>
        <v/>
      </c>
      <c r="AB162" t="str">
        <f>IF(ISBLANK(JP!AC166),"","x")</f>
        <v/>
      </c>
      <c r="AC162" t="str">
        <f>IF(ISBLANK(JP!AD166),"","x")</f>
        <v/>
      </c>
      <c r="AD162" t="str">
        <f>IF(ISBLANK(JP!AE166),"","x")</f>
        <v/>
      </c>
      <c r="AE162" t="str">
        <f>IF(ISBLANK(JP!AF166),"","x")</f>
        <v/>
      </c>
      <c r="AF162" t="str">
        <f>IF(ISBLANK(JP!AG166),"","x")</f>
        <v/>
      </c>
      <c r="AG162" t="str">
        <f>IF(ISBLANK(JP!AH166),"","x")</f>
        <v/>
      </c>
      <c r="AH162" t="str">
        <f>IF(ISBLANK(JP!AJ166),"","x")</f>
        <v/>
      </c>
      <c r="AI162" t="str">
        <f>IF(ISBLANK(JP!AK166),"","x")</f>
        <v/>
      </c>
      <c r="AJ162" t="str">
        <f>IF(ISBLANK(JP!AL166),"","x")</f>
        <v/>
      </c>
      <c r="AK162" t="str">
        <f>IF(ISBLANK(JP!AM166),"","x")</f>
        <v/>
      </c>
      <c r="AL162" t="str">
        <f>IF(ISBLANK(JP!AN166),"","x")</f>
        <v/>
      </c>
      <c r="AM162" t="str">
        <f>IF(ISBLANK(JP!AO166),"","x")</f>
        <v/>
      </c>
      <c r="AN162" t="str">
        <f>IF(ISBLANK(JP!AP166),"","x")</f>
        <v/>
      </c>
      <c r="AO162" t="str">
        <f>IF(ISBLANK(JP!AR166),"","x")</f>
        <v/>
      </c>
      <c r="AP162" t="str">
        <f>IF(ISBLANK(JP!AS166),"","x")</f>
        <v/>
      </c>
      <c r="AQ162" t="str">
        <f>IF(ISBLANK(JP!AT166),"","x")</f>
        <v/>
      </c>
      <c r="AR162" t="str">
        <f>IF(ISBLANK(JP!AU166),"","x")</f>
        <v/>
      </c>
      <c r="AS162" t="str">
        <f>IF(ISBLANK(JP!AV166),"","x")</f>
        <v/>
      </c>
      <c r="AT162" t="str">
        <f>IF(ISBLANK(JP!AW166),"","x")</f>
        <v/>
      </c>
      <c r="AU162" t="str">
        <f>IF(ISBLANK(JP!AX166),"","x")</f>
        <v/>
      </c>
    </row>
    <row r="163" spans="2:47">
      <c r="B163">
        <f>IF(ISBLANK(JP!AZ167),"",JP!AZ167)</f>
        <v>10043248</v>
      </c>
      <c r="C163" t="str">
        <f>IF(ISBLANK(JP!BA167),"",JP!BA167)</f>
        <v>U STARS SUPERMARKET (YISHUN)</v>
      </c>
      <c r="D163" t="str">
        <f>IF(ISBLANK(JP!BC167),"",JP!BC167)</f>
        <v>507 YISHUN AVENUE 4</v>
      </c>
      <c r="E163">
        <f>IF(ISBLANK(JP!BB167),"",JP!BB167)</f>
        <v>2</v>
      </c>
      <c r="F163" t="str">
        <f>IF(ISBLANK(JP!D167),"","x")</f>
        <v/>
      </c>
      <c r="G163" t="str">
        <f>IF(ISBLANK(JP!E167),"","x")</f>
        <v/>
      </c>
      <c r="H163" t="str">
        <f>IF(ISBLANK(JP!F167),"","x")</f>
        <v/>
      </c>
      <c r="I163" t="str">
        <f>IF(ISBLANK(JP!G167),"","x")</f>
        <v/>
      </c>
      <c r="J163" t="str">
        <f>IF(ISBLANK(JP!H167),"","x")</f>
        <v/>
      </c>
      <c r="K163" t="str">
        <f>IF(ISBLANK(JP!I167),"","x")</f>
        <v/>
      </c>
      <c r="L163" t="str">
        <f>IF(ISBLANK(JP!J167),"","x")</f>
        <v/>
      </c>
      <c r="M163" t="str">
        <f>IF(ISBLANK(JP!L167),"","x")</f>
        <v/>
      </c>
      <c r="N163" t="str">
        <f>IF(ISBLANK(JP!M167),"","x")</f>
        <v/>
      </c>
      <c r="O163" t="str">
        <f>IF(ISBLANK(JP!N167),"","x")</f>
        <v>x</v>
      </c>
      <c r="P163" t="str">
        <f>IF(ISBLANK(JP!O167),"","x")</f>
        <v/>
      </c>
      <c r="Q163" t="str">
        <f>IF(ISBLANK(JP!P167),"","x")</f>
        <v/>
      </c>
      <c r="R163" t="str">
        <f>IF(ISBLANK(JP!Q167),"","x")</f>
        <v/>
      </c>
      <c r="S163" t="str">
        <f>IF(ISBLANK(JP!R167),"","x")</f>
        <v/>
      </c>
      <c r="T163" t="str">
        <f>IF(ISBLANK(JP!T167),"","x")</f>
        <v/>
      </c>
      <c r="U163" t="str">
        <f>IF(ISBLANK(JP!U167),"","x")</f>
        <v/>
      </c>
      <c r="V163" t="str">
        <f>IF(ISBLANK(JP!V167),"","x")</f>
        <v/>
      </c>
      <c r="W163" t="str">
        <f>IF(ISBLANK(JP!W167),"","x")</f>
        <v/>
      </c>
      <c r="X163" t="str">
        <f>IF(ISBLANK(JP!X167),"","x")</f>
        <v/>
      </c>
      <c r="Y163" t="str">
        <f>IF(ISBLANK(JP!Y167),"","x")</f>
        <v/>
      </c>
      <c r="Z163" t="str">
        <f>IF(ISBLANK(JP!Z167),"","x")</f>
        <v/>
      </c>
      <c r="AA163" t="str">
        <f>IF(ISBLANK(JP!AB167),"","x")</f>
        <v/>
      </c>
      <c r="AB163" t="str">
        <f>IF(ISBLANK(JP!AC167),"","x")</f>
        <v/>
      </c>
      <c r="AC163" t="str">
        <f>IF(ISBLANK(JP!AD167),"","x")</f>
        <v/>
      </c>
      <c r="AD163" t="str">
        <f>IF(ISBLANK(JP!AE167),"","x")</f>
        <v/>
      </c>
      <c r="AE163" t="str">
        <f>IF(ISBLANK(JP!AF167),"","x")</f>
        <v/>
      </c>
      <c r="AF163" t="str">
        <f>IF(ISBLANK(JP!AG167),"","x")</f>
        <v/>
      </c>
      <c r="AG163" t="str">
        <f>IF(ISBLANK(JP!AH167),"","x")</f>
        <v/>
      </c>
      <c r="AH163" t="str">
        <f>IF(ISBLANK(JP!AJ167),"","x")</f>
        <v/>
      </c>
      <c r="AI163" t="str">
        <f>IF(ISBLANK(JP!AK167),"","x")</f>
        <v>x</v>
      </c>
      <c r="AJ163" t="str">
        <f>IF(ISBLANK(JP!AL167),"","x")</f>
        <v/>
      </c>
      <c r="AK163" t="str">
        <f>IF(ISBLANK(JP!AM167),"","x")</f>
        <v/>
      </c>
      <c r="AL163" t="str">
        <f>IF(ISBLANK(JP!AN167),"","x")</f>
        <v/>
      </c>
      <c r="AM163" t="str">
        <f>IF(ISBLANK(JP!AO167),"","x")</f>
        <v/>
      </c>
      <c r="AN163" t="str">
        <f>IF(ISBLANK(JP!AP167),"","x")</f>
        <v/>
      </c>
      <c r="AO163" t="str">
        <f>IF(ISBLANK(JP!AR167),"","x")</f>
        <v/>
      </c>
      <c r="AP163" t="str">
        <f>IF(ISBLANK(JP!AS167),"","x")</f>
        <v/>
      </c>
      <c r="AQ163" t="str">
        <f>IF(ISBLANK(JP!AT167),"","x")</f>
        <v/>
      </c>
      <c r="AR163" t="str">
        <f>IF(ISBLANK(JP!AU167),"","x")</f>
        <v/>
      </c>
      <c r="AS163" t="str">
        <f>IF(ISBLANK(JP!AV167),"","x")</f>
        <v/>
      </c>
      <c r="AT163" t="str">
        <f>IF(ISBLANK(JP!AW167),"","x")</f>
        <v/>
      </c>
      <c r="AU163" t="str">
        <f>IF(ISBLANK(JP!AX167),"","x")</f>
        <v/>
      </c>
    </row>
    <row r="164" spans="2:47">
      <c r="B164">
        <f>IF(ISBLANK(JP!AZ168),"",JP!AZ168)</f>
        <v>10009719</v>
      </c>
      <c r="C164" t="str">
        <f>IF(ISBLANK(JP!BA168),"",JP!BA168)</f>
        <v>PIAK LAN HIONG</v>
      </c>
      <c r="D164" t="str">
        <f>IF(ISBLANK(JP!BC168),"",JP!BC168)</f>
        <v>605 YISHUN STREET 61</v>
      </c>
      <c r="E164">
        <f>IF(ISBLANK(JP!BB168),"",JP!BB168)</f>
        <v>1</v>
      </c>
      <c r="F164" t="str">
        <f>IF(ISBLANK(JP!D168),"","x")</f>
        <v/>
      </c>
      <c r="G164" t="str">
        <f>IF(ISBLANK(JP!E168),"","x")</f>
        <v/>
      </c>
      <c r="H164" t="str">
        <f>IF(ISBLANK(JP!F168),"","x")</f>
        <v/>
      </c>
      <c r="I164" t="str">
        <f>IF(ISBLANK(JP!G168),"","x")</f>
        <v/>
      </c>
      <c r="J164" t="str">
        <f>IF(ISBLANK(JP!H168),"","x")</f>
        <v/>
      </c>
      <c r="K164" t="str">
        <f>IF(ISBLANK(JP!I168),"","x")</f>
        <v/>
      </c>
      <c r="L164" t="str">
        <f>IF(ISBLANK(JP!J168),"","x")</f>
        <v/>
      </c>
      <c r="M164" t="str">
        <f>IF(ISBLANK(JP!L168),"","x")</f>
        <v/>
      </c>
      <c r="N164" t="str">
        <f>IF(ISBLANK(JP!M168),"","x")</f>
        <v/>
      </c>
      <c r="O164" t="str">
        <f>IF(ISBLANK(JP!N168),"","x")</f>
        <v>x</v>
      </c>
      <c r="P164" t="str">
        <f>IF(ISBLANK(JP!O168),"","x")</f>
        <v/>
      </c>
      <c r="Q164" t="str">
        <f>IF(ISBLANK(JP!P168),"","x")</f>
        <v/>
      </c>
      <c r="R164" t="str">
        <f>IF(ISBLANK(JP!Q168),"","x")</f>
        <v/>
      </c>
      <c r="S164" t="str">
        <f>IF(ISBLANK(JP!R168),"","x")</f>
        <v/>
      </c>
      <c r="T164" t="str">
        <f>IF(ISBLANK(JP!T168),"","x")</f>
        <v/>
      </c>
      <c r="U164" t="str">
        <f>IF(ISBLANK(JP!U168),"","x")</f>
        <v/>
      </c>
      <c r="V164" t="str">
        <f>IF(ISBLANK(JP!V168),"","x")</f>
        <v/>
      </c>
      <c r="W164" t="str">
        <f>IF(ISBLANK(JP!W168),"","x")</f>
        <v/>
      </c>
      <c r="X164" t="str">
        <f>IF(ISBLANK(JP!X168),"","x")</f>
        <v/>
      </c>
      <c r="Y164" t="str">
        <f>IF(ISBLANK(JP!Y168),"","x")</f>
        <v/>
      </c>
      <c r="Z164" t="str">
        <f>IF(ISBLANK(JP!Z168),"","x")</f>
        <v/>
      </c>
      <c r="AA164" t="str">
        <f>IF(ISBLANK(JP!AB168),"","x")</f>
        <v/>
      </c>
      <c r="AB164" t="str">
        <f>IF(ISBLANK(JP!AC168),"","x")</f>
        <v/>
      </c>
      <c r="AC164" t="str">
        <f>IF(ISBLANK(JP!AD168),"","x")</f>
        <v/>
      </c>
      <c r="AD164" t="str">
        <f>IF(ISBLANK(JP!AE168),"","x")</f>
        <v/>
      </c>
      <c r="AE164" t="str">
        <f>IF(ISBLANK(JP!AF168),"","x")</f>
        <v/>
      </c>
      <c r="AF164" t="str">
        <f>IF(ISBLANK(JP!AG168),"","x")</f>
        <v/>
      </c>
      <c r="AG164" t="str">
        <f>IF(ISBLANK(JP!AH168),"","x")</f>
        <v/>
      </c>
      <c r="AH164" t="str">
        <f>IF(ISBLANK(JP!AJ168),"","x")</f>
        <v/>
      </c>
      <c r="AI164" t="str">
        <f>IF(ISBLANK(JP!AK168),"","x")</f>
        <v/>
      </c>
      <c r="AJ164" t="str">
        <f>IF(ISBLANK(JP!AL168),"","x")</f>
        <v/>
      </c>
      <c r="AK164" t="str">
        <f>IF(ISBLANK(JP!AM168),"","x")</f>
        <v/>
      </c>
      <c r="AL164" t="str">
        <f>IF(ISBLANK(JP!AN168),"","x")</f>
        <v/>
      </c>
      <c r="AM164" t="str">
        <f>IF(ISBLANK(JP!AO168),"","x")</f>
        <v/>
      </c>
      <c r="AN164" t="str">
        <f>IF(ISBLANK(JP!AP168),"","x")</f>
        <v/>
      </c>
      <c r="AO164" t="str">
        <f>IF(ISBLANK(JP!AR168),"","x")</f>
        <v/>
      </c>
      <c r="AP164" t="str">
        <f>IF(ISBLANK(JP!AS168),"","x")</f>
        <v/>
      </c>
      <c r="AQ164" t="str">
        <f>IF(ISBLANK(JP!AT168),"","x")</f>
        <v/>
      </c>
      <c r="AR164" t="str">
        <f>IF(ISBLANK(JP!AU168),"","x")</f>
        <v/>
      </c>
      <c r="AS164" t="str">
        <f>IF(ISBLANK(JP!AV168),"","x")</f>
        <v/>
      </c>
      <c r="AT164" t="str">
        <f>IF(ISBLANK(JP!AW168),"","x")</f>
        <v/>
      </c>
      <c r="AU164" t="str">
        <f>IF(ISBLANK(JP!AX168),"","x")</f>
        <v/>
      </c>
    </row>
    <row r="165" spans="2:47">
      <c r="B165">
        <f>IF(ISBLANK(JP!AZ169),"",JP!AZ169)</f>
        <v>10009720</v>
      </c>
      <c r="C165" t="str">
        <f>IF(ISBLANK(JP!BA169),"",JP!BA169)</f>
        <v>SIN YEE TECK MINI-MARKET</v>
      </c>
      <c r="D165" t="str">
        <f>IF(ISBLANK(JP!BC169),"",JP!BC169)</f>
        <v>619 YISHUN RING ROAD</v>
      </c>
      <c r="E165">
        <f>IF(ISBLANK(JP!BB169),"",JP!BB169)</f>
        <v>1</v>
      </c>
      <c r="F165" t="str">
        <f>IF(ISBLANK(JP!D169),"","x")</f>
        <v/>
      </c>
      <c r="G165" t="str">
        <f>IF(ISBLANK(JP!E169),"","x")</f>
        <v/>
      </c>
      <c r="H165" t="str">
        <f>IF(ISBLANK(JP!F169),"","x")</f>
        <v/>
      </c>
      <c r="I165" t="str">
        <f>IF(ISBLANK(JP!G169),"","x")</f>
        <v/>
      </c>
      <c r="J165" t="str">
        <f>IF(ISBLANK(JP!H169),"","x")</f>
        <v/>
      </c>
      <c r="K165" t="str">
        <f>IF(ISBLANK(JP!I169),"","x")</f>
        <v/>
      </c>
      <c r="L165" t="str">
        <f>IF(ISBLANK(JP!J169),"","x")</f>
        <v/>
      </c>
      <c r="M165" t="str">
        <f>IF(ISBLANK(JP!L169),"","x")</f>
        <v/>
      </c>
      <c r="N165" t="str">
        <f>IF(ISBLANK(JP!M169),"","x")</f>
        <v/>
      </c>
      <c r="O165" t="str">
        <f>IF(ISBLANK(JP!N169),"","x")</f>
        <v>x</v>
      </c>
      <c r="P165" t="str">
        <f>IF(ISBLANK(JP!O169),"","x")</f>
        <v/>
      </c>
      <c r="Q165" t="str">
        <f>IF(ISBLANK(JP!P169),"","x")</f>
        <v/>
      </c>
      <c r="R165" t="str">
        <f>IF(ISBLANK(JP!Q169),"","x")</f>
        <v/>
      </c>
      <c r="S165" t="str">
        <f>IF(ISBLANK(JP!R169),"","x")</f>
        <v/>
      </c>
      <c r="T165" t="str">
        <f>IF(ISBLANK(JP!T169),"","x")</f>
        <v/>
      </c>
      <c r="U165" t="str">
        <f>IF(ISBLANK(JP!U169),"","x")</f>
        <v/>
      </c>
      <c r="V165" t="str">
        <f>IF(ISBLANK(JP!V169),"","x")</f>
        <v/>
      </c>
      <c r="W165" t="str">
        <f>IF(ISBLANK(JP!W169),"","x")</f>
        <v/>
      </c>
      <c r="X165" t="str">
        <f>IF(ISBLANK(JP!X169),"","x")</f>
        <v/>
      </c>
      <c r="Y165" t="str">
        <f>IF(ISBLANK(JP!Y169),"","x")</f>
        <v/>
      </c>
      <c r="Z165" t="str">
        <f>IF(ISBLANK(JP!Z169),"","x")</f>
        <v/>
      </c>
      <c r="AA165" t="str">
        <f>IF(ISBLANK(JP!AB169),"","x")</f>
        <v/>
      </c>
      <c r="AB165" t="str">
        <f>IF(ISBLANK(JP!AC169),"","x")</f>
        <v/>
      </c>
      <c r="AC165" t="str">
        <f>IF(ISBLANK(JP!AD169),"","x")</f>
        <v/>
      </c>
      <c r="AD165" t="str">
        <f>IF(ISBLANK(JP!AE169),"","x")</f>
        <v/>
      </c>
      <c r="AE165" t="str">
        <f>IF(ISBLANK(JP!AF169),"","x")</f>
        <v/>
      </c>
      <c r="AF165" t="str">
        <f>IF(ISBLANK(JP!AG169),"","x")</f>
        <v/>
      </c>
      <c r="AG165" t="str">
        <f>IF(ISBLANK(JP!AH169),"","x")</f>
        <v/>
      </c>
      <c r="AH165" t="str">
        <f>IF(ISBLANK(JP!AJ169),"","x")</f>
        <v/>
      </c>
      <c r="AI165" t="str">
        <f>IF(ISBLANK(JP!AK169),"","x")</f>
        <v/>
      </c>
      <c r="AJ165" t="str">
        <f>IF(ISBLANK(JP!AL169),"","x")</f>
        <v/>
      </c>
      <c r="AK165" t="str">
        <f>IF(ISBLANK(JP!AM169),"","x")</f>
        <v/>
      </c>
      <c r="AL165" t="str">
        <f>IF(ISBLANK(JP!AN169),"","x")</f>
        <v/>
      </c>
      <c r="AM165" t="str">
        <f>IF(ISBLANK(JP!AO169),"","x")</f>
        <v/>
      </c>
      <c r="AN165" t="str">
        <f>IF(ISBLANK(JP!AP169),"","x")</f>
        <v/>
      </c>
      <c r="AO165" t="str">
        <f>IF(ISBLANK(JP!AR169),"","x")</f>
        <v/>
      </c>
      <c r="AP165" t="str">
        <f>IF(ISBLANK(JP!AS169),"","x")</f>
        <v/>
      </c>
      <c r="AQ165" t="str">
        <f>IF(ISBLANK(JP!AT169),"","x")</f>
        <v/>
      </c>
      <c r="AR165" t="str">
        <f>IF(ISBLANK(JP!AU169),"","x")</f>
        <v/>
      </c>
      <c r="AS165" t="str">
        <f>IF(ISBLANK(JP!AV169),"","x")</f>
        <v/>
      </c>
      <c r="AT165" t="str">
        <f>IF(ISBLANK(JP!AW169),"","x")</f>
        <v/>
      </c>
      <c r="AU165" t="str">
        <f>IF(ISBLANK(JP!AX169),"","x")</f>
        <v/>
      </c>
    </row>
    <row r="166" spans="2:47">
      <c r="B166">
        <f>IF(ISBLANK(JP!AZ170),"",JP!AZ170)</f>
        <v>10009721</v>
      </c>
      <c r="C166" t="str">
        <f>IF(ISBLANK(JP!BA170),"",JP!BA170)</f>
        <v>YI CING MINI SUPERMARKET</v>
      </c>
      <c r="D166" t="str">
        <f>IF(ISBLANK(JP!BC170),"",JP!BC170)</f>
        <v>632 YISHUN STREET 61</v>
      </c>
      <c r="E166">
        <f>IF(ISBLANK(JP!BB170),"",JP!BB170)</f>
        <v>1</v>
      </c>
      <c r="F166" t="str">
        <f>IF(ISBLANK(JP!D170),"","x")</f>
        <v/>
      </c>
      <c r="G166" t="str">
        <f>IF(ISBLANK(JP!E170),"","x")</f>
        <v/>
      </c>
      <c r="H166" t="str">
        <f>IF(ISBLANK(JP!F170),"","x")</f>
        <v/>
      </c>
      <c r="I166" t="str">
        <f>IF(ISBLANK(JP!G170),"","x")</f>
        <v/>
      </c>
      <c r="J166" t="str">
        <f>IF(ISBLANK(JP!H170),"","x")</f>
        <v/>
      </c>
      <c r="K166" t="str">
        <f>IF(ISBLANK(JP!I170),"","x")</f>
        <v/>
      </c>
      <c r="L166" t="str">
        <f>IF(ISBLANK(JP!J170),"","x")</f>
        <v/>
      </c>
      <c r="M166" t="str">
        <f>IF(ISBLANK(JP!L170),"","x")</f>
        <v/>
      </c>
      <c r="N166" t="str">
        <f>IF(ISBLANK(JP!M170),"","x")</f>
        <v/>
      </c>
      <c r="O166" t="str">
        <f>IF(ISBLANK(JP!N170),"","x")</f>
        <v>x</v>
      </c>
      <c r="P166" t="str">
        <f>IF(ISBLANK(JP!O170),"","x")</f>
        <v/>
      </c>
      <c r="Q166" t="str">
        <f>IF(ISBLANK(JP!P170),"","x")</f>
        <v/>
      </c>
      <c r="R166" t="str">
        <f>IF(ISBLANK(JP!Q170),"","x")</f>
        <v/>
      </c>
      <c r="S166" t="str">
        <f>IF(ISBLANK(JP!R170),"","x")</f>
        <v/>
      </c>
      <c r="T166" t="str">
        <f>IF(ISBLANK(JP!T170),"","x")</f>
        <v/>
      </c>
      <c r="U166" t="str">
        <f>IF(ISBLANK(JP!U170),"","x")</f>
        <v/>
      </c>
      <c r="V166" t="str">
        <f>IF(ISBLANK(JP!V170),"","x")</f>
        <v/>
      </c>
      <c r="W166" t="str">
        <f>IF(ISBLANK(JP!W170),"","x")</f>
        <v/>
      </c>
      <c r="X166" t="str">
        <f>IF(ISBLANK(JP!X170),"","x")</f>
        <v/>
      </c>
      <c r="Y166" t="str">
        <f>IF(ISBLANK(JP!Y170),"","x")</f>
        <v/>
      </c>
      <c r="Z166" t="str">
        <f>IF(ISBLANK(JP!Z170),"","x")</f>
        <v/>
      </c>
      <c r="AA166" t="str">
        <f>IF(ISBLANK(JP!AB170),"","x")</f>
        <v/>
      </c>
      <c r="AB166" t="str">
        <f>IF(ISBLANK(JP!AC170),"","x")</f>
        <v/>
      </c>
      <c r="AC166" t="str">
        <f>IF(ISBLANK(JP!AD170),"","x")</f>
        <v/>
      </c>
      <c r="AD166" t="str">
        <f>IF(ISBLANK(JP!AE170),"","x")</f>
        <v/>
      </c>
      <c r="AE166" t="str">
        <f>IF(ISBLANK(JP!AF170),"","x")</f>
        <v/>
      </c>
      <c r="AF166" t="str">
        <f>IF(ISBLANK(JP!AG170),"","x")</f>
        <v/>
      </c>
      <c r="AG166" t="str">
        <f>IF(ISBLANK(JP!AH170),"","x")</f>
        <v/>
      </c>
      <c r="AH166" t="str">
        <f>IF(ISBLANK(JP!AJ170),"","x")</f>
        <v/>
      </c>
      <c r="AI166" t="str">
        <f>IF(ISBLANK(JP!AK170),"","x")</f>
        <v/>
      </c>
      <c r="AJ166" t="str">
        <f>IF(ISBLANK(JP!AL170),"","x")</f>
        <v/>
      </c>
      <c r="AK166" t="str">
        <f>IF(ISBLANK(JP!AM170),"","x")</f>
        <v/>
      </c>
      <c r="AL166" t="str">
        <f>IF(ISBLANK(JP!AN170),"","x")</f>
        <v/>
      </c>
      <c r="AM166" t="str">
        <f>IF(ISBLANK(JP!AO170),"","x")</f>
        <v/>
      </c>
      <c r="AN166" t="str">
        <f>IF(ISBLANK(JP!AP170),"","x")</f>
        <v/>
      </c>
      <c r="AO166" t="str">
        <f>IF(ISBLANK(JP!AR170),"","x")</f>
        <v/>
      </c>
      <c r="AP166" t="str">
        <f>IF(ISBLANK(JP!AS170),"","x")</f>
        <v/>
      </c>
      <c r="AQ166" t="str">
        <f>IF(ISBLANK(JP!AT170),"","x")</f>
        <v/>
      </c>
      <c r="AR166" t="str">
        <f>IF(ISBLANK(JP!AU170),"","x")</f>
        <v/>
      </c>
      <c r="AS166" t="str">
        <f>IF(ISBLANK(JP!AV170),"","x")</f>
        <v/>
      </c>
      <c r="AT166" t="str">
        <f>IF(ISBLANK(JP!AW170),"","x")</f>
        <v/>
      </c>
      <c r="AU166" t="str">
        <f>IF(ISBLANK(JP!AX170),"","x")</f>
        <v/>
      </c>
    </row>
    <row r="167" spans="2:47">
      <c r="B167">
        <f>IF(ISBLANK(JP!AZ171),"",JP!AZ171)</f>
        <v>10042190</v>
      </c>
      <c r="C167" t="str">
        <f>IF(ISBLANK(JP!BA171),"",JP!BA171)</f>
        <v>JOY MINIMART</v>
      </c>
      <c r="D167" t="str">
        <f>IF(ISBLANK(JP!BC171),"",JP!BC171)</f>
        <v>645 YISHUN STREET 61</v>
      </c>
      <c r="E167">
        <f>IF(ISBLANK(JP!BB171),"",JP!BB171)</f>
        <v>1</v>
      </c>
      <c r="F167" t="str">
        <f>IF(ISBLANK(JP!D171),"","x")</f>
        <v/>
      </c>
      <c r="G167" t="str">
        <f>IF(ISBLANK(JP!E171),"","x")</f>
        <v/>
      </c>
      <c r="H167" t="str">
        <f>IF(ISBLANK(JP!F171),"","x")</f>
        <v/>
      </c>
      <c r="I167" t="str">
        <f>IF(ISBLANK(JP!G171),"","x")</f>
        <v/>
      </c>
      <c r="J167" t="str">
        <f>IF(ISBLANK(JP!H171),"","x")</f>
        <v/>
      </c>
      <c r="K167" t="str">
        <f>IF(ISBLANK(JP!I171),"","x")</f>
        <v/>
      </c>
      <c r="L167" t="str">
        <f>IF(ISBLANK(JP!J171),"","x")</f>
        <v/>
      </c>
      <c r="M167" t="str">
        <f>IF(ISBLANK(JP!L171),"","x")</f>
        <v/>
      </c>
      <c r="N167" t="str">
        <f>IF(ISBLANK(JP!M171),"","x")</f>
        <v/>
      </c>
      <c r="O167" t="str">
        <f>IF(ISBLANK(JP!N171),"","x")</f>
        <v/>
      </c>
      <c r="P167" t="str">
        <f>IF(ISBLANK(JP!O171),"","x")</f>
        <v/>
      </c>
      <c r="Q167" t="str">
        <f>IF(ISBLANK(JP!P171),"","x")</f>
        <v/>
      </c>
      <c r="R167" t="str">
        <f>IF(ISBLANK(JP!Q171),"","x")</f>
        <v/>
      </c>
      <c r="S167" t="str">
        <f>IF(ISBLANK(JP!R171),"","x")</f>
        <v/>
      </c>
      <c r="T167" t="str">
        <f>IF(ISBLANK(JP!T171),"","x")</f>
        <v/>
      </c>
      <c r="U167" t="str">
        <f>IF(ISBLANK(JP!U171),"","x")</f>
        <v/>
      </c>
      <c r="V167" t="str">
        <f>IF(ISBLANK(JP!V171),"","x")</f>
        <v/>
      </c>
      <c r="W167" t="str">
        <f>IF(ISBLANK(JP!W171),"","x")</f>
        <v/>
      </c>
      <c r="X167" t="str">
        <f>IF(ISBLANK(JP!X171),"","x")</f>
        <v/>
      </c>
      <c r="Y167" t="str">
        <f>IF(ISBLANK(JP!Y171),"","x")</f>
        <v/>
      </c>
      <c r="Z167" t="str">
        <f>IF(ISBLANK(JP!Z171),"","x")</f>
        <v/>
      </c>
      <c r="AA167" t="str">
        <f>IF(ISBLANK(JP!AB171),"","x")</f>
        <v/>
      </c>
      <c r="AB167" t="str">
        <f>IF(ISBLANK(JP!AC171),"","x")</f>
        <v/>
      </c>
      <c r="AC167" t="str">
        <f>IF(ISBLANK(JP!AD171),"","x")</f>
        <v/>
      </c>
      <c r="AD167" t="str">
        <f>IF(ISBLANK(JP!AE171),"","x")</f>
        <v/>
      </c>
      <c r="AE167" t="str">
        <f>IF(ISBLANK(JP!AF171),"","x")</f>
        <v/>
      </c>
      <c r="AF167" t="str">
        <f>IF(ISBLANK(JP!AG171),"","x")</f>
        <v/>
      </c>
      <c r="AG167" t="str">
        <f>IF(ISBLANK(JP!AH171),"","x")</f>
        <v/>
      </c>
      <c r="AH167" t="str">
        <f>IF(ISBLANK(JP!AJ171),"","x")</f>
        <v/>
      </c>
      <c r="AI167" t="str">
        <f>IF(ISBLANK(JP!AK171),"","x")</f>
        <v>x</v>
      </c>
      <c r="AJ167" t="str">
        <f>IF(ISBLANK(JP!AL171),"","x")</f>
        <v/>
      </c>
      <c r="AK167" t="str">
        <f>IF(ISBLANK(JP!AM171),"","x")</f>
        <v/>
      </c>
      <c r="AL167" t="str">
        <f>IF(ISBLANK(JP!AN171),"","x")</f>
        <v/>
      </c>
      <c r="AM167" t="str">
        <f>IF(ISBLANK(JP!AO171),"","x")</f>
        <v/>
      </c>
      <c r="AN167" t="str">
        <f>IF(ISBLANK(JP!AP171),"","x")</f>
        <v/>
      </c>
      <c r="AO167" t="str">
        <f>IF(ISBLANK(JP!AR171),"","x")</f>
        <v/>
      </c>
      <c r="AP167" t="str">
        <f>IF(ISBLANK(JP!AS171),"","x")</f>
        <v/>
      </c>
      <c r="AQ167" t="str">
        <f>IF(ISBLANK(JP!AT171),"","x")</f>
        <v/>
      </c>
      <c r="AR167" t="str">
        <f>IF(ISBLANK(JP!AU171),"","x")</f>
        <v/>
      </c>
      <c r="AS167" t="str">
        <f>IF(ISBLANK(JP!AV171),"","x")</f>
        <v/>
      </c>
      <c r="AT167" t="str">
        <f>IF(ISBLANK(JP!AW171),"","x")</f>
        <v/>
      </c>
      <c r="AU167" t="str">
        <f>IF(ISBLANK(JP!AX171),"","x")</f>
        <v/>
      </c>
    </row>
    <row r="168" spans="2:47">
      <c r="B168">
        <f>IF(ISBLANK(JP!AZ172),"",JP!AZ172)</f>
        <v>10044242</v>
      </c>
      <c r="C168" t="str">
        <f>IF(ISBLANK(JP!BA172),"",JP!BA172)</f>
        <v>GOLDEN NATURALS PTE. LTD.</v>
      </c>
      <c r="D168" t="str">
        <f>IF(ISBLANK(JP!BC172),"",JP!BC172)</f>
        <v>645 YISHUN STREET 61</v>
      </c>
      <c r="E168">
        <f>IF(ISBLANK(JP!BB172),"",JP!BB172)</f>
        <v>1</v>
      </c>
      <c r="F168" t="str">
        <f>IF(ISBLANK(JP!D172),"","x")</f>
        <v/>
      </c>
      <c r="G168" t="str">
        <f>IF(ISBLANK(JP!E172),"","x")</f>
        <v/>
      </c>
      <c r="H168" t="str">
        <f>IF(ISBLANK(JP!F172),"","x")</f>
        <v/>
      </c>
      <c r="I168" t="str">
        <f>IF(ISBLANK(JP!G172),"","x")</f>
        <v/>
      </c>
      <c r="J168" t="str">
        <f>IF(ISBLANK(JP!H172),"","x")</f>
        <v/>
      </c>
      <c r="K168" t="str">
        <f>IF(ISBLANK(JP!I172),"","x")</f>
        <v/>
      </c>
      <c r="L168" t="str">
        <f>IF(ISBLANK(JP!J172),"","x")</f>
        <v/>
      </c>
      <c r="M168" t="str">
        <f>IF(ISBLANK(JP!L172),"","x")</f>
        <v/>
      </c>
      <c r="N168" t="str">
        <f>IF(ISBLANK(JP!M172),"","x")</f>
        <v/>
      </c>
      <c r="O168" t="str">
        <f>IF(ISBLANK(JP!N172),"","x")</f>
        <v/>
      </c>
      <c r="P168" t="str">
        <f>IF(ISBLANK(JP!O172),"","x")</f>
        <v/>
      </c>
      <c r="Q168" t="str">
        <f>IF(ISBLANK(JP!P172),"","x")</f>
        <v/>
      </c>
      <c r="R168" t="str">
        <f>IF(ISBLANK(JP!Q172),"","x")</f>
        <v/>
      </c>
      <c r="S168" t="str">
        <f>IF(ISBLANK(JP!R172),"","x")</f>
        <v/>
      </c>
      <c r="T168" t="str">
        <f>IF(ISBLANK(JP!T172),"","x")</f>
        <v/>
      </c>
      <c r="U168" t="str">
        <f>IF(ISBLANK(JP!U172),"","x")</f>
        <v/>
      </c>
      <c r="V168" t="str">
        <f>IF(ISBLANK(JP!V172),"","x")</f>
        <v/>
      </c>
      <c r="W168" t="str">
        <f>IF(ISBLANK(JP!W172),"","x")</f>
        <v/>
      </c>
      <c r="X168" t="str">
        <f>IF(ISBLANK(JP!X172),"","x")</f>
        <v/>
      </c>
      <c r="Y168" t="str">
        <f>IF(ISBLANK(JP!Y172),"","x")</f>
        <v/>
      </c>
      <c r="Z168" t="str">
        <f>IF(ISBLANK(JP!Z172),"","x")</f>
        <v/>
      </c>
      <c r="AA168" t="str">
        <f>IF(ISBLANK(JP!AB172),"","x")</f>
        <v/>
      </c>
      <c r="AB168" t="str">
        <f>IF(ISBLANK(JP!AC172),"","x")</f>
        <v/>
      </c>
      <c r="AC168" t="str">
        <f>IF(ISBLANK(JP!AD172),"","x")</f>
        <v/>
      </c>
      <c r="AD168" t="str">
        <f>IF(ISBLANK(JP!AE172),"","x")</f>
        <v/>
      </c>
      <c r="AE168" t="str">
        <f>IF(ISBLANK(JP!AF172),"","x")</f>
        <v/>
      </c>
      <c r="AF168" t="str">
        <f>IF(ISBLANK(JP!AG172),"","x")</f>
        <v/>
      </c>
      <c r="AG168" t="str">
        <f>IF(ISBLANK(JP!AH172),"","x")</f>
        <v/>
      </c>
      <c r="AH168" t="str">
        <f>IF(ISBLANK(JP!AJ172),"","x")</f>
        <v/>
      </c>
      <c r="AI168" t="str">
        <f>IF(ISBLANK(JP!AK172),"","x")</f>
        <v>x</v>
      </c>
      <c r="AJ168" t="str">
        <f>IF(ISBLANK(JP!AL172),"","x")</f>
        <v/>
      </c>
      <c r="AK168" t="str">
        <f>IF(ISBLANK(JP!AM172),"","x")</f>
        <v/>
      </c>
      <c r="AL168" t="str">
        <f>IF(ISBLANK(JP!AN172),"","x")</f>
        <v/>
      </c>
      <c r="AM168" t="str">
        <f>IF(ISBLANK(JP!AO172),"","x")</f>
        <v/>
      </c>
      <c r="AN168" t="str">
        <f>IF(ISBLANK(JP!AP172),"","x")</f>
        <v/>
      </c>
      <c r="AO168" t="str">
        <f>IF(ISBLANK(JP!AR172),"","x")</f>
        <v/>
      </c>
      <c r="AP168" t="str">
        <f>IF(ISBLANK(JP!AS172),"","x")</f>
        <v/>
      </c>
      <c r="AQ168" t="str">
        <f>IF(ISBLANK(JP!AT172),"","x")</f>
        <v/>
      </c>
      <c r="AR168" t="str">
        <f>IF(ISBLANK(JP!AU172),"","x")</f>
        <v/>
      </c>
      <c r="AS168" t="str">
        <f>IF(ISBLANK(JP!AV172),"","x")</f>
        <v/>
      </c>
      <c r="AT168" t="str">
        <f>IF(ISBLANK(JP!AW172),"","x")</f>
        <v/>
      </c>
      <c r="AU168" t="str">
        <f>IF(ISBLANK(JP!AX172),"","x")</f>
        <v/>
      </c>
    </row>
    <row r="169" spans="2:47">
      <c r="B169">
        <f>IF(ISBLANK(JP!AZ173),"",JP!AZ173)</f>
        <v>10038120</v>
      </c>
      <c r="C169" t="str">
        <f>IF(ISBLANK(JP!BA173),"",JP!BA173)</f>
        <v>NAM HO TRADING</v>
      </c>
      <c r="D169" t="str">
        <f>IF(ISBLANK(JP!BC173),"",JP!BC173)</f>
        <v>661 YISHUN AVENUE 4</v>
      </c>
      <c r="E169">
        <f>IF(ISBLANK(JP!BB173),"",JP!BB173)</f>
        <v>1</v>
      </c>
      <c r="F169" t="str">
        <f>IF(ISBLANK(JP!D173),"","x")</f>
        <v/>
      </c>
      <c r="G169" t="str">
        <f>IF(ISBLANK(JP!E173),"","x")</f>
        <v/>
      </c>
      <c r="H169" t="str">
        <f>IF(ISBLANK(JP!F173),"","x")</f>
        <v/>
      </c>
      <c r="I169" t="str">
        <f>IF(ISBLANK(JP!G173),"","x")</f>
        <v/>
      </c>
      <c r="J169" t="str">
        <f>IF(ISBLANK(JP!H173),"","x")</f>
        <v/>
      </c>
      <c r="K169" t="str">
        <f>IF(ISBLANK(JP!I173),"","x")</f>
        <v/>
      </c>
      <c r="L169" t="str">
        <f>IF(ISBLANK(JP!J173),"","x")</f>
        <v/>
      </c>
      <c r="M169" t="str">
        <f>IF(ISBLANK(JP!L173),"","x")</f>
        <v/>
      </c>
      <c r="N169" t="str">
        <f>IF(ISBLANK(JP!M173),"","x")</f>
        <v/>
      </c>
      <c r="O169" t="str">
        <f>IF(ISBLANK(JP!N173),"","x")</f>
        <v/>
      </c>
      <c r="P169" t="str">
        <f>IF(ISBLANK(JP!O173),"","x")</f>
        <v/>
      </c>
      <c r="Q169" t="str">
        <f>IF(ISBLANK(JP!P173),"","x")</f>
        <v/>
      </c>
      <c r="R169" t="str">
        <f>IF(ISBLANK(JP!Q173),"","x")</f>
        <v/>
      </c>
      <c r="S169" t="str">
        <f>IF(ISBLANK(JP!R173),"","x")</f>
        <v/>
      </c>
      <c r="T169" t="str">
        <f>IF(ISBLANK(JP!T173),"","x")</f>
        <v/>
      </c>
      <c r="U169" t="str">
        <f>IF(ISBLANK(JP!U173),"","x")</f>
        <v/>
      </c>
      <c r="V169" t="str">
        <f>IF(ISBLANK(JP!V173),"","x")</f>
        <v/>
      </c>
      <c r="W169" t="str">
        <f>IF(ISBLANK(JP!W173),"","x")</f>
        <v/>
      </c>
      <c r="X169" t="str">
        <f>IF(ISBLANK(JP!X173),"","x")</f>
        <v/>
      </c>
      <c r="Y169" t="str">
        <f>IF(ISBLANK(JP!Y173),"","x")</f>
        <v/>
      </c>
      <c r="Z169" t="str">
        <f>IF(ISBLANK(JP!Z173),"","x")</f>
        <v/>
      </c>
      <c r="AA169" t="str">
        <f>IF(ISBLANK(JP!AB173),"","x")</f>
        <v/>
      </c>
      <c r="AB169" t="str">
        <f>IF(ISBLANK(JP!AC173),"","x")</f>
        <v/>
      </c>
      <c r="AC169" t="str">
        <f>IF(ISBLANK(JP!AD173),"","x")</f>
        <v/>
      </c>
      <c r="AD169" t="str">
        <f>IF(ISBLANK(JP!AE173),"","x")</f>
        <v/>
      </c>
      <c r="AE169" t="str">
        <f>IF(ISBLANK(JP!AF173),"","x")</f>
        <v/>
      </c>
      <c r="AF169" t="str">
        <f>IF(ISBLANK(JP!AG173),"","x")</f>
        <v/>
      </c>
      <c r="AG169" t="str">
        <f>IF(ISBLANK(JP!AH173),"","x")</f>
        <v/>
      </c>
      <c r="AH169" t="str">
        <f>IF(ISBLANK(JP!AJ173),"","x")</f>
        <v/>
      </c>
      <c r="AI169" t="str">
        <f>IF(ISBLANK(JP!AK173),"","x")</f>
        <v/>
      </c>
      <c r="AJ169" t="str">
        <f>IF(ISBLANK(JP!AL173),"","x")</f>
        <v>x</v>
      </c>
      <c r="AK169" t="str">
        <f>IF(ISBLANK(JP!AM173),"","x")</f>
        <v/>
      </c>
      <c r="AL169" t="str">
        <f>IF(ISBLANK(JP!AN173),"","x")</f>
        <v/>
      </c>
      <c r="AM169" t="str">
        <f>IF(ISBLANK(JP!AO173),"","x")</f>
        <v/>
      </c>
      <c r="AN169" t="str">
        <f>IF(ISBLANK(JP!AP173),"","x")</f>
        <v/>
      </c>
      <c r="AO169" t="str">
        <f>IF(ISBLANK(JP!AR173),"","x")</f>
        <v/>
      </c>
      <c r="AP169" t="str">
        <f>IF(ISBLANK(JP!AS173),"","x")</f>
        <v/>
      </c>
      <c r="AQ169" t="str">
        <f>IF(ISBLANK(JP!AT173),"","x")</f>
        <v/>
      </c>
      <c r="AR169" t="str">
        <f>IF(ISBLANK(JP!AU173),"","x")</f>
        <v/>
      </c>
      <c r="AS169" t="str">
        <f>IF(ISBLANK(JP!AV173),"","x")</f>
        <v/>
      </c>
      <c r="AT169" t="str">
        <f>IF(ISBLANK(JP!AW173),"","x")</f>
        <v/>
      </c>
      <c r="AU169" t="str">
        <f>IF(ISBLANK(JP!AX173),"","x")</f>
        <v/>
      </c>
    </row>
    <row r="170" spans="2:47">
      <c r="B170">
        <f>IF(ISBLANK(JP!AZ174),"",JP!AZ174)</f>
        <v>10017344</v>
      </c>
      <c r="C170" t="str">
        <f>IF(ISBLANK(JP!BA174),"",JP!BA174)</f>
        <v>HOCK TAI CHEONG</v>
      </c>
      <c r="D170" t="str">
        <f>IF(ISBLANK(JP!BC174),"",JP!BC174)</f>
        <v>664 YISHUN AVENUE 4</v>
      </c>
      <c r="E170">
        <f>IF(ISBLANK(JP!BB174),"",JP!BB174)</f>
        <v>1</v>
      </c>
      <c r="F170" t="str">
        <f>IF(ISBLANK(JP!D174),"","x")</f>
        <v/>
      </c>
      <c r="G170" t="str">
        <f>IF(ISBLANK(JP!E174),"","x")</f>
        <v/>
      </c>
      <c r="H170" t="str">
        <f>IF(ISBLANK(JP!F174),"","x")</f>
        <v/>
      </c>
      <c r="I170" t="str">
        <f>IF(ISBLANK(JP!G174),"","x")</f>
        <v/>
      </c>
      <c r="J170" t="str">
        <f>IF(ISBLANK(JP!H174),"","x")</f>
        <v/>
      </c>
      <c r="K170" t="str">
        <f>IF(ISBLANK(JP!I174),"","x")</f>
        <v/>
      </c>
      <c r="L170" t="str">
        <f>IF(ISBLANK(JP!J174),"","x")</f>
        <v/>
      </c>
      <c r="M170" t="str">
        <f>IF(ISBLANK(JP!L174),"","x")</f>
        <v/>
      </c>
      <c r="N170" t="str">
        <f>IF(ISBLANK(JP!M174),"","x")</f>
        <v/>
      </c>
      <c r="O170" t="str">
        <f>IF(ISBLANK(JP!N174),"","x")</f>
        <v/>
      </c>
      <c r="P170" t="str">
        <f>IF(ISBLANK(JP!O174),"","x")</f>
        <v/>
      </c>
      <c r="Q170" t="str">
        <f>IF(ISBLANK(JP!P174),"","x")</f>
        <v/>
      </c>
      <c r="R170" t="str">
        <f>IF(ISBLANK(JP!Q174),"","x")</f>
        <v/>
      </c>
      <c r="S170" t="str">
        <f>IF(ISBLANK(JP!R174),"","x")</f>
        <v/>
      </c>
      <c r="T170" t="str">
        <f>IF(ISBLANK(JP!T174),"","x")</f>
        <v/>
      </c>
      <c r="U170" t="str">
        <f>IF(ISBLANK(JP!U174),"","x")</f>
        <v/>
      </c>
      <c r="V170" t="str">
        <f>IF(ISBLANK(JP!V174),"","x")</f>
        <v/>
      </c>
      <c r="W170" t="str">
        <f>IF(ISBLANK(JP!W174),"","x")</f>
        <v/>
      </c>
      <c r="X170" t="str">
        <f>IF(ISBLANK(JP!X174),"","x")</f>
        <v/>
      </c>
      <c r="Y170" t="str">
        <f>IF(ISBLANK(JP!Y174),"","x")</f>
        <v/>
      </c>
      <c r="Z170" t="str">
        <f>IF(ISBLANK(JP!Z174),"","x")</f>
        <v/>
      </c>
      <c r="AA170" t="str">
        <f>IF(ISBLANK(JP!AB174),"","x")</f>
        <v/>
      </c>
      <c r="AB170" t="str">
        <f>IF(ISBLANK(JP!AC174),"","x")</f>
        <v/>
      </c>
      <c r="AC170" t="str">
        <f>IF(ISBLANK(JP!AD174),"","x")</f>
        <v/>
      </c>
      <c r="AD170" t="str">
        <f>IF(ISBLANK(JP!AE174),"","x")</f>
        <v/>
      </c>
      <c r="AE170" t="str">
        <f>IF(ISBLANK(JP!AF174),"","x")</f>
        <v/>
      </c>
      <c r="AF170" t="str">
        <f>IF(ISBLANK(JP!AG174),"","x")</f>
        <v/>
      </c>
      <c r="AG170" t="str">
        <f>IF(ISBLANK(JP!AH174),"","x")</f>
        <v/>
      </c>
      <c r="AH170" t="str">
        <f>IF(ISBLANK(JP!AJ174),"","x")</f>
        <v/>
      </c>
      <c r="AI170" t="str">
        <f>IF(ISBLANK(JP!AK174),"","x")</f>
        <v/>
      </c>
      <c r="AJ170" t="str">
        <f>IF(ISBLANK(JP!AL174),"","x")</f>
        <v/>
      </c>
      <c r="AK170" t="str">
        <f>IF(ISBLANK(JP!AM174),"","x")</f>
        <v/>
      </c>
      <c r="AL170" t="str">
        <f>IF(ISBLANK(JP!AN174),"","x")</f>
        <v>x</v>
      </c>
      <c r="AM170" t="str">
        <f>IF(ISBLANK(JP!AO174),"","x")</f>
        <v/>
      </c>
      <c r="AN170" t="str">
        <f>IF(ISBLANK(JP!AP174),"","x")</f>
        <v/>
      </c>
      <c r="AO170" t="str">
        <f>IF(ISBLANK(JP!AR174),"","x")</f>
        <v/>
      </c>
      <c r="AP170" t="str">
        <f>IF(ISBLANK(JP!AS174),"","x")</f>
        <v/>
      </c>
      <c r="AQ170" t="str">
        <f>IF(ISBLANK(JP!AT174),"","x")</f>
        <v/>
      </c>
      <c r="AR170" t="str">
        <f>IF(ISBLANK(JP!AU174),"","x")</f>
        <v/>
      </c>
      <c r="AS170" t="str">
        <f>IF(ISBLANK(JP!AV174),"","x")</f>
        <v/>
      </c>
      <c r="AT170" t="str">
        <f>IF(ISBLANK(JP!AW174),"","x")</f>
        <v/>
      </c>
      <c r="AU170" t="str">
        <f>IF(ISBLANK(JP!AX174),"","x")</f>
        <v/>
      </c>
    </row>
    <row r="171" spans="2:47">
      <c r="B171">
        <f>IF(ISBLANK(JP!AZ175),"",JP!AZ175)</f>
        <v>10018337</v>
      </c>
      <c r="C171" t="str">
        <f>IF(ISBLANK(JP!BA175),"",JP!BA175)</f>
        <v>HUA HIN FARMING &amp; S/M</v>
      </c>
      <c r="D171" t="str">
        <f>IF(ISBLANK(JP!BC175),"",JP!BC175)</f>
        <v>716 YISHUN STREET 71</v>
      </c>
      <c r="E171">
        <f>IF(ISBLANK(JP!BB175),"",JP!BB175)</f>
        <v>1</v>
      </c>
      <c r="F171" t="str">
        <f>IF(ISBLANK(JP!D175),"","x")</f>
        <v/>
      </c>
      <c r="G171" t="str">
        <f>IF(ISBLANK(JP!E175),"","x")</f>
        <v/>
      </c>
      <c r="H171" t="str">
        <f>IF(ISBLANK(JP!F175),"","x")</f>
        <v/>
      </c>
      <c r="I171" t="str">
        <f>IF(ISBLANK(JP!G175),"","x")</f>
        <v/>
      </c>
      <c r="J171" t="str">
        <f>IF(ISBLANK(JP!H175),"","x")</f>
        <v/>
      </c>
      <c r="K171" t="str">
        <f>IF(ISBLANK(JP!I175),"","x")</f>
        <v/>
      </c>
      <c r="L171" t="str">
        <f>IF(ISBLANK(JP!J175),"","x")</f>
        <v/>
      </c>
      <c r="M171" t="str">
        <f>IF(ISBLANK(JP!L175),"","x")</f>
        <v/>
      </c>
      <c r="N171" t="str">
        <f>IF(ISBLANK(JP!M175),"","x")</f>
        <v/>
      </c>
      <c r="O171" t="str">
        <f>IF(ISBLANK(JP!N175),"","x")</f>
        <v/>
      </c>
      <c r="P171" t="str">
        <f>IF(ISBLANK(JP!O175),"","x")</f>
        <v/>
      </c>
      <c r="Q171" t="str">
        <f>IF(ISBLANK(JP!P175),"","x")</f>
        <v/>
      </c>
      <c r="R171" t="str">
        <f>IF(ISBLANK(JP!Q175),"","x")</f>
        <v/>
      </c>
      <c r="S171" t="str">
        <f>IF(ISBLANK(JP!R175),"","x")</f>
        <v/>
      </c>
      <c r="T171" t="str">
        <f>IF(ISBLANK(JP!T175),"","x")</f>
        <v/>
      </c>
      <c r="U171" t="str">
        <f>IF(ISBLANK(JP!U175),"","x")</f>
        <v/>
      </c>
      <c r="V171" t="str">
        <f>IF(ISBLANK(JP!V175),"","x")</f>
        <v/>
      </c>
      <c r="W171" t="str">
        <f>IF(ISBLANK(JP!W175),"","x")</f>
        <v/>
      </c>
      <c r="X171" t="str">
        <f>IF(ISBLANK(JP!X175),"","x")</f>
        <v/>
      </c>
      <c r="Y171" t="str">
        <f>IF(ISBLANK(JP!Y175),"","x")</f>
        <v/>
      </c>
      <c r="Z171" t="str">
        <f>IF(ISBLANK(JP!Z175),"","x")</f>
        <v/>
      </c>
      <c r="AA171" t="str">
        <f>IF(ISBLANK(JP!AB175),"","x")</f>
        <v/>
      </c>
      <c r="AB171" t="str">
        <f>IF(ISBLANK(JP!AC175),"","x")</f>
        <v/>
      </c>
      <c r="AC171" t="str">
        <f>IF(ISBLANK(JP!AD175),"","x")</f>
        <v/>
      </c>
      <c r="AD171" t="str">
        <f>IF(ISBLANK(JP!AE175),"","x")</f>
        <v/>
      </c>
      <c r="AE171" t="str">
        <f>IF(ISBLANK(JP!AF175),"","x")</f>
        <v>x</v>
      </c>
      <c r="AF171" t="str">
        <f>IF(ISBLANK(JP!AG175),"","x")</f>
        <v/>
      </c>
      <c r="AG171" t="str">
        <f>IF(ISBLANK(JP!AH175),"","x")</f>
        <v/>
      </c>
      <c r="AH171" t="str">
        <f>IF(ISBLANK(JP!AJ175),"","x")</f>
        <v/>
      </c>
      <c r="AI171" t="str">
        <f>IF(ISBLANK(JP!AK175),"","x")</f>
        <v/>
      </c>
      <c r="AJ171" t="str">
        <f>IF(ISBLANK(JP!AL175),"","x")</f>
        <v/>
      </c>
      <c r="AK171" t="str">
        <f>IF(ISBLANK(JP!AM175),"","x")</f>
        <v/>
      </c>
      <c r="AL171" t="str">
        <f>IF(ISBLANK(JP!AN175),"","x")</f>
        <v/>
      </c>
      <c r="AM171" t="str">
        <f>IF(ISBLANK(JP!AO175),"","x")</f>
        <v/>
      </c>
      <c r="AN171" t="str">
        <f>IF(ISBLANK(JP!AP175),"","x")</f>
        <v/>
      </c>
      <c r="AO171" t="str">
        <f>IF(ISBLANK(JP!AR175),"","x")</f>
        <v/>
      </c>
      <c r="AP171" t="str">
        <f>IF(ISBLANK(JP!AS175),"","x")</f>
        <v/>
      </c>
      <c r="AQ171" t="str">
        <f>IF(ISBLANK(JP!AT175),"","x")</f>
        <v/>
      </c>
      <c r="AR171" t="str">
        <f>IF(ISBLANK(JP!AU175),"","x")</f>
        <v/>
      </c>
      <c r="AS171" t="str">
        <f>IF(ISBLANK(JP!AV175),"","x")</f>
        <v/>
      </c>
      <c r="AT171" t="str">
        <f>IF(ISBLANK(JP!AW175),"","x")</f>
        <v/>
      </c>
      <c r="AU171" t="str">
        <f>IF(ISBLANK(JP!AX175),"","x")</f>
        <v/>
      </c>
    </row>
    <row r="172" spans="2:47">
      <c r="B172">
        <f>IF(ISBLANK(JP!AZ176),"",JP!AZ176)</f>
        <v>10027042</v>
      </c>
      <c r="C172" t="str">
        <f>IF(ISBLANK(JP!BA176),"",JP!BA176)</f>
        <v>ZENG MAO SHENG</v>
      </c>
      <c r="D172" t="str">
        <f>IF(ISBLANK(JP!BC176),"",JP!BC176)</f>
        <v>716 YISHUN STREET 71</v>
      </c>
      <c r="E172">
        <f>IF(ISBLANK(JP!BB176),"",JP!BB176)</f>
        <v>1</v>
      </c>
      <c r="F172" t="str">
        <f>IF(ISBLANK(JP!D176),"","x")</f>
        <v/>
      </c>
      <c r="G172" t="str">
        <f>IF(ISBLANK(JP!E176),"","x")</f>
        <v/>
      </c>
      <c r="H172" t="str">
        <f>IF(ISBLANK(JP!F176),"","x")</f>
        <v/>
      </c>
      <c r="I172" t="str">
        <f>IF(ISBLANK(JP!G176),"","x")</f>
        <v/>
      </c>
      <c r="J172" t="str">
        <f>IF(ISBLANK(JP!H176),"","x")</f>
        <v/>
      </c>
      <c r="K172" t="str">
        <f>IF(ISBLANK(JP!I176),"","x")</f>
        <v/>
      </c>
      <c r="L172" t="str">
        <f>IF(ISBLANK(JP!J176),"","x")</f>
        <v/>
      </c>
      <c r="M172" t="str">
        <f>IF(ISBLANK(JP!L176),"","x")</f>
        <v/>
      </c>
      <c r="N172" t="str">
        <f>IF(ISBLANK(JP!M176),"","x")</f>
        <v/>
      </c>
      <c r="O172" t="str">
        <f>IF(ISBLANK(JP!N176),"","x")</f>
        <v/>
      </c>
      <c r="P172" t="str">
        <f>IF(ISBLANK(JP!O176),"","x")</f>
        <v/>
      </c>
      <c r="Q172" t="str">
        <f>IF(ISBLANK(JP!P176),"","x")</f>
        <v/>
      </c>
      <c r="R172" t="str">
        <f>IF(ISBLANK(JP!Q176),"","x")</f>
        <v/>
      </c>
      <c r="S172" t="str">
        <f>IF(ISBLANK(JP!R176),"","x")</f>
        <v/>
      </c>
      <c r="T172" t="str">
        <f>IF(ISBLANK(JP!T176),"","x")</f>
        <v/>
      </c>
      <c r="U172" t="str">
        <f>IF(ISBLANK(JP!U176),"","x")</f>
        <v/>
      </c>
      <c r="V172" t="str">
        <f>IF(ISBLANK(JP!V176),"","x")</f>
        <v/>
      </c>
      <c r="W172" t="str">
        <f>IF(ISBLANK(JP!W176),"","x")</f>
        <v/>
      </c>
      <c r="X172" t="str">
        <f>IF(ISBLANK(JP!X176),"","x")</f>
        <v/>
      </c>
      <c r="Y172" t="str">
        <f>IF(ISBLANK(JP!Y176),"","x")</f>
        <v/>
      </c>
      <c r="Z172" t="str">
        <f>IF(ISBLANK(JP!Z176),"","x")</f>
        <v/>
      </c>
      <c r="AA172" t="str">
        <f>IF(ISBLANK(JP!AB176),"","x")</f>
        <v/>
      </c>
      <c r="AB172" t="str">
        <f>IF(ISBLANK(JP!AC176),"","x")</f>
        <v/>
      </c>
      <c r="AC172" t="str">
        <f>IF(ISBLANK(JP!AD176),"","x")</f>
        <v/>
      </c>
      <c r="AD172" t="str">
        <f>IF(ISBLANK(JP!AE176),"","x")</f>
        <v/>
      </c>
      <c r="AE172" t="str">
        <f>IF(ISBLANK(JP!AF176),"","x")</f>
        <v/>
      </c>
      <c r="AF172" t="str">
        <f>IF(ISBLANK(JP!AG176),"","x")</f>
        <v/>
      </c>
      <c r="AG172" t="str">
        <f>IF(ISBLANK(JP!AH176),"","x")</f>
        <v/>
      </c>
      <c r="AH172" t="str">
        <f>IF(ISBLANK(JP!AJ176),"","x")</f>
        <v/>
      </c>
      <c r="AI172" t="str">
        <f>IF(ISBLANK(JP!AK176),"","x")</f>
        <v/>
      </c>
      <c r="AJ172" t="str">
        <f>IF(ISBLANK(JP!AL176),"","x")</f>
        <v/>
      </c>
      <c r="AK172" t="str">
        <f>IF(ISBLANK(JP!AM176),"","x")</f>
        <v/>
      </c>
      <c r="AL172" t="str">
        <f>IF(ISBLANK(JP!AN176),"","x")</f>
        <v>x</v>
      </c>
      <c r="AM172" t="str">
        <f>IF(ISBLANK(JP!AO176),"","x")</f>
        <v/>
      </c>
      <c r="AN172" t="str">
        <f>IF(ISBLANK(JP!AP176),"","x")</f>
        <v/>
      </c>
      <c r="AO172" t="str">
        <f>IF(ISBLANK(JP!AR176),"","x")</f>
        <v/>
      </c>
      <c r="AP172" t="str">
        <f>IF(ISBLANK(JP!AS176),"","x")</f>
        <v/>
      </c>
      <c r="AQ172" t="str">
        <f>IF(ISBLANK(JP!AT176),"","x")</f>
        <v/>
      </c>
      <c r="AR172" t="str">
        <f>IF(ISBLANK(JP!AU176),"","x")</f>
        <v/>
      </c>
      <c r="AS172" t="str">
        <f>IF(ISBLANK(JP!AV176),"","x")</f>
        <v/>
      </c>
      <c r="AT172" t="str">
        <f>IF(ISBLANK(JP!AW176),"","x")</f>
        <v/>
      </c>
      <c r="AU172" t="str">
        <f>IF(ISBLANK(JP!AX176),"","x")</f>
        <v/>
      </c>
    </row>
    <row r="173" spans="2:47">
      <c r="B173">
        <f>IF(ISBLANK(JP!AZ177),"",JP!AZ177)</f>
        <v>10041392</v>
      </c>
      <c r="C173" t="str">
        <f>IF(ISBLANK(JP!BA177),"",JP!BA177)</f>
        <v>UP-MART TRADING</v>
      </c>
      <c r="D173" t="str">
        <f>IF(ISBLANK(JP!BC177),"",JP!BC177)</f>
        <v>717 YISHUN STREET 71</v>
      </c>
      <c r="E173">
        <f>IF(ISBLANK(JP!BB177),"",JP!BB177)</f>
        <v>1</v>
      </c>
      <c r="F173" t="str">
        <f>IF(ISBLANK(JP!D177),"","x")</f>
        <v/>
      </c>
      <c r="G173" t="str">
        <f>IF(ISBLANK(JP!E177),"","x")</f>
        <v/>
      </c>
      <c r="H173" t="str">
        <f>IF(ISBLANK(JP!F177),"","x")</f>
        <v/>
      </c>
      <c r="I173" t="str">
        <f>IF(ISBLANK(JP!G177),"","x")</f>
        <v/>
      </c>
      <c r="J173" t="str">
        <f>IF(ISBLANK(JP!H177),"","x")</f>
        <v/>
      </c>
      <c r="K173" t="str">
        <f>IF(ISBLANK(JP!I177),"","x")</f>
        <v/>
      </c>
      <c r="L173" t="str">
        <f>IF(ISBLANK(JP!J177),"","x")</f>
        <v/>
      </c>
      <c r="M173" t="str">
        <f>IF(ISBLANK(JP!L177),"","x")</f>
        <v/>
      </c>
      <c r="N173" t="str">
        <f>IF(ISBLANK(JP!M177),"","x")</f>
        <v/>
      </c>
      <c r="O173" t="str">
        <f>IF(ISBLANK(JP!N177),"","x")</f>
        <v/>
      </c>
      <c r="P173" t="str">
        <f>IF(ISBLANK(JP!O177),"","x")</f>
        <v/>
      </c>
      <c r="Q173" t="str">
        <f>IF(ISBLANK(JP!P177),"","x")</f>
        <v/>
      </c>
      <c r="R173" t="str">
        <f>IF(ISBLANK(JP!Q177),"","x")</f>
        <v/>
      </c>
      <c r="S173" t="str">
        <f>IF(ISBLANK(JP!R177),"","x")</f>
        <v/>
      </c>
      <c r="T173" t="str">
        <f>IF(ISBLANK(JP!T177),"","x")</f>
        <v/>
      </c>
      <c r="U173" t="str">
        <f>IF(ISBLANK(JP!U177),"","x")</f>
        <v/>
      </c>
      <c r="V173" t="str">
        <f>IF(ISBLANK(JP!V177),"","x")</f>
        <v/>
      </c>
      <c r="W173" t="str">
        <f>IF(ISBLANK(JP!W177),"","x")</f>
        <v/>
      </c>
      <c r="X173" t="str">
        <f>IF(ISBLANK(JP!X177),"","x")</f>
        <v/>
      </c>
      <c r="Y173" t="str">
        <f>IF(ISBLANK(JP!Y177),"","x")</f>
        <v/>
      </c>
      <c r="Z173" t="str">
        <f>IF(ISBLANK(JP!Z177),"","x")</f>
        <v/>
      </c>
      <c r="AA173" t="str">
        <f>IF(ISBLANK(JP!AB177),"","x")</f>
        <v/>
      </c>
      <c r="AB173" t="str">
        <f>IF(ISBLANK(JP!AC177),"","x")</f>
        <v/>
      </c>
      <c r="AC173" t="str">
        <f>IF(ISBLANK(JP!AD177),"","x")</f>
        <v/>
      </c>
      <c r="AD173" t="str">
        <f>IF(ISBLANK(JP!AE177),"","x")</f>
        <v/>
      </c>
      <c r="AE173" t="str">
        <f>IF(ISBLANK(JP!AF177),"","x")</f>
        <v/>
      </c>
      <c r="AF173" t="str">
        <f>IF(ISBLANK(JP!AG177),"","x")</f>
        <v/>
      </c>
      <c r="AG173" t="str">
        <f>IF(ISBLANK(JP!AH177),"","x")</f>
        <v/>
      </c>
      <c r="AH173" t="str">
        <f>IF(ISBLANK(JP!AJ177),"","x")</f>
        <v/>
      </c>
      <c r="AI173" t="str">
        <f>IF(ISBLANK(JP!AK177),"","x")</f>
        <v/>
      </c>
      <c r="AJ173" t="str">
        <f>IF(ISBLANK(JP!AL177),"","x")</f>
        <v/>
      </c>
      <c r="AK173" t="str">
        <f>IF(ISBLANK(JP!AM177),"","x")</f>
        <v/>
      </c>
      <c r="AL173" t="str">
        <f>IF(ISBLANK(JP!AN177),"","x")</f>
        <v>x</v>
      </c>
      <c r="AM173" t="str">
        <f>IF(ISBLANK(JP!AO177),"","x")</f>
        <v/>
      </c>
      <c r="AN173" t="str">
        <f>IF(ISBLANK(JP!AP177),"","x")</f>
        <v/>
      </c>
      <c r="AO173" t="str">
        <f>IF(ISBLANK(JP!AR177),"","x")</f>
        <v/>
      </c>
      <c r="AP173" t="str">
        <f>IF(ISBLANK(JP!AS177),"","x")</f>
        <v/>
      </c>
      <c r="AQ173" t="str">
        <f>IF(ISBLANK(JP!AT177),"","x")</f>
        <v/>
      </c>
      <c r="AR173" t="str">
        <f>IF(ISBLANK(JP!AU177),"","x")</f>
        <v/>
      </c>
      <c r="AS173" t="str">
        <f>IF(ISBLANK(JP!AV177),"","x")</f>
        <v/>
      </c>
      <c r="AT173" t="str">
        <f>IF(ISBLANK(JP!AW177),"","x")</f>
        <v/>
      </c>
      <c r="AU173" t="str">
        <f>IF(ISBLANK(JP!AX177),"","x")</f>
        <v/>
      </c>
    </row>
    <row r="174" spans="2:47">
      <c r="B174">
        <f>IF(ISBLANK(JP!AZ178),"",JP!AZ178)</f>
        <v>10017345</v>
      </c>
      <c r="C174" t="str">
        <f>IF(ISBLANK(JP!BA178),"",JP!BA178)</f>
        <v>WEN JI FA</v>
      </c>
      <c r="D174" t="str">
        <f>IF(ISBLANK(JP!BC178),"",JP!BC178)</f>
        <v>729 YISHUN STREET 71</v>
      </c>
      <c r="E174">
        <f>IF(ISBLANK(JP!BB178),"",JP!BB178)</f>
        <v>1</v>
      </c>
      <c r="F174" t="str">
        <f>IF(ISBLANK(JP!D178),"","x")</f>
        <v/>
      </c>
      <c r="G174" t="str">
        <f>IF(ISBLANK(JP!E178),"","x")</f>
        <v/>
      </c>
      <c r="H174" t="str">
        <f>IF(ISBLANK(JP!F178),"","x")</f>
        <v/>
      </c>
      <c r="I174" t="str">
        <f>IF(ISBLANK(JP!G178),"","x")</f>
        <v/>
      </c>
      <c r="J174" t="str">
        <f>IF(ISBLANK(JP!H178),"","x")</f>
        <v/>
      </c>
      <c r="K174" t="str">
        <f>IF(ISBLANK(JP!I178),"","x")</f>
        <v/>
      </c>
      <c r="L174" t="str">
        <f>IF(ISBLANK(JP!J178),"","x")</f>
        <v/>
      </c>
      <c r="M174" t="str">
        <f>IF(ISBLANK(JP!L178),"","x")</f>
        <v/>
      </c>
      <c r="N174" t="str">
        <f>IF(ISBLANK(JP!M178),"","x")</f>
        <v/>
      </c>
      <c r="O174" t="str">
        <f>IF(ISBLANK(JP!N178),"","x")</f>
        <v/>
      </c>
      <c r="P174" t="str">
        <f>IF(ISBLANK(JP!O178),"","x")</f>
        <v/>
      </c>
      <c r="Q174" t="str">
        <f>IF(ISBLANK(JP!P178),"","x")</f>
        <v/>
      </c>
      <c r="R174" t="str">
        <f>IF(ISBLANK(JP!Q178),"","x")</f>
        <v/>
      </c>
      <c r="S174" t="str">
        <f>IF(ISBLANK(JP!R178),"","x")</f>
        <v/>
      </c>
      <c r="T174" t="str">
        <f>IF(ISBLANK(JP!T178),"","x")</f>
        <v/>
      </c>
      <c r="U174" t="str">
        <f>IF(ISBLANK(JP!U178),"","x")</f>
        <v/>
      </c>
      <c r="V174" t="str">
        <f>IF(ISBLANK(JP!V178),"","x")</f>
        <v/>
      </c>
      <c r="W174" t="str">
        <f>IF(ISBLANK(JP!W178),"","x")</f>
        <v/>
      </c>
      <c r="X174" t="str">
        <f>IF(ISBLANK(JP!X178),"","x")</f>
        <v/>
      </c>
      <c r="Y174" t="str">
        <f>IF(ISBLANK(JP!Y178),"","x")</f>
        <v/>
      </c>
      <c r="Z174" t="str">
        <f>IF(ISBLANK(JP!Z178),"","x")</f>
        <v/>
      </c>
      <c r="AA174" t="str">
        <f>IF(ISBLANK(JP!AB178),"","x")</f>
        <v/>
      </c>
      <c r="AB174" t="str">
        <f>IF(ISBLANK(JP!AC178),"","x")</f>
        <v/>
      </c>
      <c r="AC174" t="str">
        <f>IF(ISBLANK(JP!AD178),"","x")</f>
        <v/>
      </c>
      <c r="AD174" t="str">
        <f>IF(ISBLANK(JP!AE178),"","x")</f>
        <v/>
      </c>
      <c r="AE174" t="str">
        <f>IF(ISBLANK(JP!AF178),"","x")</f>
        <v/>
      </c>
      <c r="AF174" t="str">
        <f>IF(ISBLANK(JP!AG178),"","x")</f>
        <v/>
      </c>
      <c r="AG174" t="str">
        <f>IF(ISBLANK(JP!AH178),"","x")</f>
        <v/>
      </c>
      <c r="AH174" t="str">
        <f>IF(ISBLANK(JP!AJ178),"","x")</f>
        <v/>
      </c>
      <c r="AI174" t="str">
        <f>IF(ISBLANK(JP!AK178),"","x")</f>
        <v/>
      </c>
      <c r="AJ174" t="str">
        <f>IF(ISBLANK(JP!AL178),"","x")</f>
        <v/>
      </c>
      <c r="AK174" t="str">
        <f>IF(ISBLANK(JP!AM178),"","x")</f>
        <v>x</v>
      </c>
      <c r="AL174" t="str">
        <f>IF(ISBLANK(JP!AN178),"","x")</f>
        <v/>
      </c>
      <c r="AM174" t="str">
        <f>IF(ISBLANK(JP!AO178),"","x")</f>
        <v/>
      </c>
      <c r="AN174" t="str">
        <f>IF(ISBLANK(JP!AP178),"","x")</f>
        <v/>
      </c>
      <c r="AO174" t="str">
        <f>IF(ISBLANK(JP!AR178),"","x")</f>
        <v/>
      </c>
      <c r="AP174" t="str">
        <f>IF(ISBLANK(JP!AS178),"","x")</f>
        <v/>
      </c>
      <c r="AQ174" t="str">
        <f>IF(ISBLANK(JP!AT178),"","x")</f>
        <v/>
      </c>
      <c r="AR174" t="str">
        <f>IF(ISBLANK(JP!AU178),"","x")</f>
        <v/>
      </c>
      <c r="AS174" t="str">
        <f>IF(ISBLANK(JP!AV178),"","x")</f>
        <v/>
      </c>
      <c r="AT174" t="str">
        <f>IF(ISBLANK(JP!AW178),"","x")</f>
        <v/>
      </c>
      <c r="AU174" t="str">
        <f>IF(ISBLANK(JP!AX178),"","x")</f>
        <v/>
      </c>
    </row>
    <row r="175" spans="2:47">
      <c r="B175">
        <f>IF(ISBLANK(JP!AZ179),"",JP!AZ179)</f>
        <v>10042103</v>
      </c>
      <c r="C175" t="str">
        <f>IF(ISBLANK(JP!BA179),"",JP!BA179)</f>
        <v>ACTIVE EXPRESS MART</v>
      </c>
      <c r="D175" t="str">
        <f>IF(ISBLANK(JP!BC179),"",JP!BC179)</f>
        <v>731 YISHUN STREET 72</v>
      </c>
      <c r="E175">
        <f>IF(ISBLANK(JP!BB179),"",JP!BB179)</f>
        <v>1</v>
      </c>
      <c r="F175" t="str">
        <f>IF(ISBLANK(JP!D179),"","x")</f>
        <v/>
      </c>
      <c r="G175" t="str">
        <f>IF(ISBLANK(JP!E179),"","x")</f>
        <v/>
      </c>
      <c r="H175" t="str">
        <f>IF(ISBLANK(JP!F179),"","x")</f>
        <v/>
      </c>
      <c r="I175" t="str">
        <f>IF(ISBLANK(JP!G179),"","x")</f>
        <v/>
      </c>
      <c r="J175" t="str">
        <f>IF(ISBLANK(JP!H179),"","x")</f>
        <v/>
      </c>
      <c r="K175" t="str">
        <f>IF(ISBLANK(JP!I179),"","x")</f>
        <v/>
      </c>
      <c r="L175" t="str">
        <f>IF(ISBLANK(JP!J179),"","x")</f>
        <v/>
      </c>
      <c r="M175" t="str">
        <f>IF(ISBLANK(JP!L179),"","x")</f>
        <v/>
      </c>
      <c r="N175" t="str">
        <f>IF(ISBLANK(JP!M179),"","x")</f>
        <v/>
      </c>
      <c r="O175" t="str">
        <f>IF(ISBLANK(JP!N179),"","x")</f>
        <v/>
      </c>
      <c r="P175" t="str">
        <f>IF(ISBLANK(JP!O179),"","x")</f>
        <v/>
      </c>
      <c r="Q175" t="str">
        <f>IF(ISBLANK(JP!P179),"","x")</f>
        <v/>
      </c>
      <c r="R175" t="str">
        <f>IF(ISBLANK(JP!Q179),"","x")</f>
        <v/>
      </c>
      <c r="S175" t="str">
        <f>IF(ISBLANK(JP!R179),"","x")</f>
        <v/>
      </c>
      <c r="T175" t="str">
        <f>IF(ISBLANK(JP!T179),"","x")</f>
        <v/>
      </c>
      <c r="U175" t="str">
        <f>IF(ISBLANK(JP!U179),"","x")</f>
        <v/>
      </c>
      <c r="V175" t="str">
        <f>IF(ISBLANK(JP!V179),"","x")</f>
        <v/>
      </c>
      <c r="W175" t="str">
        <f>IF(ISBLANK(JP!W179),"","x")</f>
        <v/>
      </c>
      <c r="X175" t="str">
        <f>IF(ISBLANK(JP!X179),"","x")</f>
        <v/>
      </c>
      <c r="Y175" t="str">
        <f>IF(ISBLANK(JP!Y179),"","x")</f>
        <v/>
      </c>
      <c r="Z175" t="str">
        <f>IF(ISBLANK(JP!Z179),"","x")</f>
        <v/>
      </c>
      <c r="AA175" t="str">
        <f>IF(ISBLANK(JP!AB179),"","x")</f>
        <v/>
      </c>
      <c r="AB175" t="str">
        <f>IF(ISBLANK(JP!AC179),"","x")</f>
        <v/>
      </c>
      <c r="AC175" t="str">
        <f>IF(ISBLANK(JP!AD179),"","x")</f>
        <v/>
      </c>
      <c r="AD175" t="str">
        <f>IF(ISBLANK(JP!AE179),"","x")</f>
        <v/>
      </c>
      <c r="AE175" t="str">
        <f>IF(ISBLANK(JP!AF179),"","x")</f>
        <v/>
      </c>
      <c r="AF175" t="str">
        <f>IF(ISBLANK(JP!AG179),"","x")</f>
        <v/>
      </c>
      <c r="AG175" t="str">
        <f>IF(ISBLANK(JP!AH179),"","x")</f>
        <v/>
      </c>
      <c r="AH175" t="str">
        <f>IF(ISBLANK(JP!AJ179),"","x")</f>
        <v/>
      </c>
      <c r="AI175" t="str">
        <f>IF(ISBLANK(JP!AK179),"","x")</f>
        <v/>
      </c>
      <c r="AJ175" t="str">
        <f>IF(ISBLANK(JP!AL179),"","x")</f>
        <v/>
      </c>
      <c r="AK175" t="str">
        <f>IF(ISBLANK(JP!AM179),"","x")</f>
        <v>x</v>
      </c>
      <c r="AL175" t="str">
        <f>IF(ISBLANK(JP!AN179),"","x")</f>
        <v/>
      </c>
      <c r="AM175" t="str">
        <f>IF(ISBLANK(JP!AO179),"","x")</f>
        <v/>
      </c>
      <c r="AN175" t="str">
        <f>IF(ISBLANK(JP!AP179),"","x")</f>
        <v/>
      </c>
      <c r="AO175" t="str">
        <f>IF(ISBLANK(JP!AR179),"","x")</f>
        <v/>
      </c>
      <c r="AP175" t="str">
        <f>IF(ISBLANK(JP!AS179),"","x")</f>
        <v/>
      </c>
      <c r="AQ175" t="str">
        <f>IF(ISBLANK(JP!AT179),"","x")</f>
        <v/>
      </c>
      <c r="AR175" t="str">
        <f>IF(ISBLANK(JP!AU179),"","x")</f>
        <v/>
      </c>
      <c r="AS175" t="str">
        <f>IF(ISBLANK(JP!AV179),"","x")</f>
        <v/>
      </c>
      <c r="AT175" t="str">
        <f>IF(ISBLANK(JP!AW179),"","x")</f>
        <v/>
      </c>
      <c r="AU175" t="str">
        <f>IF(ISBLANK(JP!AX179),"","x")</f>
        <v/>
      </c>
    </row>
    <row r="176" spans="2:47">
      <c r="B176">
        <f>IF(ISBLANK(JP!AZ180),"",JP!AZ180)</f>
        <v>10045843</v>
      </c>
      <c r="C176" t="str">
        <f>IF(ISBLANK(JP!BA180),"",JP!BA180)</f>
        <v>FORTUNE SUPERMARKET PTE. LTD. (YISHUN)</v>
      </c>
      <c r="D176" t="str">
        <f>IF(ISBLANK(JP!BC180),"",JP!BC180)</f>
        <v>731 YISHUN STREET 72</v>
      </c>
      <c r="E176">
        <f>IF(ISBLANK(JP!BB180),"",JP!BB180)</f>
        <v>2</v>
      </c>
      <c r="F176" t="str">
        <f>IF(ISBLANK(JP!D180),"","x")</f>
        <v/>
      </c>
      <c r="G176" t="str">
        <f>IF(ISBLANK(JP!E180),"","x")</f>
        <v/>
      </c>
      <c r="H176" t="str">
        <f>IF(ISBLANK(JP!F180),"","x")</f>
        <v/>
      </c>
      <c r="I176" t="str">
        <f>IF(ISBLANK(JP!G180),"","x")</f>
        <v/>
      </c>
      <c r="J176" t="str">
        <f>IF(ISBLANK(JP!H180),"","x")</f>
        <v/>
      </c>
      <c r="K176" t="str">
        <f>IF(ISBLANK(JP!I180),"","x")</f>
        <v/>
      </c>
      <c r="L176" t="str">
        <f>IF(ISBLANK(JP!J180),"","x")</f>
        <v/>
      </c>
      <c r="M176" t="str">
        <f>IF(ISBLANK(JP!L180),"","x")</f>
        <v/>
      </c>
      <c r="N176" t="str">
        <f>IF(ISBLANK(JP!M180),"","x")</f>
        <v/>
      </c>
      <c r="O176" t="str">
        <f>IF(ISBLANK(JP!N180),"","x")</f>
        <v/>
      </c>
      <c r="P176" t="str">
        <f>IF(ISBLANK(JP!O180),"","x")</f>
        <v>x</v>
      </c>
      <c r="Q176" t="str">
        <f>IF(ISBLANK(JP!P180),"","x")</f>
        <v/>
      </c>
      <c r="R176" t="str">
        <f>IF(ISBLANK(JP!Q180),"","x")</f>
        <v/>
      </c>
      <c r="S176" t="str">
        <f>IF(ISBLANK(JP!R180),"","x")</f>
        <v/>
      </c>
      <c r="T176" t="str">
        <f>IF(ISBLANK(JP!T180),"","x")</f>
        <v/>
      </c>
      <c r="U176" t="str">
        <f>IF(ISBLANK(JP!U180),"","x")</f>
        <v/>
      </c>
      <c r="V176" t="str">
        <f>IF(ISBLANK(JP!V180),"","x")</f>
        <v/>
      </c>
      <c r="W176" t="str">
        <f>IF(ISBLANK(JP!W180),"","x")</f>
        <v/>
      </c>
      <c r="X176" t="str">
        <f>IF(ISBLANK(JP!X180),"","x")</f>
        <v/>
      </c>
      <c r="Y176" t="str">
        <f>IF(ISBLANK(JP!Y180),"","x")</f>
        <v/>
      </c>
      <c r="Z176" t="str">
        <f>IF(ISBLANK(JP!Z180),"","x")</f>
        <v/>
      </c>
      <c r="AA176" t="str">
        <f>IF(ISBLANK(JP!AB180),"","x")</f>
        <v/>
      </c>
      <c r="AB176" t="str">
        <f>IF(ISBLANK(JP!AC180),"","x")</f>
        <v/>
      </c>
      <c r="AC176" t="str">
        <f>IF(ISBLANK(JP!AD180),"","x")</f>
        <v/>
      </c>
      <c r="AD176" t="str">
        <f>IF(ISBLANK(JP!AE180),"","x")</f>
        <v/>
      </c>
      <c r="AE176" t="str">
        <f>IF(ISBLANK(JP!AF180),"","x")</f>
        <v/>
      </c>
      <c r="AF176" t="str">
        <f>IF(ISBLANK(JP!AG180),"","x")</f>
        <v/>
      </c>
      <c r="AG176" t="str">
        <f>IF(ISBLANK(JP!AH180),"","x")</f>
        <v/>
      </c>
      <c r="AH176" t="str">
        <f>IF(ISBLANK(JP!AJ180),"","x")</f>
        <v/>
      </c>
      <c r="AI176" t="str">
        <f>IF(ISBLANK(JP!AK180),"","x")</f>
        <v/>
      </c>
      <c r="AJ176" t="str">
        <f>IF(ISBLANK(JP!AL180),"","x")</f>
        <v/>
      </c>
      <c r="AK176" t="str">
        <f>IF(ISBLANK(JP!AM180),"","x")</f>
        <v>x</v>
      </c>
      <c r="AL176" t="str">
        <f>IF(ISBLANK(JP!AN180),"","x")</f>
        <v/>
      </c>
      <c r="AM176" t="str">
        <f>IF(ISBLANK(JP!AO180),"","x")</f>
        <v/>
      </c>
      <c r="AN176" t="str">
        <f>IF(ISBLANK(JP!AP180),"","x")</f>
        <v/>
      </c>
      <c r="AO176" t="str">
        <f>IF(ISBLANK(JP!AR180),"","x")</f>
        <v/>
      </c>
      <c r="AP176" t="str">
        <f>IF(ISBLANK(JP!AS180),"","x")</f>
        <v/>
      </c>
      <c r="AQ176" t="str">
        <f>IF(ISBLANK(JP!AT180),"","x")</f>
        <v/>
      </c>
      <c r="AR176" t="str">
        <f>IF(ISBLANK(JP!AU180),"","x")</f>
        <v/>
      </c>
      <c r="AS176" t="str">
        <f>IF(ISBLANK(JP!AV180),"","x")</f>
        <v/>
      </c>
      <c r="AT176" t="str">
        <f>IF(ISBLANK(JP!AW180),"","x")</f>
        <v/>
      </c>
      <c r="AU176" t="str">
        <f>IF(ISBLANK(JP!AX180),"","x")</f>
        <v/>
      </c>
    </row>
    <row r="177" spans="2:47">
      <c r="B177">
        <f>IF(ISBLANK(JP!AZ181),"",JP!AZ181)</f>
        <v>10043546</v>
      </c>
      <c r="C177" t="str">
        <f>IF(ISBLANK(JP!BA181),"",JP!BA181)</f>
        <v>SM MART PTE. LTD. (YISHUN)</v>
      </c>
      <c r="D177" t="str">
        <f>IF(ISBLANK(JP!BC181),"",JP!BC181)</f>
        <v>744 YISHUN STREET 72</v>
      </c>
      <c r="E177">
        <f>IF(ISBLANK(JP!BB181),"",JP!BB181)</f>
        <v>1</v>
      </c>
      <c r="F177" t="str">
        <f>IF(ISBLANK(JP!D181),"","x")</f>
        <v/>
      </c>
      <c r="G177" t="str">
        <f>IF(ISBLANK(JP!E181),"","x")</f>
        <v/>
      </c>
      <c r="H177" t="str">
        <f>IF(ISBLANK(JP!F181),"","x")</f>
        <v/>
      </c>
      <c r="I177" t="str">
        <f>IF(ISBLANK(JP!G181),"","x")</f>
        <v/>
      </c>
      <c r="J177" t="str">
        <f>IF(ISBLANK(JP!H181),"","x")</f>
        <v/>
      </c>
      <c r="K177" t="str">
        <f>IF(ISBLANK(JP!I181),"","x")</f>
        <v/>
      </c>
      <c r="L177" t="str">
        <f>IF(ISBLANK(JP!J181),"","x")</f>
        <v/>
      </c>
      <c r="M177" t="str">
        <f>IF(ISBLANK(JP!L181),"","x")</f>
        <v/>
      </c>
      <c r="N177" t="str">
        <f>IF(ISBLANK(JP!M181),"","x")</f>
        <v/>
      </c>
      <c r="O177" t="str">
        <f>IF(ISBLANK(JP!N181),"","x")</f>
        <v/>
      </c>
      <c r="P177" t="str">
        <f>IF(ISBLANK(JP!O181),"","x")</f>
        <v>x</v>
      </c>
      <c r="Q177" t="str">
        <f>IF(ISBLANK(JP!P181),"","x")</f>
        <v/>
      </c>
      <c r="R177" t="str">
        <f>IF(ISBLANK(JP!Q181),"","x")</f>
        <v/>
      </c>
      <c r="S177" t="str">
        <f>IF(ISBLANK(JP!R181),"","x")</f>
        <v/>
      </c>
      <c r="T177" t="str">
        <f>IF(ISBLANK(JP!T181),"","x")</f>
        <v/>
      </c>
      <c r="U177" t="str">
        <f>IF(ISBLANK(JP!U181),"","x")</f>
        <v/>
      </c>
      <c r="V177" t="str">
        <f>IF(ISBLANK(JP!V181),"","x")</f>
        <v/>
      </c>
      <c r="W177" t="str">
        <f>IF(ISBLANK(JP!W181),"","x")</f>
        <v/>
      </c>
      <c r="X177" t="str">
        <f>IF(ISBLANK(JP!X181),"","x")</f>
        <v/>
      </c>
      <c r="Y177" t="str">
        <f>IF(ISBLANK(JP!Y181),"","x")</f>
        <v/>
      </c>
      <c r="Z177" t="str">
        <f>IF(ISBLANK(JP!Z181),"","x")</f>
        <v/>
      </c>
      <c r="AA177" t="str">
        <f>IF(ISBLANK(JP!AB181),"","x")</f>
        <v/>
      </c>
      <c r="AB177" t="str">
        <f>IF(ISBLANK(JP!AC181),"","x")</f>
        <v/>
      </c>
      <c r="AC177" t="str">
        <f>IF(ISBLANK(JP!AD181),"","x")</f>
        <v/>
      </c>
      <c r="AD177" t="str">
        <f>IF(ISBLANK(JP!AE181),"","x")</f>
        <v/>
      </c>
      <c r="AE177" t="str">
        <f>IF(ISBLANK(JP!AF181),"","x")</f>
        <v/>
      </c>
      <c r="AF177" t="str">
        <f>IF(ISBLANK(JP!AG181),"","x")</f>
        <v/>
      </c>
      <c r="AG177" t="str">
        <f>IF(ISBLANK(JP!AH181),"","x")</f>
        <v/>
      </c>
      <c r="AH177" t="str">
        <f>IF(ISBLANK(JP!AJ181),"","x")</f>
        <v/>
      </c>
      <c r="AI177" t="str">
        <f>IF(ISBLANK(JP!AK181),"","x")</f>
        <v/>
      </c>
      <c r="AJ177" t="str">
        <f>IF(ISBLANK(JP!AL181),"","x")</f>
        <v/>
      </c>
      <c r="AK177" t="str">
        <f>IF(ISBLANK(JP!AM181),"","x")</f>
        <v/>
      </c>
      <c r="AL177" t="str">
        <f>IF(ISBLANK(JP!AN181),"","x")</f>
        <v/>
      </c>
      <c r="AM177" t="str">
        <f>IF(ISBLANK(JP!AO181),"","x")</f>
        <v/>
      </c>
      <c r="AN177" t="str">
        <f>IF(ISBLANK(JP!AP181),"","x")</f>
        <v/>
      </c>
      <c r="AO177" t="str">
        <f>IF(ISBLANK(JP!AR181),"","x")</f>
        <v/>
      </c>
      <c r="AP177" t="str">
        <f>IF(ISBLANK(JP!AS181),"","x")</f>
        <v/>
      </c>
      <c r="AQ177" t="str">
        <f>IF(ISBLANK(JP!AT181),"","x")</f>
        <v/>
      </c>
      <c r="AR177" t="str">
        <f>IF(ISBLANK(JP!AU181),"","x")</f>
        <v/>
      </c>
      <c r="AS177" t="str">
        <f>IF(ISBLANK(JP!AV181),"","x")</f>
        <v/>
      </c>
      <c r="AT177" t="str">
        <f>IF(ISBLANK(JP!AW181),"","x")</f>
        <v/>
      </c>
      <c r="AU177" t="str">
        <f>IF(ISBLANK(JP!AX181),"","x")</f>
        <v/>
      </c>
    </row>
    <row r="178" spans="2:47">
      <c r="B178">
        <f>IF(ISBLANK(JP!AZ182),"",JP!AZ182)</f>
        <v>10003323</v>
      </c>
      <c r="C178" t="str">
        <f>IF(ISBLANK(JP!BA182),"",JP!BA182)</f>
        <v>CHAN LIAN SENG (PSC)</v>
      </c>
      <c r="D178" t="str">
        <f>IF(ISBLANK(JP!BC182),"",JP!BC182)</f>
        <v>748 YISHUN STREET 72</v>
      </c>
      <c r="E178">
        <f>IF(ISBLANK(JP!BB182),"",JP!BB182)</f>
        <v>1</v>
      </c>
      <c r="F178" t="str">
        <f>IF(ISBLANK(JP!D182),"","x")</f>
        <v/>
      </c>
      <c r="G178" t="str">
        <f>IF(ISBLANK(JP!E182),"","x")</f>
        <v/>
      </c>
      <c r="H178" t="str">
        <f>IF(ISBLANK(JP!F182),"","x")</f>
        <v/>
      </c>
      <c r="I178" t="str">
        <f>IF(ISBLANK(JP!G182),"","x")</f>
        <v/>
      </c>
      <c r="J178" t="str">
        <f>IF(ISBLANK(JP!H182),"","x")</f>
        <v/>
      </c>
      <c r="K178" t="str">
        <f>IF(ISBLANK(JP!I182),"","x")</f>
        <v/>
      </c>
      <c r="L178" t="str">
        <f>IF(ISBLANK(JP!J182),"","x")</f>
        <v/>
      </c>
      <c r="M178" t="str">
        <f>IF(ISBLANK(JP!L182),"","x")</f>
        <v/>
      </c>
      <c r="N178" t="str">
        <f>IF(ISBLANK(JP!M182),"","x")</f>
        <v/>
      </c>
      <c r="O178" t="str">
        <f>IF(ISBLANK(JP!N182),"","x")</f>
        <v/>
      </c>
      <c r="P178" t="str">
        <f>IF(ISBLANK(JP!O182),"","x")</f>
        <v/>
      </c>
      <c r="Q178" t="str">
        <f>IF(ISBLANK(JP!P182),"","x")</f>
        <v>x</v>
      </c>
      <c r="R178" t="str">
        <f>IF(ISBLANK(JP!Q182),"","x")</f>
        <v/>
      </c>
      <c r="S178" t="str">
        <f>IF(ISBLANK(JP!R182),"","x")</f>
        <v/>
      </c>
      <c r="T178" t="str">
        <f>IF(ISBLANK(JP!T182),"","x")</f>
        <v/>
      </c>
      <c r="U178" t="str">
        <f>IF(ISBLANK(JP!U182),"","x")</f>
        <v/>
      </c>
      <c r="V178" t="str">
        <f>IF(ISBLANK(JP!V182),"","x")</f>
        <v/>
      </c>
      <c r="W178" t="str">
        <f>IF(ISBLANK(JP!W182),"","x")</f>
        <v/>
      </c>
      <c r="X178" t="str">
        <f>IF(ISBLANK(JP!X182),"","x")</f>
        <v/>
      </c>
      <c r="Y178" t="str">
        <f>IF(ISBLANK(JP!Y182),"","x")</f>
        <v/>
      </c>
      <c r="Z178" t="str">
        <f>IF(ISBLANK(JP!Z182),"","x")</f>
        <v/>
      </c>
      <c r="AA178" t="str">
        <f>IF(ISBLANK(JP!AB182),"","x")</f>
        <v/>
      </c>
      <c r="AB178" t="str">
        <f>IF(ISBLANK(JP!AC182),"","x")</f>
        <v/>
      </c>
      <c r="AC178" t="str">
        <f>IF(ISBLANK(JP!AD182),"","x")</f>
        <v/>
      </c>
      <c r="AD178" t="str">
        <f>IF(ISBLANK(JP!AE182),"","x")</f>
        <v/>
      </c>
      <c r="AE178" t="str">
        <f>IF(ISBLANK(JP!AF182),"","x")</f>
        <v/>
      </c>
      <c r="AF178" t="str">
        <f>IF(ISBLANK(JP!AG182),"","x")</f>
        <v/>
      </c>
      <c r="AG178" t="str">
        <f>IF(ISBLANK(JP!AH182),"","x")</f>
        <v/>
      </c>
      <c r="AH178" t="str">
        <f>IF(ISBLANK(JP!AJ182),"","x")</f>
        <v/>
      </c>
      <c r="AI178" t="str">
        <f>IF(ISBLANK(JP!AK182),"","x")</f>
        <v/>
      </c>
      <c r="AJ178" t="str">
        <f>IF(ISBLANK(JP!AL182),"","x")</f>
        <v/>
      </c>
      <c r="AK178" t="str">
        <f>IF(ISBLANK(JP!AM182),"","x")</f>
        <v/>
      </c>
      <c r="AL178" t="str">
        <f>IF(ISBLANK(JP!AN182),"","x")</f>
        <v/>
      </c>
      <c r="AM178" t="str">
        <f>IF(ISBLANK(JP!AO182),"","x")</f>
        <v/>
      </c>
      <c r="AN178" t="str">
        <f>IF(ISBLANK(JP!AP182),"","x")</f>
        <v/>
      </c>
      <c r="AO178" t="str">
        <f>IF(ISBLANK(JP!AR182),"","x")</f>
        <v/>
      </c>
      <c r="AP178" t="str">
        <f>IF(ISBLANK(JP!AS182),"","x")</f>
        <v/>
      </c>
      <c r="AQ178" t="str">
        <f>IF(ISBLANK(JP!AT182),"","x")</f>
        <v/>
      </c>
      <c r="AR178" t="str">
        <f>IF(ISBLANK(JP!AU182),"","x")</f>
        <v/>
      </c>
      <c r="AS178" t="str">
        <f>IF(ISBLANK(JP!AV182),"","x")</f>
        <v/>
      </c>
      <c r="AT178" t="str">
        <f>IF(ISBLANK(JP!AW182),"","x")</f>
        <v/>
      </c>
      <c r="AU178" t="str">
        <f>IF(ISBLANK(JP!AX182),"","x")</f>
        <v/>
      </c>
    </row>
    <row r="179" spans="2:47">
      <c r="B179">
        <f>IF(ISBLANK(JP!AZ183),"",JP!AZ183)</f>
        <v>10009709</v>
      </c>
      <c r="C179" t="str">
        <f>IF(ISBLANK(JP!BA183),"",JP!BA183)</f>
        <v>ANN TENG HENG</v>
      </c>
      <c r="D179" t="str">
        <f>IF(ISBLANK(JP!BC183),"",JP!BC183)</f>
        <v>761 YISHUN STREET 72</v>
      </c>
      <c r="E179">
        <f>IF(ISBLANK(JP!BB183),"",JP!BB183)</f>
        <v>1</v>
      </c>
      <c r="F179" t="str">
        <f>IF(ISBLANK(JP!D183),"","x")</f>
        <v/>
      </c>
      <c r="G179" t="str">
        <f>IF(ISBLANK(JP!E183),"","x")</f>
        <v/>
      </c>
      <c r="H179" t="str">
        <f>IF(ISBLANK(JP!F183),"","x")</f>
        <v/>
      </c>
      <c r="I179" t="str">
        <f>IF(ISBLANK(JP!G183),"","x")</f>
        <v/>
      </c>
      <c r="J179" t="str">
        <f>IF(ISBLANK(JP!H183),"","x")</f>
        <v/>
      </c>
      <c r="K179" t="str">
        <f>IF(ISBLANK(JP!I183),"","x")</f>
        <v/>
      </c>
      <c r="L179" t="str">
        <f>IF(ISBLANK(JP!J183),"","x")</f>
        <v/>
      </c>
      <c r="M179" t="str">
        <f>IF(ISBLANK(JP!L183),"","x")</f>
        <v/>
      </c>
      <c r="N179" t="str">
        <f>IF(ISBLANK(JP!M183),"","x")</f>
        <v/>
      </c>
      <c r="O179" t="str">
        <f>IF(ISBLANK(JP!N183),"","x")</f>
        <v/>
      </c>
      <c r="P179" t="str">
        <f>IF(ISBLANK(JP!O183),"","x")</f>
        <v/>
      </c>
      <c r="Q179" t="str">
        <f>IF(ISBLANK(JP!P183),"","x")</f>
        <v/>
      </c>
      <c r="R179" t="str">
        <f>IF(ISBLANK(JP!Q183),"","x")</f>
        <v/>
      </c>
      <c r="S179" t="str">
        <f>IF(ISBLANK(JP!R183),"","x")</f>
        <v/>
      </c>
      <c r="T179" t="str">
        <f>IF(ISBLANK(JP!T183),"","x")</f>
        <v/>
      </c>
      <c r="U179" t="str">
        <f>IF(ISBLANK(JP!U183),"","x")</f>
        <v/>
      </c>
      <c r="V179" t="str">
        <f>IF(ISBLANK(JP!V183),"","x")</f>
        <v/>
      </c>
      <c r="W179" t="str">
        <f>IF(ISBLANK(JP!W183),"","x")</f>
        <v/>
      </c>
      <c r="X179" t="str">
        <f>IF(ISBLANK(JP!X183),"","x")</f>
        <v>x</v>
      </c>
      <c r="Y179" t="str">
        <f>IF(ISBLANK(JP!Y183),"","x")</f>
        <v/>
      </c>
      <c r="Z179" t="str">
        <f>IF(ISBLANK(JP!Z183),"","x")</f>
        <v/>
      </c>
      <c r="AA179" t="str">
        <f>IF(ISBLANK(JP!AB183),"","x")</f>
        <v/>
      </c>
      <c r="AB179" t="str">
        <f>IF(ISBLANK(JP!AC183),"","x")</f>
        <v/>
      </c>
      <c r="AC179" t="str">
        <f>IF(ISBLANK(JP!AD183),"","x")</f>
        <v/>
      </c>
      <c r="AD179" t="str">
        <f>IF(ISBLANK(JP!AE183),"","x")</f>
        <v/>
      </c>
      <c r="AE179" t="str">
        <f>IF(ISBLANK(JP!AF183),"","x")</f>
        <v/>
      </c>
      <c r="AF179" t="str">
        <f>IF(ISBLANK(JP!AG183),"","x")</f>
        <v/>
      </c>
      <c r="AG179" t="str">
        <f>IF(ISBLANK(JP!AH183),"","x")</f>
        <v/>
      </c>
      <c r="AH179" t="str">
        <f>IF(ISBLANK(JP!AJ183),"","x")</f>
        <v/>
      </c>
      <c r="AI179" t="str">
        <f>IF(ISBLANK(JP!AK183),"","x")</f>
        <v/>
      </c>
      <c r="AJ179" t="str">
        <f>IF(ISBLANK(JP!AL183),"","x")</f>
        <v/>
      </c>
      <c r="AK179" t="str">
        <f>IF(ISBLANK(JP!AM183),"","x")</f>
        <v/>
      </c>
      <c r="AL179" t="str">
        <f>IF(ISBLANK(JP!AN183),"","x")</f>
        <v/>
      </c>
      <c r="AM179" t="str">
        <f>IF(ISBLANK(JP!AO183),"","x")</f>
        <v/>
      </c>
      <c r="AN179" t="str">
        <f>IF(ISBLANK(JP!AP183),"","x")</f>
        <v/>
      </c>
      <c r="AO179" t="str">
        <f>IF(ISBLANK(JP!AR183),"","x")</f>
        <v/>
      </c>
      <c r="AP179" t="str">
        <f>IF(ISBLANK(JP!AS183),"","x")</f>
        <v/>
      </c>
      <c r="AQ179" t="str">
        <f>IF(ISBLANK(JP!AT183),"","x")</f>
        <v/>
      </c>
      <c r="AR179" t="str">
        <f>IF(ISBLANK(JP!AU183),"","x")</f>
        <v/>
      </c>
      <c r="AS179" t="str">
        <f>IF(ISBLANK(JP!AV183),"","x")</f>
        <v/>
      </c>
      <c r="AT179" t="str">
        <f>IF(ISBLANK(JP!AW183),"","x")</f>
        <v/>
      </c>
      <c r="AU179" t="str">
        <f>IF(ISBLANK(JP!AX183),"","x")</f>
        <v/>
      </c>
    </row>
    <row r="180" spans="2:47">
      <c r="B180">
        <f>IF(ISBLANK(JP!AZ184),"",JP!AZ184)</f>
        <v>10043867</v>
      </c>
      <c r="C180" t="str">
        <f>IF(ISBLANK(JP!BA184),"",JP!BA184)</f>
        <v>ARUL GLOBAL MARKETING PTE. LTD.</v>
      </c>
      <c r="D180" t="str">
        <f>IF(ISBLANK(JP!BC184),"",JP!BC184)</f>
        <v>779 YISHUN AVENUE 2</v>
      </c>
      <c r="E180">
        <f>IF(ISBLANK(JP!BB184),"",JP!BB184)</f>
        <v>1</v>
      </c>
      <c r="F180" t="str">
        <f>IF(ISBLANK(JP!D184),"","x")</f>
        <v/>
      </c>
      <c r="G180" t="str">
        <f>IF(ISBLANK(JP!E184),"","x")</f>
        <v/>
      </c>
      <c r="H180" t="str">
        <f>IF(ISBLANK(JP!F184),"","x")</f>
        <v/>
      </c>
      <c r="I180" t="str">
        <f>IF(ISBLANK(JP!G184),"","x")</f>
        <v/>
      </c>
      <c r="J180" t="str">
        <f>IF(ISBLANK(JP!H184),"","x")</f>
        <v/>
      </c>
      <c r="K180" t="str">
        <f>IF(ISBLANK(JP!I184),"","x")</f>
        <v/>
      </c>
      <c r="L180" t="str">
        <f>IF(ISBLANK(JP!J184),"","x")</f>
        <v/>
      </c>
      <c r="M180" t="str">
        <f>IF(ISBLANK(JP!L184),"","x")</f>
        <v/>
      </c>
      <c r="N180" t="str">
        <f>IF(ISBLANK(JP!M184),"","x")</f>
        <v/>
      </c>
      <c r="O180" t="str">
        <f>IF(ISBLANK(JP!N184),"","x")</f>
        <v/>
      </c>
      <c r="P180" t="str">
        <f>IF(ISBLANK(JP!O184),"","x")</f>
        <v/>
      </c>
      <c r="Q180" t="str">
        <f>IF(ISBLANK(JP!P184),"","x")</f>
        <v/>
      </c>
      <c r="R180" t="str">
        <f>IF(ISBLANK(JP!Q184),"","x")</f>
        <v/>
      </c>
      <c r="S180" t="str">
        <f>IF(ISBLANK(JP!R184),"","x")</f>
        <v/>
      </c>
      <c r="T180" t="str">
        <f>IF(ISBLANK(JP!T184),"","x")</f>
        <v/>
      </c>
      <c r="U180" t="str">
        <f>IF(ISBLANK(JP!U184),"","x")</f>
        <v/>
      </c>
      <c r="V180" t="str">
        <f>IF(ISBLANK(JP!V184),"","x")</f>
        <v/>
      </c>
      <c r="W180" t="str">
        <f>IF(ISBLANK(JP!W184),"","x")</f>
        <v/>
      </c>
      <c r="X180" t="str">
        <f>IF(ISBLANK(JP!X184),"","x")</f>
        <v/>
      </c>
      <c r="Y180" t="str">
        <f>IF(ISBLANK(JP!Y184),"","x")</f>
        <v/>
      </c>
      <c r="Z180" t="str">
        <f>IF(ISBLANK(JP!Z184),"","x")</f>
        <v/>
      </c>
      <c r="AA180" t="str">
        <f>IF(ISBLANK(JP!AB184),"","x")</f>
        <v/>
      </c>
      <c r="AB180" t="str">
        <f>IF(ISBLANK(JP!AC184),"","x")</f>
        <v/>
      </c>
      <c r="AC180" t="str">
        <f>IF(ISBLANK(JP!AD184),"","x")</f>
        <v/>
      </c>
      <c r="AD180" t="str">
        <f>IF(ISBLANK(JP!AE184),"","x")</f>
        <v>x</v>
      </c>
      <c r="AE180" t="str">
        <f>IF(ISBLANK(JP!AF184),"","x")</f>
        <v/>
      </c>
      <c r="AF180" t="str">
        <f>IF(ISBLANK(JP!AG184),"","x")</f>
        <v/>
      </c>
      <c r="AG180" t="str">
        <f>IF(ISBLANK(JP!AH184),"","x")</f>
        <v/>
      </c>
      <c r="AH180" t="str">
        <f>IF(ISBLANK(JP!AJ184),"","x")</f>
        <v/>
      </c>
      <c r="AI180" t="str">
        <f>IF(ISBLANK(JP!AK184),"","x")</f>
        <v/>
      </c>
      <c r="AJ180" t="str">
        <f>IF(ISBLANK(JP!AL184),"","x")</f>
        <v/>
      </c>
      <c r="AK180" t="str">
        <f>IF(ISBLANK(JP!AM184),"","x")</f>
        <v/>
      </c>
      <c r="AL180" t="str">
        <f>IF(ISBLANK(JP!AN184),"","x")</f>
        <v/>
      </c>
      <c r="AM180" t="str">
        <f>IF(ISBLANK(JP!AO184),"","x")</f>
        <v/>
      </c>
      <c r="AN180" t="str">
        <f>IF(ISBLANK(JP!AP184),"","x")</f>
        <v/>
      </c>
      <c r="AO180" t="str">
        <f>IF(ISBLANK(JP!AR184),"","x")</f>
        <v/>
      </c>
      <c r="AP180" t="str">
        <f>IF(ISBLANK(JP!AS184),"","x")</f>
        <v/>
      </c>
      <c r="AQ180" t="str">
        <f>IF(ISBLANK(JP!AT184),"","x")</f>
        <v/>
      </c>
      <c r="AR180" t="str">
        <f>IF(ISBLANK(JP!AU184),"","x")</f>
        <v/>
      </c>
      <c r="AS180" t="str">
        <f>IF(ISBLANK(JP!AV184),"","x")</f>
        <v/>
      </c>
      <c r="AT180" t="str">
        <f>IF(ISBLANK(JP!AW184),"","x")</f>
        <v/>
      </c>
      <c r="AU180" t="str">
        <f>IF(ISBLANK(JP!AX184),"","x")</f>
        <v/>
      </c>
    </row>
    <row r="181" spans="2:47">
      <c r="B181">
        <f>IF(ISBLANK(JP!AZ185),"",JP!AZ185)</f>
        <v>10033655</v>
      </c>
      <c r="C181" t="str">
        <f>IF(ISBLANK(JP!BA185),"",JP!BA185)</f>
        <v>KAI SOON SUPERMARKET PTE. LTD.(YISHUN)</v>
      </c>
      <c r="D181" t="str">
        <f>IF(ISBLANK(JP!BC185),"",JP!BC185)</f>
        <v>780 YISHUN RING ROAD</v>
      </c>
      <c r="E181">
        <f>IF(ISBLANK(JP!BB185),"",JP!BB185)</f>
        <v>1</v>
      </c>
      <c r="F181" t="str">
        <f>IF(ISBLANK(JP!D185),"","x")</f>
        <v/>
      </c>
      <c r="G181" t="str">
        <f>IF(ISBLANK(JP!E185),"","x")</f>
        <v/>
      </c>
      <c r="H181" t="str">
        <f>IF(ISBLANK(JP!F185),"","x")</f>
        <v/>
      </c>
      <c r="I181" t="str">
        <f>IF(ISBLANK(JP!G185),"","x")</f>
        <v/>
      </c>
      <c r="J181" t="str">
        <f>IF(ISBLANK(JP!H185),"","x")</f>
        <v/>
      </c>
      <c r="K181" t="str">
        <f>IF(ISBLANK(JP!I185),"","x")</f>
        <v/>
      </c>
      <c r="L181" t="str">
        <f>IF(ISBLANK(JP!J185),"","x")</f>
        <v/>
      </c>
      <c r="M181" t="str">
        <f>IF(ISBLANK(JP!L185),"","x")</f>
        <v/>
      </c>
      <c r="N181" t="str">
        <f>IF(ISBLANK(JP!M185),"","x")</f>
        <v/>
      </c>
      <c r="O181" t="str">
        <f>IF(ISBLANK(JP!N185),"","x")</f>
        <v/>
      </c>
      <c r="P181" t="str">
        <f>IF(ISBLANK(JP!O185),"","x")</f>
        <v/>
      </c>
      <c r="Q181" t="str">
        <f>IF(ISBLANK(JP!P185),"","x")</f>
        <v/>
      </c>
      <c r="R181" t="str">
        <f>IF(ISBLANK(JP!Q185),"","x")</f>
        <v/>
      </c>
      <c r="S181" t="str">
        <f>IF(ISBLANK(JP!R185),"","x")</f>
        <v/>
      </c>
      <c r="T181" t="str">
        <f>IF(ISBLANK(JP!T185),"","x")</f>
        <v/>
      </c>
      <c r="U181" t="str">
        <f>IF(ISBLANK(JP!U185),"","x")</f>
        <v/>
      </c>
      <c r="V181" t="str">
        <f>IF(ISBLANK(JP!V185),"","x")</f>
        <v/>
      </c>
      <c r="W181" t="str">
        <f>IF(ISBLANK(JP!W185),"","x")</f>
        <v/>
      </c>
      <c r="X181" t="str">
        <f>IF(ISBLANK(JP!X185),"","x")</f>
        <v/>
      </c>
      <c r="Y181" t="str">
        <f>IF(ISBLANK(JP!Y185),"","x")</f>
        <v/>
      </c>
      <c r="Z181" t="str">
        <f>IF(ISBLANK(JP!Z185),"","x")</f>
        <v/>
      </c>
      <c r="AA181" t="str">
        <f>IF(ISBLANK(JP!AB185),"","x")</f>
        <v/>
      </c>
      <c r="AB181" t="str">
        <f>IF(ISBLANK(JP!AC185),"","x")</f>
        <v/>
      </c>
      <c r="AC181" t="str">
        <f>IF(ISBLANK(JP!AD185),"","x")</f>
        <v/>
      </c>
      <c r="AD181" t="str">
        <f>IF(ISBLANK(JP!AE185),"","x")</f>
        <v>x</v>
      </c>
      <c r="AE181" t="str">
        <f>IF(ISBLANK(JP!AF185),"","x")</f>
        <v/>
      </c>
      <c r="AF181" t="str">
        <f>IF(ISBLANK(JP!AG185),"","x")</f>
        <v/>
      </c>
      <c r="AG181" t="str">
        <f>IF(ISBLANK(JP!AH185),"","x")</f>
        <v/>
      </c>
      <c r="AH181" t="str">
        <f>IF(ISBLANK(JP!AJ185),"","x")</f>
        <v/>
      </c>
      <c r="AI181" t="str">
        <f>IF(ISBLANK(JP!AK185),"","x")</f>
        <v/>
      </c>
      <c r="AJ181" t="str">
        <f>IF(ISBLANK(JP!AL185),"","x")</f>
        <v/>
      </c>
      <c r="AK181" t="str">
        <f>IF(ISBLANK(JP!AM185),"","x")</f>
        <v/>
      </c>
      <c r="AL181" t="str">
        <f>IF(ISBLANK(JP!AN185),"","x")</f>
        <v/>
      </c>
      <c r="AM181" t="str">
        <f>IF(ISBLANK(JP!AO185),"","x")</f>
        <v/>
      </c>
      <c r="AN181" t="str">
        <f>IF(ISBLANK(JP!AP185),"","x")</f>
        <v/>
      </c>
      <c r="AO181" t="str">
        <f>IF(ISBLANK(JP!AR185),"","x")</f>
        <v/>
      </c>
      <c r="AP181" t="str">
        <f>IF(ISBLANK(JP!AS185),"","x")</f>
        <v/>
      </c>
      <c r="AQ181" t="str">
        <f>IF(ISBLANK(JP!AT185),"","x")</f>
        <v/>
      </c>
      <c r="AR181" t="str">
        <f>IF(ISBLANK(JP!AU185),"","x")</f>
        <v/>
      </c>
      <c r="AS181" t="str">
        <f>IF(ISBLANK(JP!AV185),"","x")</f>
        <v/>
      </c>
      <c r="AT181" t="str">
        <f>IF(ISBLANK(JP!AW185),"","x")</f>
        <v/>
      </c>
      <c r="AU181" t="str">
        <f>IF(ISBLANK(JP!AX185),"","x")</f>
        <v/>
      </c>
    </row>
    <row r="182" spans="2:47">
      <c r="B182">
        <f>IF(ISBLANK(JP!AZ186),"",JP!AZ186)</f>
        <v>10025793</v>
      </c>
      <c r="C182" t="str">
        <f>IF(ISBLANK(JP!BA186),"",JP!BA186)</f>
        <v>S&amp;Z MINIMART</v>
      </c>
      <c r="D182" t="str">
        <f>IF(ISBLANK(JP!BC186),"",JP!BC186)</f>
        <v>807 YISHUN RING ROAD</v>
      </c>
      <c r="E182">
        <f>IF(ISBLANK(JP!BB186),"",JP!BB186)</f>
        <v>1</v>
      </c>
      <c r="F182" t="str">
        <f>IF(ISBLANK(JP!D186),"","x")</f>
        <v/>
      </c>
      <c r="G182" t="str">
        <f>IF(ISBLANK(JP!E186),"","x")</f>
        <v/>
      </c>
      <c r="H182" t="str">
        <f>IF(ISBLANK(JP!F186),"","x")</f>
        <v/>
      </c>
      <c r="I182" t="str">
        <f>IF(ISBLANK(JP!G186),"","x")</f>
        <v/>
      </c>
      <c r="J182" t="str">
        <f>IF(ISBLANK(JP!H186),"","x")</f>
        <v/>
      </c>
      <c r="K182" t="str">
        <f>IF(ISBLANK(JP!I186),"","x")</f>
        <v/>
      </c>
      <c r="L182" t="str">
        <f>IF(ISBLANK(JP!J186),"","x")</f>
        <v/>
      </c>
      <c r="M182" t="str">
        <f>IF(ISBLANK(JP!L186),"","x")</f>
        <v/>
      </c>
      <c r="N182" t="str">
        <f>IF(ISBLANK(JP!M186),"","x")</f>
        <v/>
      </c>
      <c r="O182" t="str">
        <f>IF(ISBLANK(JP!N186),"","x")</f>
        <v/>
      </c>
      <c r="P182" t="str">
        <f>IF(ISBLANK(JP!O186),"","x")</f>
        <v/>
      </c>
      <c r="Q182" t="str">
        <f>IF(ISBLANK(JP!P186),"","x")</f>
        <v/>
      </c>
      <c r="R182" t="str">
        <f>IF(ISBLANK(JP!Q186),"","x")</f>
        <v/>
      </c>
      <c r="S182" t="str">
        <f>IF(ISBLANK(JP!R186),"","x")</f>
        <v/>
      </c>
      <c r="T182" t="str">
        <f>IF(ISBLANK(JP!T186),"","x")</f>
        <v/>
      </c>
      <c r="U182" t="str">
        <f>IF(ISBLANK(JP!U186),"","x")</f>
        <v/>
      </c>
      <c r="V182" t="str">
        <f>IF(ISBLANK(JP!V186),"","x")</f>
        <v/>
      </c>
      <c r="W182" t="str">
        <f>IF(ISBLANK(JP!W186),"","x")</f>
        <v/>
      </c>
      <c r="X182" t="str">
        <f>IF(ISBLANK(JP!X186),"","x")</f>
        <v/>
      </c>
      <c r="Y182" t="str">
        <f>IF(ISBLANK(JP!Y186),"","x")</f>
        <v/>
      </c>
      <c r="Z182" t="str">
        <f>IF(ISBLANK(JP!Z186),"","x")</f>
        <v/>
      </c>
      <c r="AA182" t="str">
        <f>IF(ISBLANK(JP!AB186),"","x")</f>
        <v/>
      </c>
      <c r="AB182" t="str">
        <f>IF(ISBLANK(JP!AC186),"","x")</f>
        <v/>
      </c>
      <c r="AC182" t="str">
        <f>IF(ISBLANK(JP!AD186),"","x")</f>
        <v/>
      </c>
      <c r="AD182" t="str">
        <f>IF(ISBLANK(JP!AE186),"","x")</f>
        <v>x</v>
      </c>
      <c r="AE182" t="str">
        <f>IF(ISBLANK(JP!AF186),"","x")</f>
        <v/>
      </c>
      <c r="AF182" t="str">
        <f>IF(ISBLANK(JP!AG186),"","x")</f>
        <v/>
      </c>
      <c r="AG182" t="str">
        <f>IF(ISBLANK(JP!AH186),"","x")</f>
        <v/>
      </c>
      <c r="AH182" t="str">
        <f>IF(ISBLANK(JP!AJ186),"","x")</f>
        <v/>
      </c>
      <c r="AI182" t="str">
        <f>IF(ISBLANK(JP!AK186),"","x")</f>
        <v/>
      </c>
      <c r="AJ182" t="str">
        <f>IF(ISBLANK(JP!AL186),"","x")</f>
        <v/>
      </c>
      <c r="AK182" t="str">
        <f>IF(ISBLANK(JP!AM186),"","x")</f>
        <v/>
      </c>
      <c r="AL182" t="str">
        <f>IF(ISBLANK(JP!AN186),"","x")</f>
        <v/>
      </c>
      <c r="AM182" t="str">
        <f>IF(ISBLANK(JP!AO186),"","x")</f>
        <v/>
      </c>
      <c r="AN182" t="str">
        <f>IF(ISBLANK(JP!AP186),"","x")</f>
        <v/>
      </c>
      <c r="AO182" t="str">
        <f>IF(ISBLANK(JP!AR186),"","x")</f>
        <v/>
      </c>
      <c r="AP182" t="str">
        <f>IF(ISBLANK(JP!AS186),"","x")</f>
        <v/>
      </c>
      <c r="AQ182" t="str">
        <f>IF(ISBLANK(JP!AT186),"","x")</f>
        <v/>
      </c>
      <c r="AR182" t="str">
        <f>IF(ISBLANK(JP!AU186),"","x")</f>
        <v/>
      </c>
      <c r="AS182" t="str">
        <f>IF(ISBLANK(JP!AV186),"","x")</f>
        <v/>
      </c>
      <c r="AT182" t="str">
        <f>IF(ISBLANK(JP!AW186),"","x")</f>
        <v/>
      </c>
      <c r="AU182" t="str">
        <f>IF(ISBLANK(JP!AX186),"","x")</f>
        <v/>
      </c>
    </row>
    <row r="183" spans="2:47">
      <c r="B183">
        <f>IF(ISBLANK(JP!AZ187),"",JP!AZ187)</f>
        <v>10045122</v>
      </c>
      <c r="C183" t="str">
        <f>IF(ISBLANK(JP!BA187),"",JP!BA187)</f>
        <v>MM SUPERMARKET PTE. LTD.</v>
      </c>
      <c r="D183" t="str">
        <f>IF(ISBLANK(JP!BC187),"",JP!BC187)</f>
        <v>333C YISHUN STREET 31</v>
      </c>
      <c r="E183">
        <f>IF(ISBLANK(JP!BB187),"",JP!BB187)</f>
        <v>1</v>
      </c>
      <c r="F183" t="str">
        <f>IF(ISBLANK(JP!D187),"","x")</f>
        <v/>
      </c>
      <c r="G183" t="str">
        <f>IF(ISBLANK(JP!E187),"","x")</f>
        <v/>
      </c>
      <c r="H183" t="str">
        <f>IF(ISBLANK(JP!F187),"","x")</f>
        <v/>
      </c>
      <c r="I183" t="str">
        <f>IF(ISBLANK(JP!G187),"","x")</f>
        <v/>
      </c>
      <c r="J183" t="str">
        <f>IF(ISBLANK(JP!H187),"","x")</f>
        <v/>
      </c>
      <c r="K183" t="str">
        <f>IF(ISBLANK(JP!I187),"","x")</f>
        <v/>
      </c>
      <c r="L183" t="str">
        <f>IF(ISBLANK(JP!J187),"","x")</f>
        <v/>
      </c>
      <c r="M183" t="str">
        <f>IF(ISBLANK(JP!L187),"","x")</f>
        <v/>
      </c>
      <c r="N183" t="str">
        <f>IF(ISBLANK(JP!M187),"","x")</f>
        <v/>
      </c>
      <c r="O183" t="str">
        <f>IF(ISBLANK(JP!N187),"","x")</f>
        <v/>
      </c>
      <c r="P183" t="str">
        <f>IF(ISBLANK(JP!O187),"","x")</f>
        <v/>
      </c>
      <c r="Q183" t="str">
        <f>IF(ISBLANK(JP!P187),"","x")</f>
        <v/>
      </c>
      <c r="R183" t="str">
        <f>IF(ISBLANK(JP!Q187),"","x")</f>
        <v/>
      </c>
      <c r="S183" t="str">
        <f>IF(ISBLANK(JP!R187),"","x")</f>
        <v/>
      </c>
      <c r="T183" t="str">
        <f>IF(ISBLANK(JP!T187),"","x")</f>
        <v/>
      </c>
      <c r="U183" t="str">
        <f>IF(ISBLANK(JP!U187),"","x")</f>
        <v/>
      </c>
      <c r="V183" t="str">
        <f>IF(ISBLANK(JP!V187),"","x")</f>
        <v/>
      </c>
      <c r="W183" t="str">
        <f>IF(ISBLANK(JP!W187),"","x")</f>
        <v/>
      </c>
      <c r="X183" t="str">
        <f>IF(ISBLANK(JP!X187),"","x")</f>
        <v/>
      </c>
      <c r="Y183" t="str">
        <f>IF(ISBLANK(JP!Y187),"","x")</f>
        <v/>
      </c>
      <c r="Z183" t="str">
        <f>IF(ISBLANK(JP!Z187),"","x")</f>
        <v/>
      </c>
      <c r="AA183" t="str">
        <f>IF(ISBLANK(JP!AB187),"","x")</f>
        <v/>
      </c>
      <c r="AB183" t="str">
        <f>IF(ISBLANK(JP!AC187),"","x")</f>
        <v/>
      </c>
      <c r="AC183" t="str">
        <f>IF(ISBLANK(JP!AD187),"","x")</f>
        <v/>
      </c>
      <c r="AD183" t="str">
        <f>IF(ISBLANK(JP!AE187),"","x")</f>
        <v>x</v>
      </c>
      <c r="AE183" t="str">
        <f>IF(ISBLANK(JP!AF187),"","x")</f>
        <v/>
      </c>
      <c r="AF183" t="str">
        <f>IF(ISBLANK(JP!AG187),"","x")</f>
        <v/>
      </c>
      <c r="AG183" t="str">
        <f>IF(ISBLANK(JP!AH187),"","x")</f>
        <v/>
      </c>
      <c r="AH183" t="str">
        <f>IF(ISBLANK(JP!AJ187),"","x")</f>
        <v/>
      </c>
      <c r="AI183" t="str">
        <f>IF(ISBLANK(JP!AK187),"","x")</f>
        <v/>
      </c>
      <c r="AJ183" t="str">
        <f>IF(ISBLANK(JP!AL187),"","x")</f>
        <v/>
      </c>
      <c r="AK183" t="str">
        <f>IF(ISBLANK(JP!AM187),"","x")</f>
        <v/>
      </c>
      <c r="AL183" t="str">
        <f>IF(ISBLANK(JP!AN187),"","x")</f>
        <v/>
      </c>
      <c r="AM183" t="str">
        <f>IF(ISBLANK(JP!AO187),"","x")</f>
        <v/>
      </c>
      <c r="AN183" t="str">
        <f>IF(ISBLANK(JP!AP187),"","x")</f>
        <v/>
      </c>
      <c r="AO183" t="str">
        <f>IF(ISBLANK(JP!AR187),"","x")</f>
        <v/>
      </c>
      <c r="AP183" t="str">
        <f>IF(ISBLANK(JP!AS187),"","x")</f>
        <v/>
      </c>
      <c r="AQ183" t="str">
        <f>IF(ISBLANK(JP!AT187),"","x")</f>
        <v/>
      </c>
      <c r="AR183" t="str">
        <f>IF(ISBLANK(JP!AU187),"","x")</f>
        <v/>
      </c>
      <c r="AS183" t="str">
        <f>IF(ISBLANK(JP!AV187),"","x")</f>
        <v/>
      </c>
      <c r="AT183" t="str">
        <f>IF(ISBLANK(JP!AW187),"","x")</f>
        <v/>
      </c>
      <c r="AU183" t="str">
        <f>IF(ISBLANK(JP!AX187),"","x")</f>
        <v/>
      </c>
    </row>
    <row r="184" spans="2:47">
      <c r="B184">
        <f>IF(ISBLANK(JP!AZ188),"",JP!AZ188)</f>
        <v>10044582</v>
      </c>
      <c r="C184" t="str">
        <f>IF(ISBLANK(JP!BA188),"",JP!BA188)</f>
        <v>SASI MURUGAN TRADING PTE LTD</v>
      </c>
      <c r="D184" t="str">
        <f>IF(ISBLANK(JP!BC188),"",JP!BC188)</f>
        <v>37 MILTONIA CLOSE</v>
      </c>
      <c r="E184">
        <f>IF(ISBLANK(JP!BB188),"",JP!BB188)</f>
        <v>1</v>
      </c>
      <c r="F184" t="str">
        <f>IF(ISBLANK(JP!D188),"","x")</f>
        <v/>
      </c>
      <c r="G184" t="str">
        <f>IF(ISBLANK(JP!E188),"","x")</f>
        <v/>
      </c>
      <c r="H184" t="str">
        <f>IF(ISBLANK(JP!F188),"","x")</f>
        <v/>
      </c>
      <c r="I184" t="str">
        <f>IF(ISBLANK(JP!G188),"","x")</f>
        <v/>
      </c>
      <c r="J184" t="str">
        <f>IF(ISBLANK(JP!H188),"","x")</f>
        <v/>
      </c>
      <c r="K184" t="str">
        <f>IF(ISBLANK(JP!I188),"","x")</f>
        <v/>
      </c>
      <c r="L184" t="str">
        <f>IF(ISBLANK(JP!J188),"","x")</f>
        <v/>
      </c>
      <c r="M184" t="str">
        <f>IF(ISBLANK(JP!L188),"","x")</f>
        <v/>
      </c>
      <c r="N184" t="str">
        <f>IF(ISBLANK(JP!M188),"","x")</f>
        <v/>
      </c>
      <c r="O184" t="str">
        <f>IF(ISBLANK(JP!N188),"","x")</f>
        <v/>
      </c>
      <c r="P184" t="str">
        <f>IF(ISBLANK(JP!O188),"","x")</f>
        <v/>
      </c>
      <c r="Q184" t="str">
        <f>IF(ISBLANK(JP!P188),"","x")</f>
        <v/>
      </c>
      <c r="R184" t="str">
        <f>IF(ISBLANK(JP!Q188),"","x")</f>
        <v/>
      </c>
      <c r="S184" t="str">
        <f>IF(ISBLANK(JP!R188),"","x")</f>
        <v/>
      </c>
      <c r="T184" t="str">
        <f>IF(ISBLANK(JP!T188),"","x")</f>
        <v/>
      </c>
      <c r="U184" t="str">
        <f>IF(ISBLANK(JP!U188),"","x")</f>
        <v/>
      </c>
      <c r="V184" t="str">
        <f>IF(ISBLANK(JP!V188),"","x")</f>
        <v/>
      </c>
      <c r="W184" t="str">
        <f>IF(ISBLANK(JP!W188),"","x")</f>
        <v/>
      </c>
      <c r="X184" t="str">
        <f>IF(ISBLANK(JP!X188),"","x")</f>
        <v/>
      </c>
      <c r="Y184" t="str">
        <f>IF(ISBLANK(JP!Y188),"","x")</f>
        <v/>
      </c>
      <c r="Z184" t="str">
        <f>IF(ISBLANK(JP!Z188),"","x")</f>
        <v/>
      </c>
      <c r="AA184" t="str">
        <f>IF(ISBLANK(JP!AB188),"","x")</f>
        <v/>
      </c>
      <c r="AB184" t="str">
        <f>IF(ISBLANK(JP!AC188),"","x")</f>
        <v/>
      </c>
      <c r="AC184" t="str">
        <f>IF(ISBLANK(JP!AD188),"","x")</f>
        <v/>
      </c>
      <c r="AD184" t="str">
        <f>IF(ISBLANK(JP!AE188),"","x")</f>
        <v/>
      </c>
      <c r="AE184" t="str">
        <f>IF(ISBLANK(JP!AF188),"","x")</f>
        <v/>
      </c>
      <c r="AF184" t="str">
        <f>IF(ISBLANK(JP!AG188),"","x")</f>
        <v/>
      </c>
      <c r="AG184" t="str">
        <f>IF(ISBLANK(JP!AH188),"","x")</f>
        <v/>
      </c>
      <c r="AH184" t="str">
        <f>IF(ISBLANK(JP!AJ188),"","x")</f>
        <v/>
      </c>
      <c r="AI184" t="str">
        <f>IF(ISBLANK(JP!AK188),"","x")</f>
        <v/>
      </c>
      <c r="AJ184" t="str">
        <f>IF(ISBLANK(JP!AL188),"","x")</f>
        <v/>
      </c>
      <c r="AK184" t="str">
        <f>IF(ISBLANK(JP!AM188),"","x")</f>
        <v/>
      </c>
      <c r="AL184" t="str">
        <f>IF(ISBLANK(JP!AN188),"","x")</f>
        <v/>
      </c>
      <c r="AM184" t="str">
        <f>IF(ISBLANK(JP!AO188),"","x")</f>
        <v/>
      </c>
      <c r="AN184" t="str">
        <f>IF(ISBLANK(JP!AP188),"","x")</f>
        <v/>
      </c>
      <c r="AO184" t="str">
        <f>IF(ISBLANK(JP!AR188),"","x")</f>
        <v/>
      </c>
      <c r="AP184" t="str">
        <f>IF(ISBLANK(JP!AS188),"","x")</f>
        <v/>
      </c>
      <c r="AQ184" t="str">
        <f>IF(ISBLANK(JP!AT188),"","x")</f>
        <v/>
      </c>
      <c r="AR184" t="str">
        <f>IF(ISBLANK(JP!AU188),"","x")</f>
        <v/>
      </c>
      <c r="AS184" t="str">
        <f>IF(ISBLANK(JP!AV188),"","x")</f>
        <v/>
      </c>
      <c r="AT184" t="str">
        <f>IF(ISBLANK(JP!AW188),"","x")</f>
        <v/>
      </c>
      <c r="AU184" t="str">
        <f>IF(ISBLANK(JP!AX188),"","x")</f>
        <v/>
      </c>
    </row>
    <row r="185" spans="2:47">
      <c r="B185">
        <f>IF(ISBLANK(JP!AZ189),"",JP!AZ189)</f>
        <v>10038349</v>
      </c>
      <c r="C185" t="str">
        <f>IF(ISBLANK(JP!BA189),"",JP!BA189)</f>
        <v>RAINBOW SUPER MART (YISHUN)</v>
      </c>
      <c r="D185" t="str">
        <f>IF(ISBLANK(JP!BC189),"",JP!BC189)</f>
        <v>2 YISHUN INDUSTRIAL STREET 1</v>
      </c>
      <c r="E185">
        <f>IF(ISBLANK(JP!BB189),"",JP!BB189)</f>
        <v>1</v>
      </c>
      <c r="F185" t="str">
        <f>IF(ISBLANK(JP!D189),"","x")</f>
        <v/>
      </c>
      <c r="G185" t="str">
        <f>IF(ISBLANK(JP!E189),"","x")</f>
        <v/>
      </c>
      <c r="H185" t="str">
        <f>IF(ISBLANK(JP!F189),"","x")</f>
        <v/>
      </c>
      <c r="I185" t="str">
        <f>IF(ISBLANK(JP!G189),"","x")</f>
        <v/>
      </c>
      <c r="J185" t="str">
        <f>IF(ISBLANK(JP!H189),"","x")</f>
        <v/>
      </c>
      <c r="K185" t="str">
        <f>IF(ISBLANK(JP!I189),"","x")</f>
        <v/>
      </c>
      <c r="L185" t="str">
        <f>IF(ISBLANK(JP!J189),"","x")</f>
        <v/>
      </c>
      <c r="M185" t="str">
        <f>IF(ISBLANK(JP!L189),"","x")</f>
        <v/>
      </c>
      <c r="N185" t="str">
        <f>IF(ISBLANK(JP!M189),"","x")</f>
        <v/>
      </c>
      <c r="O185" t="str">
        <f>IF(ISBLANK(JP!N189),"","x")</f>
        <v/>
      </c>
      <c r="P185" t="str">
        <f>IF(ISBLANK(JP!O189),"","x")</f>
        <v/>
      </c>
      <c r="Q185" t="str">
        <f>IF(ISBLANK(JP!P189),"","x")</f>
        <v/>
      </c>
      <c r="R185" t="str">
        <f>IF(ISBLANK(JP!Q189),"","x")</f>
        <v/>
      </c>
      <c r="S185" t="str">
        <f>IF(ISBLANK(JP!R189),"","x")</f>
        <v/>
      </c>
      <c r="T185" t="str">
        <f>IF(ISBLANK(JP!T189),"","x")</f>
        <v/>
      </c>
      <c r="U185" t="str">
        <f>IF(ISBLANK(JP!U189),"","x")</f>
        <v/>
      </c>
      <c r="V185" t="str">
        <f>IF(ISBLANK(JP!V189),"","x")</f>
        <v/>
      </c>
      <c r="W185" t="str">
        <f>IF(ISBLANK(JP!W189),"","x")</f>
        <v/>
      </c>
      <c r="X185" t="str">
        <f>IF(ISBLANK(JP!X189),"","x")</f>
        <v/>
      </c>
      <c r="Y185" t="str">
        <f>IF(ISBLANK(JP!Y189),"","x")</f>
        <v/>
      </c>
      <c r="Z185" t="str">
        <f>IF(ISBLANK(JP!Z189),"","x")</f>
        <v/>
      </c>
      <c r="AA185" t="str">
        <f>IF(ISBLANK(JP!AB189),"","x")</f>
        <v/>
      </c>
      <c r="AB185" t="str">
        <f>IF(ISBLANK(JP!AC189),"","x")</f>
        <v/>
      </c>
      <c r="AC185" t="str">
        <f>IF(ISBLANK(JP!AD189),"","x")</f>
        <v/>
      </c>
      <c r="AD185" t="str">
        <f>IF(ISBLANK(JP!AE189),"","x")</f>
        <v/>
      </c>
      <c r="AE185" t="str">
        <f>IF(ISBLANK(JP!AF189),"","x")</f>
        <v/>
      </c>
      <c r="AF185" t="str">
        <f>IF(ISBLANK(JP!AG189),"","x")</f>
        <v/>
      </c>
      <c r="AG185" t="str">
        <f>IF(ISBLANK(JP!AH189),"","x")</f>
        <v/>
      </c>
      <c r="AH185" t="str">
        <f>IF(ISBLANK(JP!AJ189),"","x")</f>
        <v/>
      </c>
      <c r="AI185" t="str">
        <f>IF(ISBLANK(JP!AK189),"","x")</f>
        <v/>
      </c>
      <c r="AJ185" t="str">
        <f>IF(ISBLANK(JP!AL189),"","x")</f>
        <v/>
      </c>
      <c r="AK185" t="str">
        <f>IF(ISBLANK(JP!AM189),"","x")</f>
        <v/>
      </c>
      <c r="AL185" t="str">
        <f>IF(ISBLANK(JP!AN189),"","x")</f>
        <v/>
      </c>
      <c r="AM185" t="str">
        <f>IF(ISBLANK(JP!AO189),"","x")</f>
        <v/>
      </c>
      <c r="AN185" t="str">
        <f>IF(ISBLANK(JP!AP189),"","x")</f>
        <v/>
      </c>
      <c r="AO185" t="str">
        <f>IF(ISBLANK(JP!AR189),"","x")</f>
        <v/>
      </c>
      <c r="AP185" t="str">
        <f>IF(ISBLANK(JP!AS189),"","x")</f>
        <v/>
      </c>
      <c r="AQ185" t="str">
        <f>IF(ISBLANK(JP!AT189),"","x")</f>
        <v/>
      </c>
      <c r="AR185" t="str">
        <f>IF(ISBLANK(JP!AU189),"","x")</f>
        <v/>
      </c>
      <c r="AS185" t="str">
        <f>IF(ISBLANK(JP!AV189),"","x")</f>
        <v/>
      </c>
      <c r="AT185" t="str">
        <f>IF(ISBLANK(JP!AW189),"","x")</f>
        <v/>
      </c>
      <c r="AU185" t="str">
        <f>IF(ISBLANK(JP!AX189),"","x")</f>
        <v/>
      </c>
    </row>
    <row r="186" spans="2:47">
      <c r="B186">
        <f>IF(ISBLANK(JP!AZ190),"",JP!AZ190)</f>
        <v>10044351</v>
      </c>
      <c r="C186" t="str">
        <f>IF(ISBLANK(JP!BA190),"",JP!BA190)</f>
        <v>UNITED ACHIEVA DISTRIBUTORS PTE. LTD.</v>
      </c>
      <c r="D186" t="str">
        <f>IF(ISBLANK(JP!BC190),"",JP!BC190)</f>
        <v>2 YISHUN INDUSTRIAL STREET 1</v>
      </c>
      <c r="E186">
        <f>IF(ISBLANK(JP!BB190),"",JP!BB190)</f>
        <v>1</v>
      </c>
      <c r="F186" t="str">
        <f>IF(ISBLANK(JP!D190),"","x")</f>
        <v/>
      </c>
      <c r="G186" t="str">
        <f>IF(ISBLANK(JP!E190),"","x")</f>
        <v/>
      </c>
      <c r="H186" t="str">
        <f>IF(ISBLANK(JP!F190),"","x")</f>
        <v/>
      </c>
      <c r="I186" t="str">
        <f>IF(ISBLANK(JP!G190),"","x")</f>
        <v/>
      </c>
      <c r="J186" t="str">
        <f>IF(ISBLANK(JP!H190),"","x")</f>
        <v/>
      </c>
      <c r="K186" t="str">
        <f>IF(ISBLANK(JP!I190),"","x")</f>
        <v/>
      </c>
      <c r="L186" t="str">
        <f>IF(ISBLANK(JP!J190),"","x")</f>
        <v/>
      </c>
      <c r="M186" t="str">
        <f>IF(ISBLANK(JP!L190),"","x")</f>
        <v/>
      </c>
      <c r="N186" t="str">
        <f>IF(ISBLANK(JP!M190),"","x")</f>
        <v/>
      </c>
      <c r="O186" t="str">
        <f>IF(ISBLANK(JP!N190),"","x")</f>
        <v/>
      </c>
      <c r="P186" t="str">
        <f>IF(ISBLANK(JP!O190),"","x")</f>
        <v/>
      </c>
      <c r="Q186" t="str">
        <f>IF(ISBLANK(JP!P190),"","x")</f>
        <v/>
      </c>
      <c r="R186" t="str">
        <f>IF(ISBLANK(JP!Q190),"","x")</f>
        <v/>
      </c>
      <c r="S186" t="str">
        <f>IF(ISBLANK(JP!R190),"","x")</f>
        <v/>
      </c>
      <c r="T186" t="str">
        <f>IF(ISBLANK(JP!T190),"","x")</f>
        <v/>
      </c>
      <c r="U186" t="str">
        <f>IF(ISBLANK(JP!U190),"","x")</f>
        <v/>
      </c>
      <c r="V186" t="str">
        <f>IF(ISBLANK(JP!V190),"","x")</f>
        <v/>
      </c>
      <c r="W186" t="str">
        <f>IF(ISBLANK(JP!W190),"","x")</f>
        <v/>
      </c>
      <c r="X186" t="str">
        <f>IF(ISBLANK(JP!X190),"","x")</f>
        <v/>
      </c>
      <c r="Y186" t="str">
        <f>IF(ISBLANK(JP!Y190),"","x")</f>
        <v/>
      </c>
      <c r="Z186" t="str">
        <f>IF(ISBLANK(JP!Z190),"","x")</f>
        <v/>
      </c>
      <c r="AA186" t="str">
        <f>IF(ISBLANK(JP!AB190),"","x")</f>
        <v/>
      </c>
      <c r="AB186" t="str">
        <f>IF(ISBLANK(JP!AC190),"","x")</f>
        <v/>
      </c>
      <c r="AC186" t="str">
        <f>IF(ISBLANK(JP!AD190),"","x")</f>
        <v/>
      </c>
      <c r="AD186" t="str">
        <f>IF(ISBLANK(JP!AE190),"","x")</f>
        <v/>
      </c>
      <c r="AE186" t="str">
        <f>IF(ISBLANK(JP!AF190),"","x")</f>
        <v/>
      </c>
      <c r="AF186" t="str">
        <f>IF(ISBLANK(JP!AG190),"","x")</f>
        <v/>
      </c>
      <c r="AG186" t="str">
        <f>IF(ISBLANK(JP!AH190),"","x")</f>
        <v/>
      </c>
      <c r="AH186" t="str">
        <f>IF(ISBLANK(JP!AJ190),"","x")</f>
        <v/>
      </c>
      <c r="AI186" t="str">
        <f>IF(ISBLANK(JP!AK190),"","x")</f>
        <v/>
      </c>
      <c r="AJ186" t="str">
        <f>IF(ISBLANK(JP!AL190),"","x")</f>
        <v/>
      </c>
      <c r="AK186" t="str">
        <f>IF(ISBLANK(JP!AM190),"","x")</f>
        <v/>
      </c>
      <c r="AL186" t="str">
        <f>IF(ISBLANK(JP!AN190),"","x")</f>
        <v/>
      </c>
      <c r="AM186" t="str">
        <f>IF(ISBLANK(JP!AO190),"","x")</f>
        <v/>
      </c>
      <c r="AN186" t="str">
        <f>IF(ISBLANK(JP!AP190),"","x")</f>
        <v/>
      </c>
      <c r="AO186" t="str">
        <f>IF(ISBLANK(JP!AR190),"","x")</f>
        <v/>
      </c>
      <c r="AP186" t="str">
        <f>IF(ISBLANK(JP!AS190),"","x")</f>
        <v/>
      </c>
      <c r="AQ186" t="str">
        <f>IF(ISBLANK(JP!AT190),"","x")</f>
        <v/>
      </c>
      <c r="AR186" t="str">
        <f>IF(ISBLANK(JP!AU190),"","x")</f>
        <v/>
      </c>
      <c r="AS186" t="str">
        <f>IF(ISBLANK(JP!AV190),"","x")</f>
        <v/>
      </c>
      <c r="AT186" t="str">
        <f>IF(ISBLANK(JP!AW190),"","x")</f>
        <v/>
      </c>
      <c r="AU186" t="str">
        <f>IF(ISBLANK(JP!AX190),"","x")</f>
        <v/>
      </c>
    </row>
    <row r="187" spans="2:47">
      <c r="B187">
        <f>IF(ISBLANK(JP!AZ191),"",JP!AZ191)</f>
        <v>10045496</v>
      </c>
      <c r="C187" t="str">
        <f>IF(ISBLANK(JP!BA191),"",JP!BA191)</f>
        <v>SRI MURUGAN (YISHUN)</v>
      </c>
      <c r="D187" t="str">
        <f>IF(ISBLANK(JP!BC191),"",JP!BC191)</f>
        <v>51 YISHUN CENTRAL 1</v>
      </c>
      <c r="E187">
        <f>IF(ISBLANK(JP!BB191),"",JP!BB191)</f>
        <v>1</v>
      </c>
      <c r="F187" t="str">
        <f>IF(ISBLANK(JP!D191),"","x")</f>
        <v/>
      </c>
      <c r="G187" t="str">
        <f>IF(ISBLANK(JP!E191),"","x")</f>
        <v/>
      </c>
      <c r="H187" t="str">
        <f>IF(ISBLANK(JP!F191),"","x")</f>
        <v/>
      </c>
      <c r="I187" t="str">
        <f>IF(ISBLANK(JP!G191),"","x")</f>
        <v/>
      </c>
      <c r="J187" t="str">
        <f>IF(ISBLANK(JP!H191),"","x")</f>
        <v/>
      </c>
      <c r="K187" t="str">
        <f>IF(ISBLANK(JP!I191),"","x")</f>
        <v/>
      </c>
      <c r="L187" t="str">
        <f>IF(ISBLANK(JP!J191),"","x")</f>
        <v/>
      </c>
      <c r="M187" t="str">
        <f>IF(ISBLANK(JP!L191),"","x")</f>
        <v/>
      </c>
      <c r="N187" t="str">
        <f>IF(ISBLANK(JP!M191),"","x")</f>
        <v/>
      </c>
      <c r="O187" t="str">
        <f>IF(ISBLANK(JP!N191),"","x")</f>
        <v/>
      </c>
      <c r="P187" t="str">
        <f>IF(ISBLANK(JP!O191),"","x")</f>
        <v/>
      </c>
      <c r="Q187" t="str">
        <f>IF(ISBLANK(JP!P191),"","x")</f>
        <v/>
      </c>
      <c r="R187" t="str">
        <f>IF(ISBLANK(JP!Q191),"","x")</f>
        <v/>
      </c>
      <c r="S187" t="str">
        <f>IF(ISBLANK(JP!R191),"","x")</f>
        <v/>
      </c>
      <c r="T187" t="str">
        <f>IF(ISBLANK(JP!T191),"","x")</f>
        <v/>
      </c>
      <c r="U187" t="str">
        <f>IF(ISBLANK(JP!U191),"","x")</f>
        <v/>
      </c>
      <c r="V187" t="str">
        <f>IF(ISBLANK(JP!V191),"","x")</f>
        <v/>
      </c>
      <c r="W187" t="str">
        <f>IF(ISBLANK(JP!W191),"","x")</f>
        <v/>
      </c>
      <c r="X187" t="str">
        <f>IF(ISBLANK(JP!X191),"","x")</f>
        <v/>
      </c>
      <c r="Y187" t="str">
        <f>IF(ISBLANK(JP!Y191),"","x")</f>
        <v/>
      </c>
      <c r="Z187" t="str">
        <f>IF(ISBLANK(JP!Z191),"","x")</f>
        <v/>
      </c>
      <c r="AA187" t="str">
        <f>IF(ISBLANK(JP!AB191),"","x")</f>
        <v/>
      </c>
      <c r="AB187" t="str">
        <f>IF(ISBLANK(JP!AC191),"","x")</f>
        <v/>
      </c>
      <c r="AC187" t="str">
        <f>IF(ISBLANK(JP!AD191),"","x")</f>
        <v/>
      </c>
      <c r="AD187" t="str">
        <f>IF(ISBLANK(JP!AE191),"","x")</f>
        <v/>
      </c>
      <c r="AE187" t="str">
        <f>IF(ISBLANK(JP!AF191),"","x")</f>
        <v/>
      </c>
      <c r="AF187" t="str">
        <f>IF(ISBLANK(JP!AG191),"","x")</f>
        <v/>
      </c>
      <c r="AG187" t="str">
        <f>IF(ISBLANK(JP!AH191),"","x")</f>
        <v/>
      </c>
      <c r="AH187" t="str">
        <f>IF(ISBLANK(JP!AJ191),"","x")</f>
        <v/>
      </c>
      <c r="AI187" t="str">
        <f>IF(ISBLANK(JP!AK191),"","x")</f>
        <v/>
      </c>
      <c r="AJ187" t="str">
        <f>IF(ISBLANK(JP!AL191),"","x")</f>
        <v/>
      </c>
      <c r="AK187" t="str">
        <f>IF(ISBLANK(JP!AM191),"","x")</f>
        <v/>
      </c>
      <c r="AL187" t="str">
        <f>IF(ISBLANK(JP!AN191),"","x")</f>
        <v/>
      </c>
      <c r="AM187" t="str">
        <f>IF(ISBLANK(JP!AO191),"","x")</f>
        <v/>
      </c>
      <c r="AN187" t="str">
        <f>IF(ISBLANK(JP!AP191),"","x")</f>
        <v/>
      </c>
      <c r="AO187" t="str">
        <f>IF(ISBLANK(JP!AR191),"","x")</f>
        <v/>
      </c>
      <c r="AP187" t="str">
        <f>IF(ISBLANK(JP!AS191),"","x")</f>
        <v/>
      </c>
      <c r="AQ187" t="str">
        <f>IF(ISBLANK(JP!AT191),"","x")</f>
        <v/>
      </c>
      <c r="AR187" t="str">
        <f>IF(ISBLANK(JP!AU191),"","x")</f>
        <v/>
      </c>
      <c r="AS187" t="str">
        <f>IF(ISBLANK(JP!AV191),"","x")</f>
        <v/>
      </c>
      <c r="AT187" t="str">
        <f>IF(ISBLANK(JP!AW191),"","x")</f>
        <v/>
      </c>
      <c r="AU187" t="str">
        <f>IF(ISBLANK(JP!AX191),"","x")</f>
        <v/>
      </c>
    </row>
    <row r="188" spans="2:47">
      <c r="B188">
        <f>IF(ISBLANK(JP!AZ192),"",JP!AZ192)</f>
        <v>10040837</v>
      </c>
      <c r="C188" t="str">
        <f>IF(ISBLANK(JP!BA192),"",JP!BA192)</f>
        <v>3-11 MART</v>
      </c>
      <c r="D188" t="str">
        <f>IF(ISBLANK(JP!BC192),"",JP!BC192)</f>
        <v>20A YISHUN CENTRAL</v>
      </c>
      <c r="E188">
        <f>IF(ISBLANK(JP!BB192),"",JP!BB192)</f>
        <v>1</v>
      </c>
      <c r="F188" t="str">
        <f>IF(ISBLANK(JP!D192),"","x")</f>
        <v/>
      </c>
      <c r="G188" t="str">
        <f>IF(ISBLANK(JP!E192),"","x")</f>
        <v/>
      </c>
      <c r="H188" t="str">
        <f>IF(ISBLANK(JP!F192),"","x")</f>
        <v/>
      </c>
      <c r="I188" t="str">
        <f>IF(ISBLANK(JP!G192),"","x")</f>
        <v/>
      </c>
      <c r="J188" t="str">
        <f>IF(ISBLANK(JP!H192),"","x")</f>
        <v/>
      </c>
      <c r="K188" t="str">
        <f>IF(ISBLANK(JP!I192),"","x")</f>
        <v/>
      </c>
      <c r="L188" t="str">
        <f>IF(ISBLANK(JP!J192),"","x")</f>
        <v/>
      </c>
      <c r="M188" t="str">
        <f>IF(ISBLANK(JP!L192),"","x")</f>
        <v/>
      </c>
      <c r="N188" t="str">
        <f>IF(ISBLANK(JP!M192),"","x")</f>
        <v/>
      </c>
      <c r="O188" t="str">
        <f>IF(ISBLANK(JP!N192),"","x")</f>
        <v/>
      </c>
      <c r="P188" t="str">
        <f>IF(ISBLANK(JP!O192),"","x")</f>
        <v/>
      </c>
      <c r="Q188" t="str">
        <f>IF(ISBLANK(JP!P192),"","x")</f>
        <v/>
      </c>
      <c r="R188" t="str">
        <f>IF(ISBLANK(JP!Q192),"","x")</f>
        <v/>
      </c>
      <c r="S188" t="str">
        <f>IF(ISBLANK(JP!R192),"","x")</f>
        <v/>
      </c>
      <c r="T188" t="str">
        <f>IF(ISBLANK(JP!T192),"","x")</f>
        <v/>
      </c>
      <c r="U188" t="str">
        <f>IF(ISBLANK(JP!U192),"","x")</f>
        <v/>
      </c>
      <c r="V188" t="str">
        <f>IF(ISBLANK(JP!V192),"","x")</f>
        <v/>
      </c>
      <c r="W188" t="str">
        <f>IF(ISBLANK(JP!W192),"","x")</f>
        <v/>
      </c>
      <c r="X188" t="str">
        <f>IF(ISBLANK(JP!X192),"","x")</f>
        <v/>
      </c>
      <c r="Y188" t="str">
        <f>IF(ISBLANK(JP!Y192),"","x")</f>
        <v/>
      </c>
      <c r="Z188" t="str">
        <f>IF(ISBLANK(JP!Z192),"","x")</f>
        <v/>
      </c>
      <c r="AA188" t="str">
        <f>IF(ISBLANK(JP!AB192),"","x")</f>
        <v/>
      </c>
      <c r="AB188" t="str">
        <f>IF(ISBLANK(JP!AC192),"","x")</f>
        <v/>
      </c>
      <c r="AC188" t="str">
        <f>IF(ISBLANK(JP!AD192),"","x")</f>
        <v/>
      </c>
      <c r="AD188" t="str">
        <f>IF(ISBLANK(JP!AE192),"","x")</f>
        <v/>
      </c>
      <c r="AE188" t="str">
        <f>IF(ISBLANK(JP!AF192),"","x")</f>
        <v/>
      </c>
      <c r="AF188" t="str">
        <f>IF(ISBLANK(JP!AG192),"","x")</f>
        <v/>
      </c>
      <c r="AG188" t="str">
        <f>IF(ISBLANK(JP!AH192),"","x")</f>
        <v/>
      </c>
      <c r="AH188" t="str">
        <f>IF(ISBLANK(JP!AJ192),"","x")</f>
        <v/>
      </c>
      <c r="AI188" t="str">
        <f>IF(ISBLANK(JP!AK192),"","x")</f>
        <v/>
      </c>
      <c r="AJ188" t="str">
        <f>IF(ISBLANK(JP!AL192),"","x")</f>
        <v/>
      </c>
      <c r="AK188" t="str">
        <f>IF(ISBLANK(JP!AM192),"","x")</f>
        <v/>
      </c>
      <c r="AL188" t="str">
        <f>IF(ISBLANK(JP!AN192),"","x")</f>
        <v/>
      </c>
      <c r="AM188" t="str">
        <f>IF(ISBLANK(JP!AO192),"","x")</f>
        <v/>
      </c>
      <c r="AN188" t="str">
        <f>IF(ISBLANK(JP!AP192),"","x")</f>
        <v/>
      </c>
      <c r="AO188" t="str">
        <f>IF(ISBLANK(JP!AR192),"","x")</f>
        <v/>
      </c>
      <c r="AP188" t="str">
        <f>IF(ISBLANK(JP!AS192),"","x")</f>
        <v/>
      </c>
      <c r="AQ188" t="str">
        <f>IF(ISBLANK(JP!AT192),"","x")</f>
        <v/>
      </c>
      <c r="AR188" t="str">
        <f>IF(ISBLANK(JP!AU192),"","x")</f>
        <v/>
      </c>
      <c r="AS188" t="str">
        <f>IF(ISBLANK(JP!AV192),"","x")</f>
        <v/>
      </c>
      <c r="AT188" t="str">
        <f>IF(ISBLANK(JP!AW192),"","x")</f>
        <v/>
      </c>
      <c r="AU188" t="str">
        <f>IF(ISBLANK(JP!AX192),"","x")</f>
        <v/>
      </c>
    </row>
    <row r="189" spans="2:47">
      <c r="B189">
        <f>IF(ISBLANK(JP!AZ193),"",JP!AZ193)</f>
        <v>10009938</v>
      </c>
      <c r="C189" t="str">
        <f>IF(ISBLANK(JP!BA193),"",JP!BA193)</f>
        <v>TEO CHIN HUAT</v>
      </c>
      <c r="D189" t="str">
        <f>IF(ISBLANK(JP!BC193),"",JP!BC193)</f>
        <v>73 JALAN MALU-MALU</v>
      </c>
      <c r="E189">
        <f>IF(ISBLANK(JP!BB193),"",JP!BB193)</f>
        <v>1</v>
      </c>
      <c r="F189" t="str">
        <f>IF(ISBLANK(JP!D193),"","x")</f>
        <v/>
      </c>
      <c r="G189" t="str">
        <f>IF(ISBLANK(JP!E193),"","x")</f>
        <v/>
      </c>
      <c r="H189" t="str">
        <f>IF(ISBLANK(JP!F193),"","x")</f>
        <v/>
      </c>
      <c r="I189" t="str">
        <f>IF(ISBLANK(JP!G193),"","x")</f>
        <v/>
      </c>
      <c r="J189" t="str">
        <f>IF(ISBLANK(JP!H193),"","x")</f>
        <v/>
      </c>
      <c r="K189" t="str">
        <f>IF(ISBLANK(JP!I193),"","x")</f>
        <v/>
      </c>
      <c r="L189" t="str">
        <f>IF(ISBLANK(JP!J193),"","x")</f>
        <v/>
      </c>
      <c r="M189" t="str">
        <f>IF(ISBLANK(JP!L193),"","x")</f>
        <v/>
      </c>
      <c r="N189" t="str">
        <f>IF(ISBLANK(JP!M193),"","x")</f>
        <v/>
      </c>
      <c r="O189" t="str">
        <f>IF(ISBLANK(JP!N193),"","x")</f>
        <v/>
      </c>
      <c r="P189" t="str">
        <f>IF(ISBLANK(JP!O193),"","x")</f>
        <v/>
      </c>
      <c r="Q189" t="str">
        <f>IF(ISBLANK(JP!P193),"","x")</f>
        <v/>
      </c>
      <c r="R189" t="str">
        <f>IF(ISBLANK(JP!Q193),"","x")</f>
        <v/>
      </c>
      <c r="S189" t="str">
        <f>IF(ISBLANK(JP!R193),"","x")</f>
        <v/>
      </c>
      <c r="T189" t="str">
        <f>IF(ISBLANK(JP!T193),"","x")</f>
        <v/>
      </c>
      <c r="U189" t="str">
        <f>IF(ISBLANK(JP!U193),"","x")</f>
        <v/>
      </c>
      <c r="V189" t="str">
        <f>IF(ISBLANK(JP!V193),"","x")</f>
        <v/>
      </c>
      <c r="W189" t="str">
        <f>IF(ISBLANK(JP!W193),"","x")</f>
        <v/>
      </c>
      <c r="X189" t="str">
        <f>IF(ISBLANK(JP!X193),"","x")</f>
        <v/>
      </c>
      <c r="Y189" t="str">
        <f>IF(ISBLANK(JP!Y193),"","x")</f>
        <v/>
      </c>
      <c r="Z189" t="str">
        <f>IF(ISBLANK(JP!Z193),"","x")</f>
        <v/>
      </c>
      <c r="AA189" t="str">
        <f>IF(ISBLANK(JP!AB193),"","x")</f>
        <v/>
      </c>
      <c r="AB189" t="str">
        <f>IF(ISBLANK(JP!AC193),"","x")</f>
        <v/>
      </c>
      <c r="AC189" t="str">
        <f>IF(ISBLANK(JP!AD193),"","x")</f>
        <v/>
      </c>
      <c r="AD189" t="str">
        <f>IF(ISBLANK(JP!AE193),"","x")</f>
        <v/>
      </c>
      <c r="AE189" t="str">
        <f>IF(ISBLANK(JP!AF193),"","x")</f>
        <v/>
      </c>
      <c r="AF189" t="str">
        <f>IF(ISBLANK(JP!AG193),"","x")</f>
        <v/>
      </c>
      <c r="AG189" t="str">
        <f>IF(ISBLANK(JP!AH193),"","x")</f>
        <v/>
      </c>
      <c r="AH189" t="str">
        <f>IF(ISBLANK(JP!AJ193),"","x")</f>
        <v/>
      </c>
      <c r="AI189" t="str">
        <f>IF(ISBLANK(JP!AK193),"","x")</f>
        <v/>
      </c>
      <c r="AJ189" t="str">
        <f>IF(ISBLANK(JP!AL193),"","x")</f>
        <v/>
      </c>
      <c r="AK189" t="str">
        <f>IF(ISBLANK(JP!AM193),"","x")</f>
        <v/>
      </c>
      <c r="AL189" t="str">
        <f>IF(ISBLANK(JP!AN193),"","x")</f>
        <v/>
      </c>
      <c r="AM189" t="str">
        <f>IF(ISBLANK(JP!AO193),"","x")</f>
        <v/>
      </c>
      <c r="AN189" t="str">
        <f>IF(ISBLANK(JP!AP193),"","x")</f>
        <v/>
      </c>
      <c r="AO189" t="str">
        <f>IF(ISBLANK(JP!AR193),"","x")</f>
        <v/>
      </c>
      <c r="AP189" t="str">
        <f>IF(ISBLANK(JP!AS193),"","x")</f>
        <v/>
      </c>
      <c r="AQ189" t="str">
        <f>IF(ISBLANK(JP!AT193),"","x")</f>
        <v/>
      </c>
      <c r="AR189" t="str">
        <f>IF(ISBLANK(JP!AU193),"","x")</f>
        <v/>
      </c>
      <c r="AS189" t="str">
        <f>IF(ISBLANK(JP!AV193),"","x")</f>
        <v/>
      </c>
      <c r="AT189" t="str">
        <f>IF(ISBLANK(JP!AW193),"","x")</f>
        <v/>
      </c>
      <c r="AU189" t="str">
        <f>IF(ISBLANK(JP!AX193),"","x")</f>
        <v/>
      </c>
    </row>
    <row r="190" spans="2:47">
      <c r="B190">
        <f>IF(ISBLANK(JP!AZ194),"",JP!AZ194)</f>
        <v>10033917</v>
      </c>
      <c r="C190" t="str">
        <f>IF(ISBLANK(JP!BA194),"",JP!BA194)</f>
        <v>PHUA LAM SEA VEGETABLE SUPPLIER</v>
      </c>
      <c r="D190" t="str">
        <f>IF(ISBLANK(JP!BC194),"",JP!BC194)</f>
        <v>75 JALAN MALU MALU</v>
      </c>
      <c r="E190">
        <f>IF(ISBLANK(JP!BB194),"",JP!BB194)</f>
        <v>1</v>
      </c>
      <c r="F190" t="str">
        <f>IF(ISBLANK(JP!D194),"","x")</f>
        <v/>
      </c>
      <c r="G190" t="str">
        <f>IF(ISBLANK(JP!E194),"","x")</f>
        <v/>
      </c>
      <c r="H190" t="str">
        <f>IF(ISBLANK(JP!F194),"","x")</f>
        <v/>
      </c>
      <c r="I190" t="str">
        <f>IF(ISBLANK(JP!G194),"","x")</f>
        <v/>
      </c>
      <c r="J190" t="str">
        <f>IF(ISBLANK(JP!H194),"","x")</f>
        <v/>
      </c>
      <c r="K190" t="str">
        <f>IF(ISBLANK(JP!I194),"","x")</f>
        <v/>
      </c>
      <c r="L190" t="str">
        <f>IF(ISBLANK(JP!J194),"","x")</f>
        <v/>
      </c>
      <c r="M190" t="str">
        <f>IF(ISBLANK(JP!L194),"","x")</f>
        <v/>
      </c>
      <c r="N190" t="str">
        <f>IF(ISBLANK(JP!M194),"","x")</f>
        <v/>
      </c>
      <c r="O190" t="str">
        <f>IF(ISBLANK(JP!N194),"","x")</f>
        <v/>
      </c>
      <c r="P190" t="str">
        <f>IF(ISBLANK(JP!O194),"","x")</f>
        <v/>
      </c>
      <c r="Q190" t="str">
        <f>IF(ISBLANK(JP!P194),"","x")</f>
        <v/>
      </c>
      <c r="R190" t="str">
        <f>IF(ISBLANK(JP!Q194),"","x")</f>
        <v/>
      </c>
      <c r="S190" t="str">
        <f>IF(ISBLANK(JP!R194),"","x")</f>
        <v/>
      </c>
      <c r="T190" t="str">
        <f>IF(ISBLANK(JP!T194),"","x")</f>
        <v/>
      </c>
      <c r="U190" t="str">
        <f>IF(ISBLANK(JP!U194),"","x")</f>
        <v/>
      </c>
      <c r="V190" t="str">
        <f>IF(ISBLANK(JP!V194),"","x")</f>
        <v/>
      </c>
      <c r="W190" t="str">
        <f>IF(ISBLANK(JP!W194),"","x")</f>
        <v/>
      </c>
      <c r="X190" t="str">
        <f>IF(ISBLANK(JP!X194),"","x")</f>
        <v/>
      </c>
      <c r="Y190" t="str">
        <f>IF(ISBLANK(JP!Y194),"","x")</f>
        <v/>
      </c>
      <c r="Z190" t="str">
        <f>IF(ISBLANK(JP!Z194),"","x")</f>
        <v/>
      </c>
      <c r="AA190" t="str">
        <f>IF(ISBLANK(JP!AB194),"","x")</f>
        <v/>
      </c>
      <c r="AB190" t="str">
        <f>IF(ISBLANK(JP!AC194),"","x")</f>
        <v/>
      </c>
      <c r="AC190" t="str">
        <f>IF(ISBLANK(JP!AD194),"","x")</f>
        <v/>
      </c>
      <c r="AD190" t="str">
        <f>IF(ISBLANK(JP!AE194),"","x")</f>
        <v/>
      </c>
      <c r="AE190" t="str">
        <f>IF(ISBLANK(JP!AF194),"","x")</f>
        <v/>
      </c>
      <c r="AF190" t="str">
        <f>IF(ISBLANK(JP!AG194),"","x")</f>
        <v/>
      </c>
      <c r="AG190" t="str">
        <f>IF(ISBLANK(JP!AH194),"","x")</f>
        <v/>
      </c>
      <c r="AH190" t="str">
        <f>IF(ISBLANK(JP!AJ194),"","x")</f>
        <v/>
      </c>
      <c r="AI190" t="str">
        <f>IF(ISBLANK(JP!AK194),"","x")</f>
        <v/>
      </c>
      <c r="AJ190" t="str">
        <f>IF(ISBLANK(JP!AL194),"","x")</f>
        <v/>
      </c>
      <c r="AK190" t="str">
        <f>IF(ISBLANK(JP!AM194),"","x")</f>
        <v/>
      </c>
      <c r="AL190" t="str">
        <f>IF(ISBLANK(JP!AN194),"","x")</f>
        <v/>
      </c>
      <c r="AM190" t="str">
        <f>IF(ISBLANK(JP!AO194),"","x")</f>
        <v/>
      </c>
      <c r="AN190" t="str">
        <f>IF(ISBLANK(JP!AP194),"","x")</f>
        <v/>
      </c>
      <c r="AO190" t="str">
        <f>IF(ISBLANK(JP!AR194),"","x")</f>
        <v/>
      </c>
      <c r="AP190" t="str">
        <f>IF(ISBLANK(JP!AS194),"","x")</f>
        <v/>
      </c>
      <c r="AQ190" t="str">
        <f>IF(ISBLANK(JP!AT194),"","x")</f>
        <v/>
      </c>
      <c r="AR190" t="str">
        <f>IF(ISBLANK(JP!AU194),"","x")</f>
        <v/>
      </c>
      <c r="AS190" t="str">
        <f>IF(ISBLANK(JP!AV194),"","x")</f>
        <v/>
      </c>
      <c r="AT190" t="str">
        <f>IF(ISBLANK(JP!AW194),"","x")</f>
        <v/>
      </c>
      <c r="AU190" t="str">
        <f>IF(ISBLANK(JP!AX194),"","x")</f>
        <v/>
      </c>
    </row>
    <row r="191" spans="2:47">
      <c r="B191">
        <f>IF(ISBLANK(JP!AZ195),"",JP!AZ195)</f>
        <v>10044481</v>
      </c>
      <c r="C191" t="str">
        <f>IF(ISBLANK(JP!BA195),"",JP!BA195)</f>
        <v>TWMS PTE LTD</v>
      </c>
      <c r="D191" t="str">
        <f>IF(ISBLANK(JP!BC195),"",JP!BC195)</f>
        <v>908B UPPER THOMSON ROAD</v>
      </c>
      <c r="E191">
        <f>IF(ISBLANK(JP!BB195),"",JP!BB195)</f>
        <v>1</v>
      </c>
      <c r="F191" t="str">
        <f>IF(ISBLANK(JP!D195),"","x")</f>
        <v/>
      </c>
      <c r="G191" t="str">
        <f>IF(ISBLANK(JP!E195),"","x")</f>
        <v/>
      </c>
      <c r="H191" t="str">
        <f>IF(ISBLANK(JP!F195),"","x")</f>
        <v/>
      </c>
      <c r="I191" t="str">
        <f>IF(ISBLANK(JP!G195),"","x")</f>
        <v/>
      </c>
      <c r="J191" t="str">
        <f>IF(ISBLANK(JP!H195),"","x")</f>
        <v/>
      </c>
      <c r="K191" t="str">
        <f>IF(ISBLANK(JP!I195),"","x")</f>
        <v/>
      </c>
      <c r="L191" t="str">
        <f>IF(ISBLANK(JP!J195),"","x")</f>
        <v/>
      </c>
      <c r="M191" t="str">
        <f>IF(ISBLANK(JP!L195),"","x")</f>
        <v/>
      </c>
      <c r="N191" t="str">
        <f>IF(ISBLANK(JP!M195),"","x")</f>
        <v/>
      </c>
      <c r="O191" t="str">
        <f>IF(ISBLANK(JP!N195),"","x")</f>
        <v/>
      </c>
      <c r="P191" t="str">
        <f>IF(ISBLANK(JP!O195),"","x")</f>
        <v/>
      </c>
      <c r="Q191" t="str">
        <f>IF(ISBLANK(JP!P195),"","x")</f>
        <v/>
      </c>
      <c r="R191" t="str">
        <f>IF(ISBLANK(JP!Q195),"","x")</f>
        <v/>
      </c>
      <c r="S191" t="str">
        <f>IF(ISBLANK(JP!R195),"","x")</f>
        <v/>
      </c>
      <c r="T191" t="str">
        <f>IF(ISBLANK(JP!T195),"","x")</f>
        <v/>
      </c>
      <c r="U191" t="str">
        <f>IF(ISBLANK(JP!U195),"","x")</f>
        <v/>
      </c>
      <c r="V191" t="str">
        <f>IF(ISBLANK(JP!V195),"","x")</f>
        <v/>
      </c>
      <c r="W191" t="str">
        <f>IF(ISBLANK(JP!W195),"","x")</f>
        <v/>
      </c>
      <c r="X191" t="str">
        <f>IF(ISBLANK(JP!X195),"","x")</f>
        <v/>
      </c>
      <c r="Y191" t="str">
        <f>IF(ISBLANK(JP!Y195),"","x")</f>
        <v/>
      </c>
      <c r="Z191" t="str">
        <f>IF(ISBLANK(JP!Z195),"","x")</f>
        <v/>
      </c>
      <c r="AA191" t="str">
        <f>IF(ISBLANK(JP!AB195),"","x")</f>
        <v/>
      </c>
      <c r="AB191" t="str">
        <f>IF(ISBLANK(JP!AC195),"","x")</f>
        <v/>
      </c>
      <c r="AC191" t="str">
        <f>IF(ISBLANK(JP!AD195),"","x")</f>
        <v/>
      </c>
      <c r="AD191" t="str">
        <f>IF(ISBLANK(JP!AE195),"","x")</f>
        <v/>
      </c>
      <c r="AE191" t="str">
        <f>IF(ISBLANK(JP!AF195),"","x")</f>
        <v/>
      </c>
      <c r="AF191" t="str">
        <f>IF(ISBLANK(JP!AG195),"","x")</f>
        <v/>
      </c>
      <c r="AG191" t="str">
        <f>IF(ISBLANK(JP!AH195),"","x")</f>
        <v/>
      </c>
      <c r="AH191" t="str">
        <f>IF(ISBLANK(JP!AJ195),"","x")</f>
        <v/>
      </c>
      <c r="AI191" t="str">
        <f>IF(ISBLANK(JP!AK195),"","x")</f>
        <v/>
      </c>
      <c r="AJ191" t="str">
        <f>IF(ISBLANK(JP!AL195),"","x")</f>
        <v/>
      </c>
      <c r="AK191" t="str">
        <f>IF(ISBLANK(JP!AM195),"","x")</f>
        <v/>
      </c>
      <c r="AL191" t="str">
        <f>IF(ISBLANK(JP!AN195),"","x")</f>
        <v/>
      </c>
      <c r="AM191" t="str">
        <f>IF(ISBLANK(JP!AO195),"","x")</f>
        <v/>
      </c>
      <c r="AN191" t="str">
        <f>IF(ISBLANK(JP!AP195),"","x")</f>
        <v/>
      </c>
      <c r="AO191" t="str">
        <f>IF(ISBLANK(JP!AR195),"","x")</f>
        <v/>
      </c>
      <c r="AP191" t="str">
        <f>IF(ISBLANK(JP!AS195),"","x")</f>
        <v/>
      </c>
      <c r="AQ191" t="str">
        <f>IF(ISBLANK(JP!AT195),"","x")</f>
        <v/>
      </c>
      <c r="AR191" t="str">
        <f>IF(ISBLANK(JP!AU195),"","x")</f>
        <v/>
      </c>
      <c r="AS191" t="str">
        <f>IF(ISBLANK(JP!AV195),"","x")</f>
        <v/>
      </c>
      <c r="AT191" t="str">
        <f>IF(ISBLANK(JP!AW195),"","x")</f>
        <v/>
      </c>
      <c r="AU191" t="str">
        <f>IF(ISBLANK(JP!AX195),"","x")</f>
        <v/>
      </c>
    </row>
    <row r="192" spans="2:47">
      <c r="B192">
        <f>IF(ISBLANK(JP!AZ196),"",JP!AZ196)</f>
        <v>10043303</v>
      </c>
      <c r="C192" t="str">
        <f>IF(ISBLANK(JP!BA196),"",JP!BA196)</f>
        <v>AH HONG HOLDINGS</v>
      </c>
      <c r="D192" t="str">
        <f>IF(ISBLANK(JP!BC196),"",JP!BC196)</f>
        <v>421 TAGORE INDUSTRIAL AVENUE</v>
      </c>
      <c r="E192">
        <f>IF(ISBLANK(JP!BB196),"",JP!BB196)</f>
        <v>1</v>
      </c>
      <c r="F192" t="str">
        <f>IF(ISBLANK(JP!D196),"","x")</f>
        <v/>
      </c>
      <c r="G192" t="str">
        <f>IF(ISBLANK(JP!E196),"","x")</f>
        <v/>
      </c>
      <c r="H192" t="str">
        <f>IF(ISBLANK(JP!F196),"","x")</f>
        <v/>
      </c>
      <c r="I192" t="str">
        <f>IF(ISBLANK(JP!G196),"","x")</f>
        <v/>
      </c>
      <c r="J192" t="str">
        <f>IF(ISBLANK(JP!H196),"","x")</f>
        <v/>
      </c>
      <c r="K192" t="str">
        <f>IF(ISBLANK(JP!I196),"","x")</f>
        <v/>
      </c>
      <c r="L192" t="str">
        <f>IF(ISBLANK(JP!J196),"","x")</f>
        <v/>
      </c>
      <c r="M192" t="str">
        <f>IF(ISBLANK(JP!L196),"","x")</f>
        <v/>
      </c>
      <c r="N192" t="str">
        <f>IF(ISBLANK(JP!M196),"","x")</f>
        <v/>
      </c>
      <c r="O192" t="str">
        <f>IF(ISBLANK(JP!N196),"","x")</f>
        <v/>
      </c>
      <c r="P192" t="str">
        <f>IF(ISBLANK(JP!O196),"","x")</f>
        <v/>
      </c>
      <c r="Q192" t="str">
        <f>IF(ISBLANK(JP!P196),"","x")</f>
        <v/>
      </c>
      <c r="R192" t="str">
        <f>IF(ISBLANK(JP!Q196),"","x")</f>
        <v/>
      </c>
      <c r="S192" t="str">
        <f>IF(ISBLANK(JP!R196),"","x")</f>
        <v/>
      </c>
      <c r="T192" t="str">
        <f>IF(ISBLANK(JP!T196),"","x")</f>
        <v/>
      </c>
      <c r="U192" t="str">
        <f>IF(ISBLANK(JP!U196),"","x")</f>
        <v/>
      </c>
      <c r="V192" t="str">
        <f>IF(ISBLANK(JP!V196),"","x")</f>
        <v/>
      </c>
      <c r="W192" t="str">
        <f>IF(ISBLANK(JP!W196),"","x")</f>
        <v/>
      </c>
      <c r="X192" t="str">
        <f>IF(ISBLANK(JP!X196),"","x")</f>
        <v/>
      </c>
      <c r="Y192" t="str">
        <f>IF(ISBLANK(JP!Y196),"","x")</f>
        <v/>
      </c>
      <c r="Z192" t="str">
        <f>IF(ISBLANK(JP!Z196),"","x")</f>
        <v/>
      </c>
      <c r="AA192" t="str">
        <f>IF(ISBLANK(JP!AB196),"","x")</f>
        <v/>
      </c>
      <c r="AB192" t="str">
        <f>IF(ISBLANK(JP!AC196),"","x")</f>
        <v/>
      </c>
      <c r="AC192" t="str">
        <f>IF(ISBLANK(JP!AD196),"","x")</f>
        <v/>
      </c>
      <c r="AD192" t="str">
        <f>IF(ISBLANK(JP!AE196),"","x")</f>
        <v/>
      </c>
      <c r="AE192" t="str">
        <f>IF(ISBLANK(JP!AF196),"","x")</f>
        <v/>
      </c>
      <c r="AF192" t="str">
        <f>IF(ISBLANK(JP!AG196),"","x")</f>
        <v/>
      </c>
      <c r="AG192" t="str">
        <f>IF(ISBLANK(JP!AH196),"","x")</f>
        <v/>
      </c>
      <c r="AH192" t="str">
        <f>IF(ISBLANK(JP!AJ196),"","x")</f>
        <v/>
      </c>
      <c r="AI192" t="str">
        <f>IF(ISBLANK(JP!AK196),"","x")</f>
        <v/>
      </c>
      <c r="AJ192" t="str">
        <f>IF(ISBLANK(JP!AL196),"","x")</f>
        <v/>
      </c>
      <c r="AK192" t="str">
        <f>IF(ISBLANK(JP!AM196),"","x")</f>
        <v/>
      </c>
      <c r="AL192" t="str">
        <f>IF(ISBLANK(JP!AN196),"","x")</f>
        <v/>
      </c>
      <c r="AM192" t="str">
        <f>IF(ISBLANK(JP!AO196),"","x")</f>
        <v/>
      </c>
      <c r="AN192" t="str">
        <f>IF(ISBLANK(JP!AP196),"","x")</f>
        <v/>
      </c>
      <c r="AO192" t="str">
        <f>IF(ISBLANK(JP!AR196),"","x")</f>
        <v/>
      </c>
      <c r="AP192" t="str">
        <f>IF(ISBLANK(JP!AS196),"","x")</f>
        <v/>
      </c>
      <c r="AQ192" t="str">
        <f>IF(ISBLANK(JP!AT196),"","x")</f>
        <v/>
      </c>
      <c r="AR192" t="str">
        <f>IF(ISBLANK(JP!AU196),"","x")</f>
        <v/>
      </c>
      <c r="AS192" t="str">
        <f>IF(ISBLANK(JP!AV196),"","x")</f>
        <v/>
      </c>
      <c r="AT192" t="str">
        <f>IF(ISBLANK(JP!AW196),"","x")</f>
        <v/>
      </c>
      <c r="AU192" t="str">
        <f>IF(ISBLANK(JP!AX196),"","x")</f>
        <v/>
      </c>
    </row>
    <row r="193" spans="2:47">
      <c r="B193">
        <f>IF(ISBLANK(JP!AZ197),"",JP!AZ197)</f>
        <v>10039487</v>
      </c>
      <c r="C193" t="str">
        <f>IF(ISBLANK(JP!BA197),"",JP!BA197)</f>
        <v>THE CONVI STORE @ BULLION PARK</v>
      </c>
      <c r="D193" t="str">
        <f>IF(ISBLANK(JP!BC197),"",JP!BC197)</f>
        <v>172 LENTOR LOOP</v>
      </c>
      <c r="E193">
        <f>IF(ISBLANK(JP!BB197),"",JP!BB197)</f>
        <v>1</v>
      </c>
      <c r="F193" t="str">
        <f>IF(ISBLANK(JP!D197),"","x")</f>
        <v/>
      </c>
      <c r="G193" t="str">
        <f>IF(ISBLANK(JP!E197),"","x")</f>
        <v/>
      </c>
      <c r="H193" t="str">
        <f>IF(ISBLANK(JP!F197),"","x")</f>
        <v/>
      </c>
      <c r="I193" t="str">
        <f>IF(ISBLANK(JP!G197),"","x")</f>
        <v/>
      </c>
      <c r="J193" t="str">
        <f>IF(ISBLANK(JP!H197),"","x")</f>
        <v/>
      </c>
      <c r="K193" t="str">
        <f>IF(ISBLANK(JP!I197),"","x")</f>
        <v/>
      </c>
      <c r="L193" t="str">
        <f>IF(ISBLANK(JP!J197),"","x")</f>
        <v/>
      </c>
      <c r="M193" t="str">
        <f>IF(ISBLANK(JP!L197),"","x")</f>
        <v/>
      </c>
      <c r="N193" t="str">
        <f>IF(ISBLANK(JP!M197),"","x")</f>
        <v/>
      </c>
      <c r="O193" t="str">
        <f>IF(ISBLANK(JP!N197),"","x")</f>
        <v/>
      </c>
      <c r="P193" t="str">
        <f>IF(ISBLANK(JP!O197),"","x")</f>
        <v/>
      </c>
      <c r="Q193" t="str">
        <f>IF(ISBLANK(JP!P197),"","x")</f>
        <v/>
      </c>
      <c r="R193" t="str">
        <f>IF(ISBLANK(JP!Q197),"","x")</f>
        <v/>
      </c>
      <c r="S193" t="str">
        <f>IF(ISBLANK(JP!R197),"","x")</f>
        <v/>
      </c>
      <c r="T193" t="str">
        <f>IF(ISBLANK(JP!T197),"","x")</f>
        <v/>
      </c>
      <c r="U193" t="str">
        <f>IF(ISBLANK(JP!U197),"","x")</f>
        <v/>
      </c>
      <c r="V193" t="str">
        <f>IF(ISBLANK(JP!V197),"","x")</f>
        <v/>
      </c>
      <c r="W193" t="str">
        <f>IF(ISBLANK(JP!W197),"","x")</f>
        <v/>
      </c>
      <c r="X193" t="str">
        <f>IF(ISBLANK(JP!X197),"","x")</f>
        <v/>
      </c>
      <c r="Y193" t="str">
        <f>IF(ISBLANK(JP!Y197),"","x")</f>
        <v/>
      </c>
      <c r="Z193" t="str">
        <f>IF(ISBLANK(JP!Z197),"","x")</f>
        <v/>
      </c>
      <c r="AA193" t="str">
        <f>IF(ISBLANK(JP!AB197),"","x")</f>
        <v/>
      </c>
      <c r="AB193" t="str">
        <f>IF(ISBLANK(JP!AC197),"","x")</f>
        <v/>
      </c>
      <c r="AC193" t="str">
        <f>IF(ISBLANK(JP!AD197),"","x")</f>
        <v/>
      </c>
      <c r="AD193" t="str">
        <f>IF(ISBLANK(JP!AE197),"","x")</f>
        <v/>
      </c>
      <c r="AE193" t="str">
        <f>IF(ISBLANK(JP!AF197),"","x")</f>
        <v/>
      </c>
      <c r="AF193" t="str">
        <f>IF(ISBLANK(JP!AG197),"","x")</f>
        <v/>
      </c>
      <c r="AG193" t="str">
        <f>IF(ISBLANK(JP!AH197),"","x")</f>
        <v/>
      </c>
      <c r="AH193" t="str">
        <f>IF(ISBLANK(JP!AJ197),"","x")</f>
        <v/>
      </c>
      <c r="AI193" t="str">
        <f>IF(ISBLANK(JP!AK197),"","x")</f>
        <v/>
      </c>
      <c r="AJ193" t="str">
        <f>IF(ISBLANK(JP!AL197),"","x")</f>
        <v/>
      </c>
      <c r="AK193" t="str">
        <f>IF(ISBLANK(JP!AM197),"","x")</f>
        <v/>
      </c>
      <c r="AL193" t="str">
        <f>IF(ISBLANK(JP!AN197),"","x")</f>
        <v/>
      </c>
      <c r="AM193" t="str">
        <f>IF(ISBLANK(JP!AO197),"","x")</f>
        <v/>
      </c>
      <c r="AN193" t="str">
        <f>IF(ISBLANK(JP!AP197),"","x")</f>
        <v/>
      </c>
      <c r="AO193" t="str">
        <f>IF(ISBLANK(JP!AR197),"","x")</f>
        <v/>
      </c>
      <c r="AP193" t="str">
        <f>IF(ISBLANK(JP!AS197),"","x")</f>
        <v/>
      </c>
      <c r="AQ193" t="str">
        <f>IF(ISBLANK(JP!AT197),"","x")</f>
        <v/>
      </c>
      <c r="AR193" t="str">
        <f>IF(ISBLANK(JP!AU197),"","x")</f>
        <v/>
      </c>
      <c r="AS193" t="str">
        <f>IF(ISBLANK(JP!AV197),"","x")</f>
        <v/>
      </c>
      <c r="AT193" t="str">
        <f>IF(ISBLANK(JP!AW197),"","x")</f>
        <v/>
      </c>
      <c r="AU193" t="str">
        <f>IF(ISBLANK(JP!AX197),"","x")</f>
        <v/>
      </c>
    </row>
    <row r="194" spans="2:47">
      <c r="B194">
        <f>IF(ISBLANK(JP!AZ198),"",JP!AZ198)</f>
        <v>10039995</v>
      </c>
      <c r="C194" t="str">
        <f>IF(ISBLANK(JP!BA198),"",JP!BA198)</f>
        <v>JAYA AMBIGA TRADING PTE. LTD. (SENGKANG)</v>
      </c>
      <c r="D194" t="str">
        <f>IF(ISBLANK(JP!BC198),"",JP!BC198)</f>
        <v>432A SENGKANG WEST WAY</v>
      </c>
      <c r="E194">
        <f>IF(ISBLANK(JP!BB198),"",JP!BB198)</f>
        <v>1</v>
      </c>
      <c r="F194" t="str">
        <f>IF(ISBLANK(JP!D198),"","x")</f>
        <v/>
      </c>
      <c r="G194" t="str">
        <f>IF(ISBLANK(JP!E198),"","x")</f>
        <v/>
      </c>
      <c r="H194" t="str">
        <f>IF(ISBLANK(JP!F198),"","x")</f>
        <v/>
      </c>
      <c r="I194" t="str">
        <f>IF(ISBLANK(JP!G198),"","x")</f>
        <v/>
      </c>
      <c r="J194" t="str">
        <f>IF(ISBLANK(JP!H198),"","x")</f>
        <v/>
      </c>
      <c r="K194" t="str">
        <f>IF(ISBLANK(JP!I198),"","x")</f>
        <v/>
      </c>
      <c r="L194" t="str">
        <f>IF(ISBLANK(JP!J198),"","x")</f>
        <v/>
      </c>
      <c r="M194" t="str">
        <f>IF(ISBLANK(JP!L198),"","x")</f>
        <v/>
      </c>
      <c r="N194" t="str">
        <f>IF(ISBLANK(JP!M198),"","x")</f>
        <v/>
      </c>
      <c r="O194" t="str">
        <f>IF(ISBLANK(JP!N198),"","x")</f>
        <v/>
      </c>
      <c r="P194" t="str">
        <f>IF(ISBLANK(JP!O198),"","x")</f>
        <v/>
      </c>
      <c r="Q194" t="str">
        <f>IF(ISBLANK(JP!P198),"","x")</f>
        <v/>
      </c>
      <c r="R194" t="str">
        <f>IF(ISBLANK(JP!Q198),"","x")</f>
        <v/>
      </c>
      <c r="S194" t="str">
        <f>IF(ISBLANK(JP!R198),"","x")</f>
        <v/>
      </c>
      <c r="T194" t="str">
        <f>IF(ISBLANK(JP!T198),"","x")</f>
        <v/>
      </c>
      <c r="U194" t="str">
        <f>IF(ISBLANK(JP!U198),"","x")</f>
        <v/>
      </c>
      <c r="V194" t="str">
        <f>IF(ISBLANK(JP!V198),"","x")</f>
        <v/>
      </c>
      <c r="W194" t="str">
        <f>IF(ISBLANK(JP!W198),"","x")</f>
        <v/>
      </c>
      <c r="X194" t="str">
        <f>IF(ISBLANK(JP!X198),"","x")</f>
        <v/>
      </c>
      <c r="Y194" t="str">
        <f>IF(ISBLANK(JP!Y198),"","x")</f>
        <v/>
      </c>
      <c r="Z194" t="str">
        <f>IF(ISBLANK(JP!Z198),"","x")</f>
        <v/>
      </c>
      <c r="AA194" t="str">
        <f>IF(ISBLANK(JP!AB198),"","x")</f>
        <v/>
      </c>
      <c r="AB194" t="str">
        <f>IF(ISBLANK(JP!AC198),"","x")</f>
        <v/>
      </c>
      <c r="AC194" t="str">
        <f>IF(ISBLANK(JP!AD198),"","x")</f>
        <v/>
      </c>
      <c r="AD194" t="str">
        <f>IF(ISBLANK(JP!AE198),"","x")</f>
        <v/>
      </c>
      <c r="AE194" t="str">
        <f>IF(ISBLANK(JP!AF198),"","x")</f>
        <v/>
      </c>
      <c r="AF194" t="str">
        <f>IF(ISBLANK(JP!AG198),"","x")</f>
        <v/>
      </c>
      <c r="AG194" t="str">
        <f>IF(ISBLANK(JP!AH198),"","x")</f>
        <v/>
      </c>
      <c r="AH194" t="str">
        <f>IF(ISBLANK(JP!AJ198),"","x")</f>
        <v/>
      </c>
      <c r="AI194" t="str">
        <f>IF(ISBLANK(JP!AK198),"","x")</f>
        <v/>
      </c>
      <c r="AJ194" t="str">
        <f>IF(ISBLANK(JP!AL198),"","x")</f>
        <v/>
      </c>
      <c r="AK194" t="str">
        <f>IF(ISBLANK(JP!AM198),"","x")</f>
        <v/>
      </c>
      <c r="AL194" t="str">
        <f>IF(ISBLANK(JP!AN198),"","x")</f>
        <v/>
      </c>
      <c r="AM194" t="str">
        <f>IF(ISBLANK(JP!AO198),"","x")</f>
        <v/>
      </c>
      <c r="AN194" t="str">
        <f>IF(ISBLANK(JP!AP198),"","x")</f>
        <v/>
      </c>
      <c r="AO194" t="str">
        <f>IF(ISBLANK(JP!AR198),"","x")</f>
        <v/>
      </c>
      <c r="AP194" t="str">
        <f>IF(ISBLANK(JP!AS198),"","x")</f>
        <v/>
      </c>
      <c r="AQ194" t="str">
        <f>IF(ISBLANK(JP!AT198),"","x")</f>
        <v/>
      </c>
      <c r="AR194" t="str">
        <f>IF(ISBLANK(JP!AU198),"","x")</f>
        <v/>
      </c>
      <c r="AS194" t="str">
        <f>IF(ISBLANK(JP!AV198),"","x")</f>
        <v/>
      </c>
      <c r="AT194" t="str">
        <f>IF(ISBLANK(JP!AW198),"","x")</f>
        <v/>
      </c>
      <c r="AU194" t="str">
        <f>IF(ISBLANK(JP!AX198),"","x")</f>
        <v/>
      </c>
    </row>
    <row r="195" spans="2:47">
      <c r="B195">
        <f>IF(ISBLANK(JP!AZ199),"",JP!AZ199)</f>
        <v>10032544</v>
      </c>
      <c r="C195" t="str">
        <f>IF(ISBLANK(JP!BA199),"",JP!BA199)</f>
        <v>FERNVALE MINI-MART</v>
      </c>
      <c r="D195" t="str">
        <f>IF(ISBLANK(JP!BC199),"",JP!BC199)</f>
        <v>408B FERNVALE ROAD</v>
      </c>
      <c r="E195">
        <f>IF(ISBLANK(JP!BB199),"",JP!BB199)</f>
        <v>1</v>
      </c>
      <c r="F195" t="str">
        <f>IF(ISBLANK(JP!D199),"","x")</f>
        <v/>
      </c>
      <c r="G195" t="str">
        <f>IF(ISBLANK(JP!E199),"","x")</f>
        <v/>
      </c>
      <c r="H195" t="str">
        <f>IF(ISBLANK(JP!F199),"","x")</f>
        <v/>
      </c>
      <c r="I195" t="str">
        <f>IF(ISBLANK(JP!G199),"","x")</f>
        <v/>
      </c>
      <c r="J195" t="str">
        <f>IF(ISBLANK(JP!H199),"","x")</f>
        <v/>
      </c>
      <c r="K195" t="str">
        <f>IF(ISBLANK(JP!I199),"","x")</f>
        <v/>
      </c>
      <c r="L195" t="str">
        <f>IF(ISBLANK(JP!J199),"","x")</f>
        <v/>
      </c>
      <c r="M195" t="str">
        <f>IF(ISBLANK(JP!L199),"","x")</f>
        <v/>
      </c>
      <c r="N195" t="str">
        <f>IF(ISBLANK(JP!M199),"","x")</f>
        <v/>
      </c>
      <c r="O195" t="str">
        <f>IF(ISBLANK(JP!N199),"","x")</f>
        <v/>
      </c>
      <c r="P195" t="str">
        <f>IF(ISBLANK(JP!O199),"","x")</f>
        <v/>
      </c>
      <c r="Q195" t="str">
        <f>IF(ISBLANK(JP!P199),"","x")</f>
        <v/>
      </c>
      <c r="R195" t="str">
        <f>IF(ISBLANK(JP!Q199),"","x")</f>
        <v/>
      </c>
      <c r="S195" t="str">
        <f>IF(ISBLANK(JP!R199),"","x")</f>
        <v/>
      </c>
      <c r="T195" t="str">
        <f>IF(ISBLANK(JP!T199),"","x")</f>
        <v/>
      </c>
      <c r="U195" t="str">
        <f>IF(ISBLANK(JP!U199),"","x")</f>
        <v/>
      </c>
      <c r="V195" t="str">
        <f>IF(ISBLANK(JP!V199),"","x")</f>
        <v/>
      </c>
      <c r="W195" t="str">
        <f>IF(ISBLANK(JP!W199),"","x")</f>
        <v/>
      </c>
      <c r="X195" t="str">
        <f>IF(ISBLANK(JP!X199),"","x")</f>
        <v/>
      </c>
      <c r="Y195" t="str">
        <f>IF(ISBLANK(JP!Y199),"","x")</f>
        <v/>
      </c>
      <c r="Z195" t="str">
        <f>IF(ISBLANK(JP!Z199),"","x")</f>
        <v/>
      </c>
      <c r="AA195" t="str">
        <f>IF(ISBLANK(JP!AB199),"","x")</f>
        <v/>
      </c>
      <c r="AB195" t="str">
        <f>IF(ISBLANK(JP!AC199),"","x")</f>
        <v/>
      </c>
      <c r="AC195" t="str">
        <f>IF(ISBLANK(JP!AD199),"","x")</f>
        <v/>
      </c>
      <c r="AD195" t="str">
        <f>IF(ISBLANK(JP!AE199),"","x")</f>
        <v/>
      </c>
      <c r="AE195" t="str">
        <f>IF(ISBLANK(JP!AF199),"","x")</f>
        <v/>
      </c>
      <c r="AF195" t="str">
        <f>IF(ISBLANK(JP!AG199),"","x")</f>
        <v/>
      </c>
      <c r="AG195" t="str">
        <f>IF(ISBLANK(JP!AH199),"","x")</f>
        <v/>
      </c>
      <c r="AH195" t="str">
        <f>IF(ISBLANK(JP!AJ199),"","x")</f>
        <v/>
      </c>
      <c r="AI195" t="str">
        <f>IF(ISBLANK(JP!AK199),"","x")</f>
        <v/>
      </c>
      <c r="AJ195" t="str">
        <f>IF(ISBLANK(JP!AL199),"","x")</f>
        <v/>
      </c>
      <c r="AK195" t="str">
        <f>IF(ISBLANK(JP!AM199),"","x")</f>
        <v/>
      </c>
      <c r="AL195" t="str">
        <f>IF(ISBLANK(JP!AN199),"","x")</f>
        <v/>
      </c>
      <c r="AM195" t="str">
        <f>IF(ISBLANK(JP!AO199),"","x")</f>
        <v/>
      </c>
      <c r="AN195" t="str">
        <f>IF(ISBLANK(JP!AP199),"","x")</f>
        <v/>
      </c>
      <c r="AO195" t="str">
        <f>IF(ISBLANK(JP!AR199),"","x")</f>
        <v/>
      </c>
      <c r="AP195" t="str">
        <f>IF(ISBLANK(JP!AS199),"","x")</f>
        <v/>
      </c>
      <c r="AQ195" t="str">
        <f>IF(ISBLANK(JP!AT199),"","x")</f>
        <v/>
      </c>
      <c r="AR195" t="str">
        <f>IF(ISBLANK(JP!AU199),"","x")</f>
        <v/>
      </c>
      <c r="AS195" t="str">
        <f>IF(ISBLANK(JP!AV199),"","x")</f>
        <v/>
      </c>
      <c r="AT195" t="str">
        <f>IF(ISBLANK(JP!AW199),"","x")</f>
        <v/>
      </c>
      <c r="AU195" t="str">
        <f>IF(ISBLANK(JP!AX199),"","x")</f>
        <v/>
      </c>
    </row>
    <row r="196" spans="2:47">
      <c r="B196">
        <f>IF(ISBLANK(JP!AZ200),"",JP!AZ200)</f>
        <v>10046042</v>
      </c>
      <c r="C196" t="str">
        <f>IF(ISBLANK(JP!BA200),"",JP!BA200)</f>
        <v>HIMART (FERNVALE)</v>
      </c>
      <c r="D196" t="str">
        <f>IF(ISBLANK(JP!BC200),"",JP!BC200)</f>
        <v>21 FERNVALE CLOSE</v>
      </c>
      <c r="E196">
        <f>IF(ISBLANK(JP!BB200),"",JP!BB200)</f>
        <v>1</v>
      </c>
      <c r="F196" t="str">
        <f>IF(ISBLANK(JP!D200),"","x")</f>
        <v/>
      </c>
      <c r="G196" t="str">
        <f>IF(ISBLANK(JP!E200),"","x")</f>
        <v/>
      </c>
      <c r="H196" t="str">
        <f>IF(ISBLANK(JP!F200),"","x")</f>
        <v/>
      </c>
      <c r="I196" t="str">
        <f>IF(ISBLANK(JP!G200),"","x")</f>
        <v/>
      </c>
      <c r="J196" t="str">
        <f>IF(ISBLANK(JP!H200),"","x")</f>
        <v/>
      </c>
      <c r="K196" t="str">
        <f>IF(ISBLANK(JP!I200),"","x")</f>
        <v/>
      </c>
      <c r="L196" t="str">
        <f>IF(ISBLANK(JP!J200),"","x")</f>
        <v/>
      </c>
      <c r="M196" t="str">
        <f>IF(ISBLANK(JP!L200),"","x")</f>
        <v/>
      </c>
      <c r="N196" t="str">
        <f>IF(ISBLANK(JP!M200),"","x")</f>
        <v/>
      </c>
      <c r="O196" t="str">
        <f>IF(ISBLANK(JP!N200),"","x")</f>
        <v/>
      </c>
      <c r="P196" t="str">
        <f>IF(ISBLANK(JP!O200),"","x")</f>
        <v/>
      </c>
      <c r="Q196" t="str">
        <f>IF(ISBLANK(JP!P200),"","x")</f>
        <v/>
      </c>
      <c r="R196" t="str">
        <f>IF(ISBLANK(JP!Q200),"","x")</f>
        <v/>
      </c>
      <c r="S196" t="str">
        <f>IF(ISBLANK(JP!R200),"","x")</f>
        <v/>
      </c>
      <c r="T196" t="str">
        <f>IF(ISBLANK(JP!T200),"","x")</f>
        <v/>
      </c>
      <c r="U196" t="str">
        <f>IF(ISBLANK(JP!U200),"","x")</f>
        <v/>
      </c>
      <c r="V196" t="str">
        <f>IF(ISBLANK(JP!V200),"","x")</f>
        <v/>
      </c>
      <c r="W196" t="str">
        <f>IF(ISBLANK(JP!W200),"","x")</f>
        <v/>
      </c>
      <c r="X196" t="str">
        <f>IF(ISBLANK(JP!X200),"","x")</f>
        <v/>
      </c>
      <c r="Y196" t="str">
        <f>IF(ISBLANK(JP!Y200),"","x")</f>
        <v/>
      </c>
      <c r="Z196" t="str">
        <f>IF(ISBLANK(JP!Z200),"","x")</f>
        <v/>
      </c>
      <c r="AA196" t="str">
        <f>IF(ISBLANK(JP!AB200),"","x")</f>
        <v/>
      </c>
      <c r="AB196" t="str">
        <f>IF(ISBLANK(JP!AC200),"","x")</f>
        <v/>
      </c>
      <c r="AC196" t="str">
        <f>IF(ISBLANK(JP!AD200),"","x")</f>
        <v/>
      </c>
      <c r="AD196" t="str">
        <f>IF(ISBLANK(JP!AE200),"","x")</f>
        <v/>
      </c>
      <c r="AE196" t="str">
        <f>IF(ISBLANK(JP!AF200),"","x")</f>
        <v/>
      </c>
      <c r="AF196" t="str">
        <f>IF(ISBLANK(JP!AG200),"","x")</f>
        <v/>
      </c>
      <c r="AG196" t="str">
        <f>IF(ISBLANK(JP!AH200),"","x")</f>
        <v/>
      </c>
      <c r="AH196" t="str">
        <f>IF(ISBLANK(JP!AJ200),"","x")</f>
        <v/>
      </c>
      <c r="AI196" t="str">
        <f>IF(ISBLANK(JP!AK200),"","x")</f>
        <v/>
      </c>
      <c r="AJ196" t="str">
        <f>IF(ISBLANK(JP!AL200),"","x")</f>
        <v/>
      </c>
      <c r="AK196" t="str">
        <f>IF(ISBLANK(JP!AM200),"","x")</f>
        <v/>
      </c>
      <c r="AL196" t="str">
        <f>IF(ISBLANK(JP!AN200),"","x")</f>
        <v/>
      </c>
      <c r="AM196" t="str">
        <f>IF(ISBLANK(JP!AO200),"","x")</f>
        <v/>
      </c>
      <c r="AN196" t="str">
        <f>IF(ISBLANK(JP!AP200),"","x")</f>
        <v/>
      </c>
      <c r="AO196" t="str">
        <f>IF(ISBLANK(JP!AR200),"","x")</f>
        <v/>
      </c>
      <c r="AP196" t="str">
        <f>IF(ISBLANK(JP!AS200),"","x")</f>
        <v/>
      </c>
      <c r="AQ196" t="str">
        <f>IF(ISBLANK(JP!AT200),"","x")</f>
        <v/>
      </c>
      <c r="AR196" t="str">
        <f>IF(ISBLANK(JP!AU200),"","x")</f>
        <v/>
      </c>
      <c r="AS196" t="str">
        <f>IF(ISBLANK(JP!AV200),"","x")</f>
        <v/>
      </c>
      <c r="AT196" t="str">
        <f>IF(ISBLANK(JP!AW200),"","x")</f>
        <v/>
      </c>
      <c r="AU196" t="str">
        <f>IF(ISBLANK(JP!AX200),"","x")</f>
        <v/>
      </c>
    </row>
    <row r="197" spans="2:47">
      <c r="B197">
        <f>IF(ISBLANK(JP!AZ201),"",JP!AZ201)</f>
        <v>10034228</v>
      </c>
      <c r="C197" t="str">
        <f>IF(ISBLANK(JP!BA201),"",JP!BA201)</f>
        <v>JAYTARRANI PTE. LTD. (JALAN KAYU)</v>
      </c>
      <c r="D197" t="str">
        <f>IF(ISBLANK(JP!BC201),"",JP!BC201)</f>
        <v>271 JALAN KAYU</v>
      </c>
      <c r="E197">
        <f>IF(ISBLANK(JP!BB201),"",JP!BB201)</f>
        <v>1</v>
      </c>
      <c r="F197" t="str">
        <f>IF(ISBLANK(JP!D201),"","x")</f>
        <v/>
      </c>
      <c r="G197" t="str">
        <f>IF(ISBLANK(JP!E201),"","x")</f>
        <v/>
      </c>
      <c r="H197" t="str">
        <f>IF(ISBLANK(JP!F201),"","x")</f>
        <v/>
      </c>
      <c r="I197" t="str">
        <f>IF(ISBLANK(JP!G201),"","x")</f>
        <v/>
      </c>
      <c r="J197" t="str">
        <f>IF(ISBLANK(JP!H201),"","x")</f>
        <v/>
      </c>
      <c r="K197" t="str">
        <f>IF(ISBLANK(JP!I201),"","x")</f>
        <v/>
      </c>
      <c r="L197" t="str">
        <f>IF(ISBLANK(JP!J201),"","x")</f>
        <v/>
      </c>
      <c r="M197" t="str">
        <f>IF(ISBLANK(JP!L201),"","x")</f>
        <v/>
      </c>
      <c r="N197" t="str">
        <f>IF(ISBLANK(JP!M201),"","x")</f>
        <v/>
      </c>
      <c r="O197" t="str">
        <f>IF(ISBLANK(JP!N201),"","x")</f>
        <v/>
      </c>
      <c r="P197" t="str">
        <f>IF(ISBLANK(JP!O201),"","x")</f>
        <v/>
      </c>
      <c r="Q197" t="str">
        <f>IF(ISBLANK(JP!P201),"","x")</f>
        <v/>
      </c>
      <c r="R197" t="str">
        <f>IF(ISBLANK(JP!Q201),"","x")</f>
        <v/>
      </c>
      <c r="S197" t="str">
        <f>IF(ISBLANK(JP!R201),"","x")</f>
        <v/>
      </c>
      <c r="T197" t="str">
        <f>IF(ISBLANK(JP!T201),"","x")</f>
        <v/>
      </c>
      <c r="U197" t="str">
        <f>IF(ISBLANK(JP!U201),"","x")</f>
        <v/>
      </c>
      <c r="V197" t="str">
        <f>IF(ISBLANK(JP!V201),"","x")</f>
        <v/>
      </c>
      <c r="W197" t="str">
        <f>IF(ISBLANK(JP!W201),"","x")</f>
        <v/>
      </c>
      <c r="X197" t="str">
        <f>IF(ISBLANK(JP!X201),"","x")</f>
        <v/>
      </c>
      <c r="Y197" t="str">
        <f>IF(ISBLANK(JP!Y201),"","x")</f>
        <v/>
      </c>
      <c r="Z197" t="str">
        <f>IF(ISBLANK(JP!Z201),"","x")</f>
        <v/>
      </c>
      <c r="AA197" t="str">
        <f>IF(ISBLANK(JP!AB201),"","x")</f>
        <v/>
      </c>
      <c r="AB197" t="str">
        <f>IF(ISBLANK(JP!AC201),"","x")</f>
        <v/>
      </c>
      <c r="AC197" t="str">
        <f>IF(ISBLANK(JP!AD201),"","x")</f>
        <v/>
      </c>
      <c r="AD197" t="str">
        <f>IF(ISBLANK(JP!AE201),"","x")</f>
        <v/>
      </c>
      <c r="AE197" t="str">
        <f>IF(ISBLANK(JP!AF201),"","x")</f>
        <v/>
      </c>
      <c r="AF197" t="str">
        <f>IF(ISBLANK(JP!AG201),"","x")</f>
        <v/>
      </c>
      <c r="AG197" t="str">
        <f>IF(ISBLANK(JP!AH201),"","x")</f>
        <v/>
      </c>
      <c r="AH197" t="str">
        <f>IF(ISBLANK(JP!AJ201),"","x")</f>
        <v/>
      </c>
      <c r="AI197" t="str">
        <f>IF(ISBLANK(JP!AK201),"","x")</f>
        <v/>
      </c>
      <c r="AJ197" t="str">
        <f>IF(ISBLANK(JP!AL201),"","x")</f>
        <v/>
      </c>
      <c r="AK197" t="str">
        <f>IF(ISBLANK(JP!AM201),"","x")</f>
        <v/>
      </c>
      <c r="AL197" t="str">
        <f>IF(ISBLANK(JP!AN201),"","x")</f>
        <v/>
      </c>
      <c r="AM197" t="str">
        <f>IF(ISBLANK(JP!AO201),"","x")</f>
        <v/>
      </c>
      <c r="AN197" t="str">
        <f>IF(ISBLANK(JP!AP201),"","x")</f>
        <v/>
      </c>
      <c r="AO197" t="str">
        <f>IF(ISBLANK(JP!AR201),"","x")</f>
        <v/>
      </c>
      <c r="AP197" t="str">
        <f>IF(ISBLANK(JP!AS201),"","x")</f>
        <v/>
      </c>
      <c r="AQ197" t="str">
        <f>IF(ISBLANK(JP!AT201),"","x")</f>
        <v/>
      </c>
      <c r="AR197" t="str">
        <f>IF(ISBLANK(JP!AU201),"","x")</f>
        <v/>
      </c>
      <c r="AS197" t="str">
        <f>IF(ISBLANK(JP!AV201),"","x")</f>
        <v/>
      </c>
      <c r="AT197" t="str">
        <f>IF(ISBLANK(JP!AW201),"","x")</f>
        <v/>
      </c>
      <c r="AU197" t="str">
        <f>IF(ISBLANK(JP!AX201),"","x")</f>
        <v/>
      </c>
    </row>
    <row r="198" spans="2:47">
      <c r="B198">
        <f>IF(ISBLANK(JP!AZ202),"",JP!AZ202)</f>
        <v>10024610</v>
      </c>
      <c r="C198" t="str">
        <f>IF(ISBLANK(JP!BA202),"",JP!BA202)</f>
        <v>CHUAN HUAT GUAN DRY MARKET</v>
      </c>
      <c r="D198" t="str">
        <f>IF(ISBLANK(JP!BC202),"",JP!BC202)</f>
        <v>6 JALAN SELASEH</v>
      </c>
      <c r="E198">
        <f>IF(ISBLANK(JP!BB202),"",JP!BB202)</f>
        <v>1</v>
      </c>
      <c r="F198" t="str">
        <f>IF(ISBLANK(JP!D202),"","x")</f>
        <v/>
      </c>
      <c r="G198" t="str">
        <f>IF(ISBLANK(JP!E202),"","x")</f>
        <v/>
      </c>
      <c r="H198" t="str">
        <f>IF(ISBLANK(JP!F202),"","x")</f>
        <v/>
      </c>
      <c r="I198" t="str">
        <f>IF(ISBLANK(JP!G202),"","x")</f>
        <v/>
      </c>
      <c r="J198" t="str">
        <f>IF(ISBLANK(JP!H202),"","x")</f>
        <v/>
      </c>
      <c r="K198" t="str">
        <f>IF(ISBLANK(JP!I202),"","x")</f>
        <v/>
      </c>
      <c r="L198" t="str">
        <f>IF(ISBLANK(JP!J202),"","x")</f>
        <v/>
      </c>
      <c r="M198" t="str">
        <f>IF(ISBLANK(JP!L202),"","x")</f>
        <v/>
      </c>
      <c r="N198" t="str">
        <f>IF(ISBLANK(JP!M202),"","x")</f>
        <v/>
      </c>
      <c r="O198" t="str">
        <f>IF(ISBLANK(JP!N202),"","x")</f>
        <v/>
      </c>
      <c r="P198" t="str">
        <f>IF(ISBLANK(JP!O202),"","x")</f>
        <v/>
      </c>
      <c r="Q198" t="str">
        <f>IF(ISBLANK(JP!P202),"","x")</f>
        <v/>
      </c>
      <c r="R198" t="str">
        <f>IF(ISBLANK(JP!Q202),"","x")</f>
        <v/>
      </c>
      <c r="S198" t="str">
        <f>IF(ISBLANK(JP!R202),"","x")</f>
        <v/>
      </c>
      <c r="T198" t="str">
        <f>IF(ISBLANK(JP!T202),"","x")</f>
        <v/>
      </c>
      <c r="U198" t="str">
        <f>IF(ISBLANK(JP!U202),"","x")</f>
        <v/>
      </c>
      <c r="V198" t="str">
        <f>IF(ISBLANK(JP!V202),"","x")</f>
        <v/>
      </c>
      <c r="W198" t="str">
        <f>IF(ISBLANK(JP!W202),"","x")</f>
        <v/>
      </c>
      <c r="X198" t="str">
        <f>IF(ISBLANK(JP!X202),"","x")</f>
        <v/>
      </c>
      <c r="Y198" t="str">
        <f>IF(ISBLANK(JP!Y202),"","x")</f>
        <v/>
      </c>
      <c r="Z198" t="str">
        <f>IF(ISBLANK(JP!Z202),"","x")</f>
        <v/>
      </c>
      <c r="AA198" t="str">
        <f>IF(ISBLANK(JP!AB202),"","x")</f>
        <v/>
      </c>
      <c r="AB198" t="str">
        <f>IF(ISBLANK(JP!AC202),"","x")</f>
        <v/>
      </c>
      <c r="AC198" t="str">
        <f>IF(ISBLANK(JP!AD202),"","x")</f>
        <v/>
      </c>
      <c r="AD198" t="str">
        <f>IF(ISBLANK(JP!AE202),"","x")</f>
        <v/>
      </c>
      <c r="AE198" t="str">
        <f>IF(ISBLANK(JP!AF202),"","x")</f>
        <v/>
      </c>
      <c r="AF198" t="str">
        <f>IF(ISBLANK(JP!AG202),"","x")</f>
        <v/>
      </c>
      <c r="AG198" t="str">
        <f>IF(ISBLANK(JP!AH202),"","x")</f>
        <v/>
      </c>
      <c r="AH198" t="str">
        <f>IF(ISBLANK(JP!AJ202),"","x")</f>
        <v/>
      </c>
      <c r="AI198" t="str">
        <f>IF(ISBLANK(JP!AK202),"","x")</f>
        <v/>
      </c>
      <c r="AJ198" t="str">
        <f>IF(ISBLANK(JP!AL202),"","x")</f>
        <v/>
      </c>
      <c r="AK198" t="str">
        <f>IF(ISBLANK(JP!AM202),"","x")</f>
        <v/>
      </c>
      <c r="AL198" t="str">
        <f>IF(ISBLANK(JP!AN202),"","x")</f>
        <v/>
      </c>
      <c r="AM198" t="str">
        <f>IF(ISBLANK(JP!AO202),"","x")</f>
        <v/>
      </c>
      <c r="AN198" t="str">
        <f>IF(ISBLANK(JP!AP202),"","x")</f>
        <v/>
      </c>
      <c r="AO198" t="str">
        <f>IF(ISBLANK(JP!AR202),"","x")</f>
        <v/>
      </c>
      <c r="AP198" t="str">
        <f>IF(ISBLANK(JP!AS202),"","x")</f>
        <v/>
      </c>
      <c r="AQ198" t="str">
        <f>IF(ISBLANK(JP!AT202),"","x")</f>
        <v/>
      </c>
      <c r="AR198" t="str">
        <f>IF(ISBLANK(JP!AU202),"","x")</f>
        <v/>
      </c>
      <c r="AS198" t="str">
        <f>IF(ISBLANK(JP!AV202),"","x")</f>
        <v/>
      </c>
      <c r="AT198" t="str">
        <f>IF(ISBLANK(JP!AW202),"","x")</f>
        <v/>
      </c>
      <c r="AU198" t="str">
        <f>IF(ISBLANK(JP!AX202),"","x")</f>
        <v/>
      </c>
    </row>
    <row r="199" spans="2:47">
      <c r="B199">
        <f>IF(ISBLANK(JP!AZ203),"",JP!AZ203)</f>
        <v>10045166</v>
      </c>
      <c r="C199" t="str">
        <f>IF(ISBLANK(JP!BA203),"",JP!BA203)</f>
        <v>SMART MART SERVICES</v>
      </c>
      <c r="D199" t="str">
        <f>IF(ISBLANK(JP!BC203),"",JP!BC203)</f>
        <v>26 CACTUS DRIVE</v>
      </c>
      <c r="E199">
        <f>IF(ISBLANK(JP!BB203),"",JP!BB203)</f>
        <v>1</v>
      </c>
      <c r="F199" t="str">
        <f>IF(ISBLANK(JP!D203),"","x")</f>
        <v/>
      </c>
      <c r="G199" t="str">
        <f>IF(ISBLANK(JP!E203),"","x")</f>
        <v/>
      </c>
      <c r="H199" t="str">
        <f>IF(ISBLANK(JP!F203),"","x")</f>
        <v/>
      </c>
      <c r="I199" t="str">
        <f>IF(ISBLANK(JP!G203),"","x")</f>
        <v/>
      </c>
      <c r="J199" t="str">
        <f>IF(ISBLANK(JP!H203),"","x")</f>
        <v/>
      </c>
      <c r="K199" t="str">
        <f>IF(ISBLANK(JP!I203),"","x")</f>
        <v/>
      </c>
      <c r="L199" t="str">
        <f>IF(ISBLANK(JP!J203),"","x")</f>
        <v/>
      </c>
      <c r="M199" t="str">
        <f>IF(ISBLANK(JP!L203),"","x")</f>
        <v/>
      </c>
      <c r="N199" t="str">
        <f>IF(ISBLANK(JP!M203),"","x")</f>
        <v/>
      </c>
      <c r="O199" t="str">
        <f>IF(ISBLANK(JP!N203),"","x")</f>
        <v/>
      </c>
      <c r="P199" t="str">
        <f>IF(ISBLANK(JP!O203),"","x")</f>
        <v/>
      </c>
      <c r="Q199" t="str">
        <f>IF(ISBLANK(JP!P203),"","x")</f>
        <v/>
      </c>
      <c r="R199" t="str">
        <f>IF(ISBLANK(JP!Q203),"","x")</f>
        <v/>
      </c>
      <c r="S199" t="str">
        <f>IF(ISBLANK(JP!R203),"","x")</f>
        <v/>
      </c>
      <c r="T199" t="str">
        <f>IF(ISBLANK(JP!T203),"","x")</f>
        <v/>
      </c>
      <c r="U199" t="str">
        <f>IF(ISBLANK(JP!U203),"","x")</f>
        <v/>
      </c>
      <c r="V199" t="str">
        <f>IF(ISBLANK(JP!V203),"","x")</f>
        <v/>
      </c>
      <c r="W199" t="str">
        <f>IF(ISBLANK(JP!W203),"","x")</f>
        <v/>
      </c>
      <c r="X199" t="str">
        <f>IF(ISBLANK(JP!X203),"","x")</f>
        <v/>
      </c>
      <c r="Y199" t="str">
        <f>IF(ISBLANK(JP!Y203),"","x")</f>
        <v/>
      </c>
      <c r="Z199" t="str">
        <f>IF(ISBLANK(JP!Z203),"","x")</f>
        <v/>
      </c>
      <c r="AA199" t="str">
        <f>IF(ISBLANK(JP!AB203),"","x")</f>
        <v/>
      </c>
      <c r="AB199" t="str">
        <f>IF(ISBLANK(JP!AC203),"","x")</f>
        <v/>
      </c>
      <c r="AC199" t="str">
        <f>IF(ISBLANK(JP!AD203),"","x")</f>
        <v/>
      </c>
      <c r="AD199" t="str">
        <f>IF(ISBLANK(JP!AE203),"","x")</f>
        <v>x</v>
      </c>
      <c r="AE199" t="str">
        <f>IF(ISBLANK(JP!AF203),"","x")</f>
        <v/>
      </c>
      <c r="AF199" t="str">
        <f>IF(ISBLANK(JP!AG203),"","x")</f>
        <v/>
      </c>
      <c r="AG199" t="str">
        <f>IF(ISBLANK(JP!AH203),"","x")</f>
        <v/>
      </c>
      <c r="AH199" t="str">
        <f>IF(ISBLANK(JP!AJ203),"","x")</f>
        <v/>
      </c>
      <c r="AI199" t="str">
        <f>IF(ISBLANK(JP!AK203),"","x")</f>
        <v/>
      </c>
      <c r="AJ199" t="str">
        <f>IF(ISBLANK(JP!AL203),"","x")</f>
        <v/>
      </c>
      <c r="AK199" t="str">
        <f>IF(ISBLANK(JP!AM203),"","x")</f>
        <v/>
      </c>
      <c r="AL199" t="str">
        <f>IF(ISBLANK(JP!AN203),"","x")</f>
        <v/>
      </c>
      <c r="AM199" t="str">
        <f>IF(ISBLANK(JP!AO203),"","x")</f>
        <v/>
      </c>
      <c r="AN199" t="str">
        <f>IF(ISBLANK(JP!AP203),"","x")</f>
        <v/>
      </c>
      <c r="AO199" t="str">
        <f>IF(ISBLANK(JP!AR203),"","x")</f>
        <v/>
      </c>
      <c r="AP199" t="str">
        <f>IF(ISBLANK(JP!AS203),"","x")</f>
        <v/>
      </c>
      <c r="AQ199" t="str">
        <f>IF(ISBLANK(JP!AT203),"","x")</f>
        <v/>
      </c>
      <c r="AR199" t="str">
        <f>IF(ISBLANK(JP!AU203),"","x")</f>
        <v/>
      </c>
      <c r="AS199" t="str">
        <f>IF(ISBLANK(JP!AV203),"","x")</f>
        <v/>
      </c>
      <c r="AT199" t="str">
        <f>IF(ISBLANK(JP!AW203),"","x")</f>
        <v/>
      </c>
      <c r="AU199" t="str">
        <f>IF(ISBLANK(JP!AX203),"","x")</f>
        <v/>
      </c>
    </row>
    <row r="200" spans="2:47">
      <c r="B200">
        <f>IF(ISBLANK(JP!AZ204),"",JP!AZ204)</f>
        <v>10039379</v>
      </c>
      <c r="C200" t="str">
        <f>IF(ISBLANK(JP!BA204),"",JP!BA204)</f>
        <v>SRI MARKETING</v>
      </c>
      <c r="D200" t="str">
        <f>IF(ISBLANK(JP!BC204),"",JP!BC204)</f>
        <v>168 PUNGGOL FIELD</v>
      </c>
      <c r="E200">
        <f>IF(ISBLANK(JP!BB204),"",JP!BB204)</f>
        <v>1</v>
      </c>
      <c r="F200" t="str">
        <f>IF(ISBLANK(JP!D204),"","x")</f>
        <v/>
      </c>
      <c r="G200" t="str">
        <f>IF(ISBLANK(JP!E204),"","x")</f>
        <v/>
      </c>
      <c r="H200" t="str">
        <f>IF(ISBLANK(JP!F204),"","x")</f>
        <v/>
      </c>
      <c r="I200" t="str">
        <f>IF(ISBLANK(JP!G204),"","x")</f>
        <v/>
      </c>
      <c r="J200" t="str">
        <f>IF(ISBLANK(JP!H204),"","x")</f>
        <v/>
      </c>
      <c r="K200" t="str">
        <f>IF(ISBLANK(JP!I204),"","x")</f>
        <v/>
      </c>
      <c r="L200" t="str">
        <f>IF(ISBLANK(JP!J204),"","x")</f>
        <v/>
      </c>
      <c r="M200" t="str">
        <f>IF(ISBLANK(JP!L204),"","x")</f>
        <v/>
      </c>
      <c r="N200" t="str">
        <f>IF(ISBLANK(JP!M204),"","x")</f>
        <v/>
      </c>
      <c r="O200" t="str">
        <f>IF(ISBLANK(JP!N204),"","x")</f>
        <v/>
      </c>
      <c r="P200" t="str">
        <f>IF(ISBLANK(JP!O204),"","x")</f>
        <v/>
      </c>
      <c r="Q200" t="str">
        <f>IF(ISBLANK(JP!P204),"","x")</f>
        <v/>
      </c>
      <c r="R200" t="str">
        <f>IF(ISBLANK(JP!Q204),"","x")</f>
        <v/>
      </c>
      <c r="S200" t="str">
        <f>IF(ISBLANK(JP!R204),"","x")</f>
        <v/>
      </c>
      <c r="T200" t="str">
        <f>IF(ISBLANK(JP!T204),"","x")</f>
        <v/>
      </c>
      <c r="U200" t="str">
        <f>IF(ISBLANK(JP!U204),"","x")</f>
        <v/>
      </c>
      <c r="V200" t="str">
        <f>IF(ISBLANK(JP!V204),"","x")</f>
        <v/>
      </c>
      <c r="W200" t="str">
        <f>IF(ISBLANK(JP!W204),"","x")</f>
        <v/>
      </c>
      <c r="X200" t="str">
        <f>IF(ISBLANK(JP!X204),"","x")</f>
        <v/>
      </c>
      <c r="Y200" t="str">
        <f>IF(ISBLANK(JP!Y204),"","x")</f>
        <v/>
      </c>
      <c r="Z200" t="str">
        <f>IF(ISBLANK(JP!Z204),"","x")</f>
        <v/>
      </c>
      <c r="AA200" t="str">
        <f>IF(ISBLANK(JP!AB204),"","x")</f>
        <v/>
      </c>
      <c r="AB200" t="str">
        <f>IF(ISBLANK(JP!AC204),"","x")</f>
        <v/>
      </c>
      <c r="AC200" t="str">
        <f>IF(ISBLANK(JP!AD204),"","x")</f>
        <v/>
      </c>
      <c r="AD200" t="str">
        <f>IF(ISBLANK(JP!AE204),"","x")</f>
        <v/>
      </c>
      <c r="AE200" t="str">
        <f>IF(ISBLANK(JP!AF204),"","x")</f>
        <v/>
      </c>
      <c r="AF200" t="str">
        <f>IF(ISBLANK(JP!AG204),"","x")</f>
        <v/>
      </c>
      <c r="AG200" t="str">
        <f>IF(ISBLANK(JP!AH204),"","x")</f>
        <v/>
      </c>
      <c r="AH200" t="str">
        <f>IF(ISBLANK(JP!AJ204),"","x")</f>
        <v/>
      </c>
      <c r="AI200" t="str">
        <f>IF(ISBLANK(JP!AK204),"","x")</f>
        <v/>
      </c>
      <c r="AJ200" t="str">
        <f>IF(ISBLANK(JP!AL204),"","x")</f>
        <v/>
      </c>
      <c r="AK200" t="str">
        <f>IF(ISBLANK(JP!AM204),"","x")</f>
        <v/>
      </c>
      <c r="AL200" t="str">
        <f>IF(ISBLANK(JP!AN204),"","x")</f>
        <v/>
      </c>
      <c r="AM200" t="str">
        <f>IF(ISBLANK(JP!AO204),"","x")</f>
        <v/>
      </c>
      <c r="AN200" t="str">
        <f>IF(ISBLANK(JP!AP204),"","x")</f>
        <v/>
      </c>
      <c r="AO200" t="str">
        <f>IF(ISBLANK(JP!AR204),"","x")</f>
        <v/>
      </c>
      <c r="AP200" t="str">
        <f>IF(ISBLANK(JP!AS204),"","x")</f>
        <v/>
      </c>
      <c r="AQ200" t="str">
        <f>IF(ISBLANK(JP!AT204),"","x")</f>
        <v/>
      </c>
      <c r="AR200" t="str">
        <f>IF(ISBLANK(JP!AU204),"","x")</f>
        <v/>
      </c>
      <c r="AS200" t="str">
        <f>IF(ISBLANK(JP!AV204),"","x")</f>
        <v/>
      </c>
      <c r="AT200" t="str">
        <f>IF(ISBLANK(JP!AW204),"","x")</f>
        <v/>
      </c>
      <c r="AU200" t="str">
        <f>IF(ISBLANK(JP!AX204),"","x")</f>
        <v/>
      </c>
    </row>
    <row r="201" spans="2:47">
      <c r="B201">
        <f>IF(ISBLANK(JP!AZ205),"",JP!AZ205)</f>
        <v>10042788</v>
      </c>
      <c r="C201" t="str">
        <f>IF(ISBLANK(JP!BA205),"",JP!BA205)</f>
        <v>U STARS SUPERMARKET (SUMANG)</v>
      </c>
      <c r="D201" t="str">
        <f>IF(ISBLANK(JP!BC205),"",JP!BC205)</f>
        <v>218 SUMANG WALK</v>
      </c>
      <c r="E201">
        <f>IF(ISBLANK(JP!BB205),"",JP!BB205)</f>
        <v>2</v>
      </c>
      <c r="F201" t="str">
        <f>IF(ISBLANK(JP!D205),"","x")</f>
        <v/>
      </c>
      <c r="G201" t="str">
        <f>IF(ISBLANK(JP!E205),"","x")</f>
        <v/>
      </c>
      <c r="H201" t="str">
        <f>IF(ISBLANK(JP!F205),"","x")</f>
        <v/>
      </c>
      <c r="I201" t="str">
        <f>IF(ISBLANK(JP!G205),"","x")</f>
        <v/>
      </c>
      <c r="J201" t="str">
        <f>IF(ISBLANK(JP!H205),"","x")</f>
        <v/>
      </c>
      <c r="K201" t="str">
        <f>IF(ISBLANK(JP!I205),"","x")</f>
        <v/>
      </c>
      <c r="L201" t="str">
        <f>IF(ISBLANK(JP!J205),"","x")</f>
        <v/>
      </c>
      <c r="M201" t="str">
        <f>IF(ISBLANK(JP!L205),"","x")</f>
        <v/>
      </c>
      <c r="N201" t="str">
        <f>IF(ISBLANK(JP!M205),"","x")</f>
        <v/>
      </c>
      <c r="O201" t="str">
        <f>IF(ISBLANK(JP!N205),"","x")</f>
        <v/>
      </c>
      <c r="P201" t="str">
        <f>IF(ISBLANK(JP!O205),"","x")</f>
        <v/>
      </c>
      <c r="Q201" t="str">
        <f>IF(ISBLANK(JP!P205),"","x")</f>
        <v/>
      </c>
      <c r="R201" t="str">
        <f>IF(ISBLANK(JP!Q205),"","x")</f>
        <v/>
      </c>
      <c r="S201" t="str">
        <f>IF(ISBLANK(JP!R205),"","x")</f>
        <v/>
      </c>
      <c r="T201" t="str">
        <f>IF(ISBLANK(JP!T205),"","x")</f>
        <v/>
      </c>
      <c r="U201" t="str">
        <f>IF(ISBLANK(JP!U205),"","x")</f>
        <v/>
      </c>
      <c r="V201" t="str">
        <f>IF(ISBLANK(JP!V205),"","x")</f>
        <v/>
      </c>
      <c r="W201" t="str">
        <f>IF(ISBLANK(JP!W205),"","x")</f>
        <v/>
      </c>
      <c r="X201" t="str">
        <f>IF(ISBLANK(JP!X205),"","x")</f>
        <v/>
      </c>
      <c r="Y201" t="str">
        <f>IF(ISBLANK(JP!Y205),"","x")</f>
        <v/>
      </c>
      <c r="Z201" t="str">
        <f>IF(ISBLANK(JP!Z205),"","x")</f>
        <v/>
      </c>
      <c r="AA201" t="str">
        <f>IF(ISBLANK(JP!AB205),"","x")</f>
        <v/>
      </c>
      <c r="AB201" t="str">
        <f>IF(ISBLANK(JP!AC205),"","x")</f>
        <v/>
      </c>
      <c r="AC201" t="str">
        <f>IF(ISBLANK(JP!AD205),"","x")</f>
        <v/>
      </c>
      <c r="AD201" t="str">
        <f>IF(ISBLANK(JP!AE205),"","x")</f>
        <v/>
      </c>
      <c r="AE201" t="str">
        <f>IF(ISBLANK(JP!AF205),"","x")</f>
        <v/>
      </c>
      <c r="AF201" t="str">
        <f>IF(ISBLANK(JP!AG205),"","x")</f>
        <v/>
      </c>
      <c r="AG201" t="str">
        <f>IF(ISBLANK(JP!AH205),"","x")</f>
        <v/>
      </c>
      <c r="AH201" t="str">
        <f>IF(ISBLANK(JP!AJ205),"","x")</f>
        <v/>
      </c>
      <c r="AI201" t="str">
        <f>IF(ISBLANK(JP!AK205),"","x")</f>
        <v/>
      </c>
      <c r="AJ201" t="str">
        <f>IF(ISBLANK(JP!AL205),"","x")</f>
        <v/>
      </c>
      <c r="AK201" t="str">
        <f>IF(ISBLANK(JP!AM205),"","x")</f>
        <v/>
      </c>
      <c r="AL201" t="str">
        <f>IF(ISBLANK(JP!AN205),"","x")</f>
        <v/>
      </c>
      <c r="AM201" t="str">
        <f>IF(ISBLANK(JP!AO205),"","x")</f>
        <v/>
      </c>
      <c r="AN201" t="str">
        <f>IF(ISBLANK(JP!AP205),"","x")</f>
        <v/>
      </c>
      <c r="AO201" t="str">
        <f>IF(ISBLANK(JP!AR205),"","x")</f>
        <v/>
      </c>
      <c r="AP201" t="str">
        <f>IF(ISBLANK(JP!AS205),"","x")</f>
        <v/>
      </c>
      <c r="AQ201" t="str">
        <f>IF(ISBLANK(JP!AT205),"","x")</f>
        <v/>
      </c>
      <c r="AR201" t="str">
        <f>IF(ISBLANK(JP!AU205),"","x")</f>
        <v/>
      </c>
      <c r="AS201" t="str">
        <f>IF(ISBLANK(JP!AV205),"","x")</f>
        <v/>
      </c>
      <c r="AT201" t="str">
        <f>IF(ISBLANK(JP!AW205),"","x")</f>
        <v/>
      </c>
      <c r="AU201" t="str">
        <f>IF(ISBLANK(JP!AX205),"","x")</f>
        <v/>
      </c>
    </row>
    <row r="202" spans="2:47">
      <c r="B202">
        <f>IF(ISBLANK(JP!AZ206),"",JP!AZ206)</f>
        <v>10041273</v>
      </c>
      <c r="C202" t="str">
        <f>IF(ISBLANK(JP!BA206),"",JP!BA206)</f>
        <v>U STARS SUPERMARKET (PUNGGOL)</v>
      </c>
      <c r="D202" t="str">
        <f>IF(ISBLANK(JP!BC206),"",JP!BC206)</f>
        <v>261 PUNGGOL WAY</v>
      </c>
      <c r="E202">
        <f>IF(ISBLANK(JP!BB206),"",JP!BB206)</f>
        <v>2</v>
      </c>
      <c r="F202" t="str">
        <f>IF(ISBLANK(JP!D206),"","x")</f>
        <v/>
      </c>
      <c r="G202" t="str">
        <f>IF(ISBLANK(JP!E206),"","x")</f>
        <v/>
      </c>
      <c r="H202" t="str">
        <f>IF(ISBLANK(JP!F206),"","x")</f>
        <v/>
      </c>
      <c r="I202" t="str">
        <f>IF(ISBLANK(JP!G206),"","x")</f>
        <v/>
      </c>
      <c r="J202" t="str">
        <f>IF(ISBLANK(JP!H206),"","x")</f>
        <v/>
      </c>
      <c r="K202" t="str">
        <f>IF(ISBLANK(JP!I206),"","x")</f>
        <v/>
      </c>
      <c r="L202" t="str">
        <f>IF(ISBLANK(JP!J206),"","x")</f>
        <v/>
      </c>
      <c r="M202" t="str">
        <f>IF(ISBLANK(JP!L206),"","x")</f>
        <v/>
      </c>
      <c r="N202" t="str">
        <f>IF(ISBLANK(JP!M206),"","x")</f>
        <v/>
      </c>
      <c r="O202" t="str">
        <f>IF(ISBLANK(JP!N206),"","x")</f>
        <v/>
      </c>
      <c r="P202" t="str">
        <f>IF(ISBLANK(JP!O206),"","x")</f>
        <v/>
      </c>
      <c r="Q202" t="str">
        <f>IF(ISBLANK(JP!P206),"","x")</f>
        <v/>
      </c>
      <c r="R202" t="str">
        <f>IF(ISBLANK(JP!Q206),"","x")</f>
        <v/>
      </c>
      <c r="S202" t="str">
        <f>IF(ISBLANK(JP!R206),"","x")</f>
        <v/>
      </c>
      <c r="T202" t="str">
        <f>IF(ISBLANK(JP!T206),"","x")</f>
        <v/>
      </c>
      <c r="U202" t="str">
        <f>IF(ISBLANK(JP!U206),"","x")</f>
        <v/>
      </c>
      <c r="V202" t="str">
        <f>IF(ISBLANK(JP!V206),"","x")</f>
        <v/>
      </c>
      <c r="W202" t="str">
        <f>IF(ISBLANK(JP!W206),"","x")</f>
        <v/>
      </c>
      <c r="X202" t="str">
        <f>IF(ISBLANK(JP!X206),"","x")</f>
        <v/>
      </c>
      <c r="Y202" t="str">
        <f>IF(ISBLANK(JP!Y206),"","x")</f>
        <v/>
      </c>
      <c r="Z202" t="str">
        <f>IF(ISBLANK(JP!Z206),"","x")</f>
        <v/>
      </c>
      <c r="AA202" t="str">
        <f>IF(ISBLANK(JP!AB206),"","x")</f>
        <v/>
      </c>
      <c r="AB202" t="str">
        <f>IF(ISBLANK(JP!AC206),"","x")</f>
        <v/>
      </c>
      <c r="AC202" t="str">
        <f>IF(ISBLANK(JP!AD206),"","x")</f>
        <v/>
      </c>
      <c r="AD202" t="str">
        <f>IF(ISBLANK(JP!AE206),"","x")</f>
        <v/>
      </c>
      <c r="AE202" t="str">
        <f>IF(ISBLANK(JP!AF206),"","x")</f>
        <v/>
      </c>
      <c r="AF202" t="str">
        <f>IF(ISBLANK(JP!AG206),"","x")</f>
        <v/>
      </c>
      <c r="AG202" t="str">
        <f>IF(ISBLANK(JP!AH206),"","x")</f>
        <v/>
      </c>
      <c r="AH202" t="str">
        <f>IF(ISBLANK(JP!AJ206),"","x")</f>
        <v/>
      </c>
      <c r="AI202" t="str">
        <f>IF(ISBLANK(JP!AK206),"","x")</f>
        <v/>
      </c>
      <c r="AJ202" t="str">
        <f>IF(ISBLANK(JP!AL206),"","x")</f>
        <v/>
      </c>
      <c r="AK202" t="str">
        <f>IF(ISBLANK(JP!AM206),"","x")</f>
        <v/>
      </c>
      <c r="AL202" t="str">
        <f>IF(ISBLANK(JP!AN206),"","x")</f>
        <v/>
      </c>
      <c r="AM202" t="str">
        <f>IF(ISBLANK(JP!AO206),"","x")</f>
        <v/>
      </c>
      <c r="AN202" t="str">
        <f>IF(ISBLANK(JP!AP206),"","x")</f>
        <v/>
      </c>
      <c r="AO202" t="str">
        <f>IF(ISBLANK(JP!AR206),"","x")</f>
        <v/>
      </c>
      <c r="AP202" t="str">
        <f>IF(ISBLANK(JP!AS206),"","x")</f>
        <v/>
      </c>
      <c r="AQ202" t="str">
        <f>IF(ISBLANK(JP!AT206),"","x")</f>
        <v/>
      </c>
      <c r="AR202" t="str">
        <f>IF(ISBLANK(JP!AU206),"","x")</f>
        <v/>
      </c>
      <c r="AS202" t="str">
        <f>IF(ISBLANK(JP!AV206),"","x")</f>
        <v/>
      </c>
      <c r="AT202" t="str">
        <f>IF(ISBLANK(JP!AW206),"","x")</f>
        <v/>
      </c>
      <c r="AU202" t="str">
        <f>IF(ISBLANK(JP!AX206),"","x")</f>
        <v/>
      </c>
    </row>
    <row r="203" spans="2:47">
      <c r="B203">
        <f>IF(ISBLANK(JP!AZ207),"",JP!AZ207)</f>
        <v>10031852</v>
      </c>
      <c r="C203" t="str">
        <f>IF(ISBLANK(JP!BA207),"",JP!BA207)</f>
        <v>ANG MO SUPERMARKET PTE LTD (PUNGGOL)</v>
      </c>
      <c r="D203" t="str">
        <f>IF(ISBLANK(JP!BC207),"",JP!BC207)</f>
        <v>639 PUNGGOL DRIVE</v>
      </c>
      <c r="E203">
        <f>IF(ISBLANK(JP!BB207),"",JP!BB207)</f>
        <v>1</v>
      </c>
      <c r="F203" t="str">
        <f>IF(ISBLANK(JP!D207),"","x")</f>
        <v/>
      </c>
      <c r="G203" t="str">
        <f>IF(ISBLANK(JP!E207),"","x")</f>
        <v/>
      </c>
      <c r="H203" t="str">
        <f>IF(ISBLANK(JP!F207),"","x")</f>
        <v/>
      </c>
      <c r="I203" t="str">
        <f>IF(ISBLANK(JP!G207),"","x")</f>
        <v/>
      </c>
      <c r="J203" t="str">
        <f>IF(ISBLANK(JP!H207),"","x")</f>
        <v/>
      </c>
      <c r="K203" t="str">
        <f>IF(ISBLANK(JP!I207),"","x")</f>
        <v/>
      </c>
      <c r="L203" t="str">
        <f>IF(ISBLANK(JP!J207),"","x")</f>
        <v/>
      </c>
      <c r="M203" t="str">
        <f>IF(ISBLANK(JP!L207),"","x")</f>
        <v/>
      </c>
      <c r="N203" t="str">
        <f>IF(ISBLANK(JP!M207),"","x")</f>
        <v/>
      </c>
      <c r="O203" t="str">
        <f>IF(ISBLANK(JP!N207),"","x")</f>
        <v/>
      </c>
      <c r="P203" t="str">
        <f>IF(ISBLANK(JP!O207),"","x")</f>
        <v/>
      </c>
      <c r="Q203" t="str">
        <f>IF(ISBLANK(JP!P207),"","x")</f>
        <v/>
      </c>
      <c r="R203" t="str">
        <f>IF(ISBLANK(JP!Q207),"","x")</f>
        <v/>
      </c>
      <c r="S203" t="str">
        <f>IF(ISBLANK(JP!R207),"","x")</f>
        <v/>
      </c>
      <c r="T203" t="str">
        <f>IF(ISBLANK(JP!T207),"","x")</f>
        <v/>
      </c>
      <c r="U203" t="str">
        <f>IF(ISBLANK(JP!U207),"","x")</f>
        <v/>
      </c>
      <c r="V203" t="str">
        <f>IF(ISBLANK(JP!V207),"","x")</f>
        <v/>
      </c>
      <c r="W203" t="str">
        <f>IF(ISBLANK(JP!W207),"","x")</f>
        <v/>
      </c>
      <c r="X203" t="str">
        <f>IF(ISBLANK(JP!X207),"","x")</f>
        <v/>
      </c>
      <c r="Y203" t="str">
        <f>IF(ISBLANK(JP!Y207),"","x")</f>
        <v/>
      </c>
      <c r="Z203" t="str">
        <f>IF(ISBLANK(JP!Z207),"","x")</f>
        <v/>
      </c>
      <c r="AA203" t="str">
        <f>IF(ISBLANK(JP!AB207),"","x")</f>
        <v/>
      </c>
      <c r="AB203" t="str">
        <f>IF(ISBLANK(JP!AC207),"","x")</f>
        <v/>
      </c>
      <c r="AC203" t="str">
        <f>IF(ISBLANK(JP!AD207),"","x")</f>
        <v/>
      </c>
      <c r="AD203" t="str">
        <f>IF(ISBLANK(JP!AE207),"","x")</f>
        <v/>
      </c>
      <c r="AE203" t="str">
        <f>IF(ISBLANK(JP!AF207),"","x")</f>
        <v/>
      </c>
      <c r="AF203" t="str">
        <f>IF(ISBLANK(JP!AG207),"","x")</f>
        <v/>
      </c>
      <c r="AG203" t="str">
        <f>IF(ISBLANK(JP!AH207),"","x")</f>
        <v/>
      </c>
      <c r="AH203" t="str">
        <f>IF(ISBLANK(JP!AJ207),"","x")</f>
        <v/>
      </c>
      <c r="AI203" t="str">
        <f>IF(ISBLANK(JP!AK207),"","x")</f>
        <v/>
      </c>
      <c r="AJ203" t="str">
        <f>IF(ISBLANK(JP!AL207),"","x")</f>
        <v/>
      </c>
      <c r="AK203" t="str">
        <f>IF(ISBLANK(JP!AM207),"","x")</f>
        <v/>
      </c>
      <c r="AL203" t="str">
        <f>IF(ISBLANK(JP!AN207),"","x")</f>
        <v/>
      </c>
      <c r="AM203" t="str">
        <f>IF(ISBLANK(JP!AO207),"","x")</f>
        <v/>
      </c>
      <c r="AN203" t="str">
        <f>IF(ISBLANK(JP!AP207),"","x")</f>
        <v/>
      </c>
      <c r="AO203" t="str">
        <f>IF(ISBLANK(JP!AR207),"","x")</f>
        <v/>
      </c>
      <c r="AP203" t="str">
        <f>IF(ISBLANK(JP!AS207),"","x")</f>
        <v/>
      </c>
      <c r="AQ203" t="str">
        <f>IF(ISBLANK(JP!AT207),"","x")</f>
        <v/>
      </c>
      <c r="AR203" t="str">
        <f>IF(ISBLANK(JP!AU207),"","x")</f>
        <v/>
      </c>
      <c r="AS203" t="str">
        <f>IF(ISBLANK(JP!AV207),"","x")</f>
        <v/>
      </c>
      <c r="AT203" t="str">
        <f>IF(ISBLANK(JP!AW207),"","x")</f>
        <v/>
      </c>
      <c r="AU203" t="str">
        <f>IF(ISBLANK(JP!AX207),"","x")</f>
        <v/>
      </c>
    </row>
    <row r="204" spans="2:47">
      <c r="B204">
        <f>IF(ISBLANK(JP!AZ208),"",JP!AZ208)</f>
        <v>10044973</v>
      </c>
      <c r="C204" t="str">
        <f>IF(ISBLANK(JP!BA208),"",JP!BA208)</f>
        <v>HAO MART (PUNGGOL EAST)</v>
      </c>
      <c r="D204" t="str">
        <f>IF(ISBLANK(JP!BC208),"",JP!BC208)</f>
        <v>658 PUNGGOL EAST</v>
      </c>
      <c r="E204">
        <f>IF(ISBLANK(JP!BB208),"",JP!BB208)</f>
        <v>1</v>
      </c>
      <c r="F204" t="str">
        <f>IF(ISBLANK(JP!D208),"","x")</f>
        <v/>
      </c>
      <c r="G204" t="str">
        <f>IF(ISBLANK(JP!E208),"","x")</f>
        <v/>
      </c>
      <c r="H204" t="str">
        <f>IF(ISBLANK(JP!F208),"","x")</f>
        <v/>
      </c>
      <c r="I204" t="str">
        <f>IF(ISBLANK(JP!G208),"","x")</f>
        <v/>
      </c>
      <c r="J204" t="str">
        <f>IF(ISBLANK(JP!H208),"","x")</f>
        <v/>
      </c>
      <c r="K204" t="str">
        <f>IF(ISBLANK(JP!I208),"","x")</f>
        <v/>
      </c>
      <c r="L204" t="str">
        <f>IF(ISBLANK(JP!J208),"","x")</f>
        <v/>
      </c>
      <c r="M204" t="str">
        <f>IF(ISBLANK(JP!L208),"","x")</f>
        <v/>
      </c>
      <c r="N204" t="str">
        <f>IF(ISBLANK(JP!M208),"","x")</f>
        <v/>
      </c>
      <c r="O204" t="str">
        <f>IF(ISBLANK(JP!N208),"","x")</f>
        <v/>
      </c>
      <c r="P204" t="str">
        <f>IF(ISBLANK(JP!O208),"","x")</f>
        <v/>
      </c>
      <c r="Q204" t="str">
        <f>IF(ISBLANK(JP!P208),"","x")</f>
        <v/>
      </c>
      <c r="R204" t="str">
        <f>IF(ISBLANK(JP!Q208),"","x")</f>
        <v/>
      </c>
      <c r="S204" t="str">
        <f>IF(ISBLANK(JP!R208),"","x")</f>
        <v/>
      </c>
      <c r="T204" t="str">
        <f>IF(ISBLANK(JP!T208),"","x")</f>
        <v/>
      </c>
      <c r="U204" t="str">
        <f>IF(ISBLANK(JP!U208),"","x")</f>
        <v/>
      </c>
      <c r="V204" t="str">
        <f>IF(ISBLANK(JP!V208),"","x")</f>
        <v/>
      </c>
      <c r="W204" t="str">
        <f>IF(ISBLANK(JP!W208),"","x")</f>
        <v/>
      </c>
      <c r="X204" t="str">
        <f>IF(ISBLANK(JP!X208),"","x")</f>
        <v/>
      </c>
      <c r="Y204" t="str">
        <f>IF(ISBLANK(JP!Y208),"","x")</f>
        <v/>
      </c>
      <c r="Z204" t="str">
        <f>IF(ISBLANK(JP!Z208),"","x")</f>
        <v/>
      </c>
      <c r="AA204" t="str">
        <f>IF(ISBLANK(JP!AB208),"","x")</f>
        <v/>
      </c>
      <c r="AB204" t="str">
        <f>IF(ISBLANK(JP!AC208),"","x")</f>
        <v/>
      </c>
      <c r="AC204" t="str">
        <f>IF(ISBLANK(JP!AD208),"","x")</f>
        <v/>
      </c>
      <c r="AD204" t="str">
        <f>IF(ISBLANK(JP!AE208),"","x")</f>
        <v/>
      </c>
      <c r="AE204" t="str">
        <f>IF(ISBLANK(JP!AF208),"","x")</f>
        <v/>
      </c>
      <c r="AF204" t="str">
        <f>IF(ISBLANK(JP!AG208),"","x")</f>
        <v/>
      </c>
      <c r="AG204" t="str">
        <f>IF(ISBLANK(JP!AH208),"","x")</f>
        <v/>
      </c>
      <c r="AH204" t="str">
        <f>IF(ISBLANK(JP!AJ208),"","x")</f>
        <v/>
      </c>
      <c r="AI204" t="str">
        <f>IF(ISBLANK(JP!AK208),"","x")</f>
        <v/>
      </c>
      <c r="AJ204" t="str">
        <f>IF(ISBLANK(JP!AL208),"","x")</f>
        <v/>
      </c>
      <c r="AK204" t="str">
        <f>IF(ISBLANK(JP!AM208),"","x")</f>
        <v/>
      </c>
      <c r="AL204" t="str">
        <f>IF(ISBLANK(JP!AN208),"","x")</f>
        <v/>
      </c>
      <c r="AM204" t="str">
        <f>IF(ISBLANK(JP!AO208),"","x")</f>
        <v/>
      </c>
      <c r="AN204" t="str">
        <f>IF(ISBLANK(JP!AP208),"","x")</f>
        <v/>
      </c>
      <c r="AO204" t="str">
        <f>IF(ISBLANK(JP!AR208),"","x")</f>
        <v/>
      </c>
      <c r="AP204" t="str">
        <f>IF(ISBLANK(JP!AS208),"","x")</f>
        <v/>
      </c>
      <c r="AQ204" t="str">
        <f>IF(ISBLANK(JP!AT208),"","x")</f>
        <v/>
      </c>
      <c r="AR204" t="str">
        <f>IF(ISBLANK(JP!AU208),"","x")</f>
        <v/>
      </c>
      <c r="AS204" t="str">
        <f>IF(ISBLANK(JP!AV208),"","x")</f>
        <v/>
      </c>
      <c r="AT204" t="str">
        <f>IF(ISBLANK(JP!AW208),"","x")</f>
        <v/>
      </c>
      <c r="AU204" t="str">
        <f>IF(ISBLANK(JP!AX208),"","x")</f>
        <v/>
      </c>
    </row>
    <row r="205" spans="2:47">
      <c r="B205">
        <f>IF(ISBLANK(JP!AZ209),"",JP!AZ209)</f>
        <v>10038137</v>
      </c>
      <c r="C205" t="str">
        <f>IF(ISBLANK(JP!BA209),"",JP!BA209)</f>
        <v>ANG MO SUPERMARKET (196A PUNGGOL FIELD)</v>
      </c>
      <c r="D205" t="str">
        <f>IF(ISBLANK(JP!BC209),"",JP!BC209)</f>
        <v>196A PUNGGOL FIELD</v>
      </c>
      <c r="E205">
        <f>IF(ISBLANK(JP!BB209),"",JP!BB209)</f>
        <v>1</v>
      </c>
      <c r="F205" t="str">
        <f>IF(ISBLANK(JP!D209),"","x")</f>
        <v/>
      </c>
      <c r="G205" t="str">
        <f>IF(ISBLANK(JP!E209),"","x")</f>
        <v/>
      </c>
      <c r="H205" t="str">
        <f>IF(ISBLANK(JP!F209),"","x")</f>
        <v/>
      </c>
      <c r="I205" t="str">
        <f>IF(ISBLANK(JP!G209),"","x")</f>
        <v/>
      </c>
      <c r="J205" t="str">
        <f>IF(ISBLANK(JP!H209),"","x")</f>
        <v/>
      </c>
      <c r="K205" t="str">
        <f>IF(ISBLANK(JP!I209),"","x")</f>
        <v/>
      </c>
      <c r="L205" t="str">
        <f>IF(ISBLANK(JP!J209),"","x")</f>
        <v/>
      </c>
      <c r="M205" t="str">
        <f>IF(ISBLANK(JP!L209),"","x")</f>
        <v/>
      </c>
      <c r="N205" t="str">
        <f>IF(ISBLANK(JP!M209),"","x")</f>
        <v/>
      </c>
      <c r="O205" t="str">
        <f>IF(ISBLANK(JP!N209),"","x")</f>
        <v/>
      </c>
      <c r="P205" t="str">
        <f>IF(ISBLANK(JP!O209),"","x")</f>
        <v/>
      </c>
      <c r="Q205" t="str">
        <f>IF(ISBLANK(JP!P209),"","x")</f>
        <v/>
      </c>
      <c r="R205" t="str">
        <f>IF(ISBLANK(JP!Q209),"","x")</f>
        <v/>
      </c>
      <c r="S205" t="str">
        <f>IF(ISBLANK(JP!R209),"","x")</f>
        <v/>
      </c>
      <c r="T205" t="str">
        <f>IF(ISBLANK(JP!T209),"","x")</f>
        <v/>
      </c>
      <c r="U205" t="str">
        <f>IF(ISBLANK(JP!U209),"","x")</f>
        <v/>
      </c>
      <c r="V205" t="str">
        <f>IF(ISBLANK(JP!V209),"","x")</f>
        <v/>
      </c>
      <c r="W205" t="str">
        <f>IF(ISBLANK(JP!W209),"","x")</f>
        <v/>
      </c>
      <c r="X205" t="str">
        <f>IF(ISBLANK(JP!X209),"","x")</f>
        <v/>
      </c>
      <c r="Y205" t="str">
        <f>IF(ISBLANK(JP!Y209),"","x")</f>
        <v/>
      </c>
      <c r="Z205" t="str">
        <f>IF(ISBLANK(JP!Z209),"","x")</f>
        <v/>
      </c>
      <c r="AA205" t="str">
        <f>IF(ISBLANK(JP!AB209),"","x")</f>
        <v/>
      </c>
      <c r="AB205" t="str">
        <f>IF(ISBLANK(JP!AC209),"","x")</f>
        <v/>
      </c>
      <c r="AC205" t="str">
        <f>IF(ISBLANK(JP!AD209),"","x")</f>
        <v/>
      </c>
      <c r="AD205" t="str">
        <f>IF(ISBLANK(JP!AE209),"","x")</f>
        <v/>
      </c>
      <c r="AE205" t="str">
        <f>IF(ISBLANK(JP!AF209),"","x")</f>
        <v/>
      </c>
      <c r="AF205" t="str">
        <f>IF(ISBLANK(JP!AG209),"","x")</f>
        <v/>
      </c>
      <c r="AG205" t="str">
        <f>IF(ISBLANK(JP!AH209),"","x")</f>
        <v/>
      </c>
      <c r="AH205" t="str">
        <f>IF(ISBLANK(JP!AJ209),"","x")</f>
        <v/>
      </c>
      <c r="AI205" t="str">
        <f>IF(ISBLANK(JP!AK209),"","x")</f>
        <v/>
      </c>
      <c r="AJ205" t="str">
        <f>IF(ISBLANK(JP!AL209),"","x")</f>
        <v/>
      </c>
      <c r="AK205" t="str">
        <f>IF(ISBLANK(JP!AM209),"","x")</f>
        <v/>
      </c>
      <c r="AL205" t="str">
        <f>IF(ISBLANK(JP!AN209),"","x")</f>
        <v/>
      </c>
      <c r="AM205" t="str">
        <f>IF(ISBLANK(JP!AO209),"","x")</f>
        <v/>
      </c>
      <c r="AN205" t="str">
        <f>IF(ISBLANK(JP!AP209),"","x")</f>
        <v/>
      </c>
      <c r="AO205" t="str">
        <f>IF(ISBLANK(JP!AR209),"","x")</f>
        <v/>
      </c>
      <c r="AP205" t="str">
        <f>IF(ISBLANK(JP!AS209),"","x")</f>
        <v/>
      </c>
      <c r="AQ205" t="str">
        <f>IF(ISBLANK(JP!AT209),"","x")</f>
        <v/>
      </c>
      <c r="AR205" t="str">
        <f>IF(ISBLANK(JP!AU209),"","x")</f>
        <v/>
      </c>
      <c r="AS205" t="str">
        <f>IF(ISBLANK(JP!AV209),"","x")</f>
        <v/>
      </c>
      <c r="AT205" t="str">
        <f>IF(ISBLANK(JP!AW209),"","x")</f>
        <v/>
      </c>
      <c r="AU205" t="str">
        <f>IF(ISBLANK(JP!AX209),"","x")</f>
        <v/>
      </c>
    </row>
    <row r="206" spans="2:47">
      <c r="B206">
        <f>IF(ISBLANK(JP!AZ210),"",JP!AZ210)</f>
        <v>10038136</v>
      </c>
      <c r="C206" t="str">
        <f>IF(ISBLANK(JP!BA210),"",JP!BA210)</f>
        <v>LI LI CHENG SUPERMARKET (PUNGGOL)PTE LTD</v>
      </c>
      <c r="D206" t="str">
        <f>IF(ISBLANK(JP!BC210),"",JP!BC210)</f>
        <v>273C PUNGGOL PLACE</v>
      </c>
      <c r="E206">
        <f>IF(ISBLANK(JP!BB210),"",JP!BB210)</f>
        <v>1</v>
      </c>
      <c r="F206" t="str">
        <f>IF(ISBLANK(JP!D210),"","x")</f>
        <v/>
      </c>
      <c r="G206" t="str">
        <f>IF(ISBLANK(JP!E210),"","x")</f>
        <v/>
      </c>
      <c r="H206" t="str">
        <f>IF(ISBLANK(JP!F210),"","x")</f>
        <v/>
      </c>
      <c r="I206" t="str">
        <f>IF(ISBLANK(JP!G210),"","x")</f>
        <v/>
      </c>
      <c r="J206" t="str">
        <f>IF(ISBLANK(JP!H210),"","x")</f>
        <v/>
      </c>
      <c r="K206" t="str">
        <f>IF(ISBLANK(JP!I210),"","x")</f>
        <v/>
      </c>
      <c r="L206" t="str">
        <f>IF(ISBLANK(JP!J210),"","x")</f>
        <v/>
      </c>
      <c r="M206" t="str">
        <f>IF(ISBLANK(JP!L210),"","x")</f>
        <v/>
      </c>
      <c r="N206" t="str">
        <f>IF(ISBLANK(JP!M210),"","x")</f>
        <v/>
      </c>
      <c r="O206" t="str">
        <f>IF(ISBLANK(JP!N210),"","x")</f>
        <v/>
      </c>
      <c r="P206" t="str">
        <f>IF(ISBLANK(JP!O210),"","x")</f>
        <v/>
      </c>
      <c r="Q206" t="str">
        <f>IF(ISBLANK(JP!P210),"","x")</f>
        <v/>
      </c>
      <c r="R206" t="str">
        <f>IF(ISBLANK(JP!Q210),"","x")</f>
        <v/>
      </c>
      <c r="S206" t="str">
        <f>IF(ISBLANK(JP!R210),"","x")</f>
        <v/>
      </c>
      <c r="T206" t="str">
        <f>IF(ISBLANK(JP!T210),"","x")</f>
        <v/>
      </c>
      <c r="U206" t="str">
        <f>IF(ISBLANK(JP!U210),"","x")</f>
        <v/>
      </c>
      <c r="V206" t="str">
        <f>IF(ISBLANK(JP!V210),"","x")</f>
        <v/>
      </c>
      <c r="W206" t="str">
        <f>IF(ISBLANK(JP!W210),"","x")</f>
        <v/>
      </c>
      <c r="X206" t="str">
        <f>IF(ISBLANK(JP!X210),"","x")</f>
        <v/>
      </c>
      <c r="Y206" t="str">
        <f>IF(ISBLANK(JP!Y210),"","x")</f>
        <v/>
      </c>
      <c r="Z206" t="str">
        <f>IF(ISBLANK(JP!Z210),"","x")</f>
        <v/>
      </c>
      <c r="AA206" t="str">
        <f>IF(ISBLANK(JP!AB210),"","x")</f>
        <v/>
      </c>
      <c r="AB206" t="str">
        <f>IF(ISBLANK(JP!AC210),"","x")</f>
        <v/>
      </c>
      <c r="AC206" t="str">
        <f>IF(ISBLANK(JP!AD210),"","x")</f>
        <v/>
      </c>
      <c r="AD206" t="str">
        <f>IF(ISBLANK(JP!AE210),"","x")</f>
        <v/>
      </c>
      <c r="AE206" t="str">
        <f>IF(ISBLANK(JP!AF210),"","x")</f>
        <v/>
      </c>
      <c r="AF206" t="str">
        <f>IF(ISBLANK(JP!AG210),"","x")</f>
        <v/>
      </c>
      <c r="AG206" t="str">
        <f>IF(ISBLANK(JP!AH210),"","x")</f>
        <v/>
      </c>
      <c r="AH206" t="str">
        <f>IF(ISBLANK(JP!AJ210),"","x")</f>
        <v/>
      </c>
      <c r="AI206" t="str">
        <f>IF(ISBLANK(JP!AK210),"","x")</f>
        <v/>
      </c>
      <c r="AJ206" t="str">
        <f>IF(ISBLANK(JP!AL210),"","x")</f>
        <v/>
      </c>
      <c r="AK206" t="str">
        <f>IF(ISBLANK(JP!AM210),"","x")</f>
        <v/>
      </c>
      <c r="AL206" t="str">
        <f>IF(ISBLANK(JP!AN210),"","x")</f>
        <v/>
      </c>
      <c r="AM206" t="str">
        <f>IF(ISBLANK(JP!AO210),"","x")</f>
        <v/>
      </c>
      <c r="AN206" t="str">
        <f>IF(ISBLANK(JP!AP210),"","x")</f>
        <v/>
      </c>
      <c r="AO206" t="str">
        <f>IF(ISBLANK(JP!AR210),"","x")</f>
        <v/>
      </c>
      <c r="AP206" t="str">
        <f>IF(ISBLANK(JP!AS210),"","x")</f>
        <v/>
      </c>
      <c r="AQ206" t="str">
        <f>IF(ISBLANK(JP!AT210),"","x")</f>
        <v/>
      </c>
      <c r="AR206" t="str">
        <f>IF(ISBLANK(JP!AU210),"","x")</f>
        <v/>
      </c>
      <c r="AS206" t="str">
        <f>IF(ISBLANK(JP!AV210),"","x")</f>
        <v/>
      </c>
      <c r="AT206" t="str">
        <f>IF(ISBLANK(JP!AW210),"","x")</f>
        <v/>
      </c>
      <c r="AU206" t="str">
        <f>IF(ISBLANK(JP!AX210),"","x")</f>
        <v/>
      </c>
    </row>
    <row r="207" spans="2:47">
      <c r="B207">
        <f>IF(ISBLANK(JP!AZ211),"",JP!AZ211)</f>
        <v>10045754</v>
      </c>
      <c r="C207" t="str">
        <f>IF(ISBLANK(JP!BA211),"",JP!BA211)</f>
        <v>HAO MART (PUNGGOL WALK)</v>
      </c>
      <c r="D207" t="str">
        <f>IF(ISBLANK(JP!BC211),"",JP!BC211)</f>
        <v>308C PUNGGOL WALK</v>
      </c>
      <c r="E207">
        <f>IF(ISBLANK(JP!BB211),"",JP!BB211)</f>
        <v>2</v>
      </c>
      <c r="F207" t="str">
        <f>IF(ISBLANK(JP!D211),"","x")</f>
        <v/>
      </c>
      <c r="G207" t="str">
        <f>IF(ISBLANK(JP!E211),"","x")</f>
        <v/>
      </c>
      <c r="H207" t="str">
        <f>IF(ISBLANK(JP!F211),"","x")</f>
        <v/>
      </c>
      <c r="I207" t="str">
        <f>IF(ISBLANK(JP!G211),"","x")</f>
        <v/>
      </c>
      <c r="J207" t="str">
        <f>IF(ISBLANK(JP!H211),"","x")</f>
        <v/>
      </c>
      <c r="K207" t="str">
        <f>IF(ISBLANK(JP!I211),"","x")</f>
        <v/>
      </c>
      <c r="L207" t="str">
        <f>IF(ISBLANK(JP!J211),"","x")</f>
        <v/>
      </c>
      <c r="M207" t="str">
        <f>IF(ISBLANK(JP!L211),"","x")</f>
        <v/>
      </c>
      <c r="N207" t="str">
        <f>IF(ISBLANK(JP!M211),"","x")</f>
        <v/>
      </c>
      <c r="O207" t="str">
        <f>IF(ISBLANK(JP!N211),"","x")</f>
        <v/>
      </c>
      <c r="P207" t="str">
        <f>IF(ISBLANK(JP!O211),"","x")</f>
        <v/>
      </c>
      <c r="Q207" t="str">
        <f>IF(ISBLANK(JP!P211),"","x")</f>
        <v/>
      </c>
      <c r="R207" t="str">
        <f>IF(ISBLANK(JP!Q211),"","x")</f>
        <v/>
      </c>
      <c r="S207" t="str">
        <f>IF(ISBLANK(JP!R211),"","x")</f>
        <v/>
      </c>
      <c r="T207" t="str">
        <f>IF(ISBLANK(JP!T211),"","x")</f>
        <v/>
      </c>
      <c r="U207" t="str">
        <f>IF(ISBLANK(JP!U211),"","x")</f>
        <v/>
      </c>
      <c r="V207" t="str">
        <f>IF(ISBLANK(JP!V211),"","x")</f>
        <v/>
      </c>
      <c r="W207" t="str">
        <f>IF(ISBLANK(JP!W211),"","x")</f>
        <v/>
      </c>
      <c r="X207" t="str">
        <f>IF(ISBLANK(JP!X211),"","x")</f>
        <v/>
      </c>
      <c r="Y207" t="str">
        <f>IF(ISBLANK(JP!Y211),"","x")</f>
        <v/>
      </c>
      <c r="Z207" t="str">
        <f>IF(ISBLANK(JP!Z211),"","x")</f>
        <v/>
      </c>
      <c r="AA207" t="str">
        <f>IF(ISBLANK(JP!AB211),"","x")</f>
        <v/>
      </c>
      <c r="AB207" t="str">
        <f>IF(ISBLANK(JP!AC211),"","x")</f>
        <v/>
      </c>
      <c r="AC207" t="str">
        <f>IF(ISBLANK(JP!AD211),"","x")</f>
        <v/>
      </c>
      <c r="AD207" t="str">
        <f>IF(ISBLANK(JP!AE211),"","x")</f>
        <v/>
      </c>
      <c r="AE207" t="str">
        <f>IF(ISBLANK(JP!AF211),"","x")</f>
        <v/>
      </c>
      <c r="AF207" t="str">
        <f>IF(ISBLANK(JP!AG211),"","x")</f>
        <v/>
      </c>
      <c r="AG207" t="str">
        <f>IF(ISBLANK(JP!AH211),"","x")</f>
        <v/>
      </c>
      <c r="AH207" t="str">
        <f>IF(ISBLANK(JP!AJ211),"","x")</f>
        <v/>
      </c>
      <c r="AI207" t="str">
        <f>IF(ISBLANK(JP!AK211),"","x")</f>
        <v/>
      </c>
      <c r="AJ207" t="str">
        <f>IF(ISBLANK(JP!AL211),"","x")</f>
        <v/>
      </c>
      <c r="AK207" t="str">
        <f>IF(ISBLANK(JP!AM211),"","x")</f>
        <v/>
      </c>
      <c r="AL207" t="str">
        <f>IF(ISBLANK(JP!AN211),"","x")</f>
        <v/>
      </c>
      <c r="AM207" t="str">
        <f>IF(ISBLANK(JP!AO211),"","x")</f>
        <v/>
      </c>
      <c r="AN207" t="str">
        <f>IF(ISBLANK(JP!AP211),"","x")</f>
        <v/>
      </c>
      <c r="AO207" t="str">
        <f>IF(ISBLANK(JP!AR211),"","x")</f>
        <v/>
      </c>
      <c r="AP207" t="str">
        <f>IF(ISBLANK(JP!AS211),"","x")</f>
        <v/>
      </c>
      <c r="AQ207" t="str">
        <f>IF(ISBLANK(JP!AT211),"","x")</f>
        <v/>
      </c>
      <c r="AR207" t="str">
        <f>IF(ISBLANK(JP!AU211),"","x")</f>
        <v/>
      </c>
      <c r="AS207" t="str">
        <f>IF(ISBLANK(JP!AV211),"","x")</f>
        <v/>
      </c>
      <c r="AT207" t="str">
        <f>IF(ISBLANK(JP!AW211),"","x")</f>
        <v/>
      </c>
      <c r="AU207" t="str">
        <f>IF(ISBLANK(JP!AX211),"","x")</f>
        <v/>
      </c>
    </row>
    <row r="208" spans="2:47">
      <c r="B208">
        <f>IF(ISBLANK(JP!AZ212),"",JP!AZ212)</f>
        <v>10043358</v>
      </c>
      <c r="C208" t="str">
        <f>IF(ISBLANK(JP!BA212),"",JP!BA212)</f>
        <v>BUZZ (PUNGGOL 211D)</v>
      </c>
      <c r="D208" t="str">
        <f>IF(ISBLANK(JP!BC212),"",JP!BC212)</f>
        <v>211D PUNGGOL WALK</v>
      </c>
      <c r="E208">
        <f>IF(ISBLANK(JP!BB212),"",JP!BB212)</f>
        <v>1</v>
      </c>
      <c r="F208" t="str">
        <f>IF(ISBLANK(JP!D212),"","x")</f>
        <v/>
      </c>
      <c r="G208" t="str">
        <f>IF(ISBLANK(JP!E212),"","x")</f>
        <v/>
      </c>
      <c r="H208" t="str">
        <f>IF(ISBLANK(JP!F212),"","x")</f>
        <v/>
      </c>
      <c r="I208" t="str">
        <f>IF(ISBLANK(JP!G212),"","x")</f>
        <v/>
      </c>
      <c r="J208" t="str">
        <f>IF(ISBLANK(JP!H212),"","x")</f>
        <v/>
      </c>
      <c r="K208" t="str">
        <f>IF(ISBLANK(JP!I212),"","x")</f>
        <v/>
      </c>
      <c r="L208" t="str">
        <f>IF(ISBLANK(JP!J212),"","x")</f>
        <v/>
      </c>
      <c r="M208" t="str">
        <f>IF(ISBLANK(JP!L212),"","x")</f>
        <v/>
      </c>
      <c r="N208" t="str">
        <f>IF(ISBLANK(JP!M212),"","x")</f>
        <v/>
      </c>
      <c r="O208" t="str">
        <f>IF(ISBLANK(JP!N212),"","x")</f>
        <v/>
      </c>
      <c r="P208" t="str">
        <f>IF(ISBLANK(JP!O212),"","x")</f>
        <v/>
      </c>
      <c r="Q208" t="str">
        <f>IF(ISBLANK(JP!P212),"","x")</f>
        <v/>
      </c>
      <c r="R208" t="str">
        <f>IF(ISBLANK(JP!Q212),"","x")</f>
        <v/>
      </c>
      <c r="S208" t="str">
        <f>IF(ISBLANK(JP!R212),"","x")</f>
        <v/>
      </c>
      <c r="T208" t="str">
        <f>IF(ISBLANK(JP!T212),"","x")</f>
        <v/>
      </c>
      <c r="U208" t="str">
        <f>IF(ISBLANK(JP!U212),"","x")</f>
        <v/>
      </c>
      <c r="V208" t="str">
        <f>IF(ISBLANK(JP!V212),"","x")</f>
        <v/>
      </c>
      <c r="W208" t="str">
        <f>IF(ISBLANK(JP!W212),"","x")</f>
        <v/>
      </c>
      <c r="X208" t="str">
        <f>IF(ISBLANK(JP!X212),"","x")</f>
        <v/>
      </c>
      <c r="Y208" t="str">
        <f>IF(ISBLANK(JP!Y212),"","x")</f>
        <v/>
      </c>
      <c r="Z208" t="str">
        <f>IF(ISBLANK(JP!Z212),"","x")</f>
        <v/>
      </c>
      <c r="AA208" t="str">
        <f>IF(ISBLANK(JP!AB212),"","x")</f>
        <v/>
      </c>
      <c r="AB208" t="str">
        <f>IF(ISBLANK(JP!AC212),"","x")</f>
        <v/>
      </c>
      <c r="AC208" t="str">
        <f>IF(ISBLANK(JP!AD212),"","x")</f>
        <v/>
      </c>
      <c r="AD208" t="str">
        <f>IF(ISBLANK(JP!AE212),"","x")</f>
        <v/>
      </c>
      <c r="AE208" t="str">
        <f>IF(ISBLANK(JP!AF212),"","x")</f>
        <v/>
      </c>
      <c r="AF208" t="str">
        <f>IF(ISBLANK(JP!AG212),"","x")</f>
        <v/>
      </c>
      <c r="AG208" t="str">
        <f>IF(ISBLANK(JP!AH212),"","x")</f>
        <v/>
      </c>
      <c r="AH208" t="str">
        <f>IF(ISBLANK(JP!AJ212),"","x")</f>
        <v/>
      </c>
      <c r="AI208" t="str">
        <f>IF(ISBLANK(JP!AK212),"","x")</f>
        <v/>
      </c>
      <c r="AJ208" t="str">
        <f>IF(ISBLANK(JP!AL212),"","x")</f>
        <v/>
      </c>
      <c r="AK208" t="str">
        <f>IF(ISBLANK(JP!AM212),"","x")</f>
        <v/>
      </c>
      <c r="AL208" t="str">
        <f>IF(ISBLANK(JP!AN212),"","x")</f>
        <v/>
      </c>
      <c r="AM208" t="str">
        <f>IF(ISBLANK(JP!AO212),"","x")</f>
        <v/>
      </c>
      <c r="AN208" t="str">
        <f>IF(ISBLANK(JP!AP212),"","x")</f>
        <v/>
      </c>
      <c r="AO208" t="str">
        <f>IF(ISBLANK(JP!AR212),"","x")</f>
        <v/>
      </c>
      <c r="AP208" t="str">
        <f>IF(ISBLANK(JP!AS212),"","x")</f>
        <v/>
      </c>
      <c r="AQ208" t="str">
        <f>IF(ISBLANK(JP!AT212),"","x")</f>
        <v/>
      </c>
      <c r="AR208" t="str">
        <f>IF(ISBLANK(JP!AU212),"","x")</f>
        <v/>
      </c>
      <c r="AS208" t="str">
        <f>IF(ISBLANK(JP!AV212),"","x")</f>
        <v/>
      </c>
      <c r="AT208" t="str">
        <f>IF(ISBLANK(JP!AW212),"","x")</f>
        <v/>
      </c>
      <c r="AU208" t="str">
        <f>IF(ISBLANK(JP!AX212),"","x")</f>
        <v/>
      </c>
    </row>
    <row r="209" spans="2:47">
      <c r="B209">
        <f>IF(ISBLANK(JP!AZ213),"",JP!AZ213)</f>
        <v>10045628</v>
      </c>
      <c r="C209" t="str">
        <f>IF(ISBLANK(JP!BA213),"",JP!BA213)</f>
        <v>12 HOURS</v>
      </c>
      <c r="D209" t="str">
        <f>IF(ISBLANK(JP!BC213),"",JP!BC213)</f>
        <v>31 PUNGGOL WAY</v>
      </c>
      <c r="E209">
        <f>IF(ISBLANK(JP!BB213),"",JP!BB213)</f>
        <v>1</v>
      </c>
      <c r="F209" t="str">
        <f>IF(ISBLANK(JP!D213),"","x")</f>
        <v/>
      </c>
      <c r="G209" t="str">
        <f>IF(ISBLANK(JP!E213),"","x")</f>
        <v/>
      </c>
      <c r="H209" t="str">
        <f>IF(ISBLANK(JP!F213),"","x")</f>
        <v/>
      </c>
      <c r="I209" t="str">
        <f>IF(ISBLANK(JP!G213),"","x")</f>
        <v/>
      </c>
      <c r="J209" t="str">
        <f>IF(ISBLANK(JP!H213),"","x")</f>
        <v/>
      </c>
      <c r="K209" t="str">
        <f>IF(ISBLANK(JP!I213),"","x")</f>
        <v/>
      </c>
      <c r="L209" t="str">
        <f>IF(ISBLANK(JP!J213),"","x")</f>
        <v/>
      </c>
      <c r="M209" t="str">
        <f>IF(ISBLANK(JP!L213),"","x")</f>
        <v/>
      </c>
      <c r="N209" t="str">
        <f>IF(ISBLANK(JP!M213),"","x")</f>
        <v/>
      </c>
      <c r="O209" t="str">
        <f>IF(ISBLANK(JP!N213),"","x")</f>
        <v/>
      </c>
      <c r="P209" t="str">
        <f>IF(ISBLANK(JP!O213),"","x")</f>
        <v/>
      </c>
      <c r="Q209" t="str">
        <f>IF(ISBLANK(JP!P213),"","x")</f>
        <v/>
      </c>
      <c r="R209" t="str">
        <f>IF(ISBLANK(JP!Q213),"","x")</f>
        <v/>
      </c>
      <c r="S209" t="str">
        <f>IF(ISBLANK(JP!R213),"","x")</f>
        <v/>
      </c>
      <c r="T209" t="str">
        <f>IF(ISBLANK(JP!T213),"","x")</f>
        <v/>
      </c>
      <c r="U209" t="str">
        <f>IF(ISBLANK(JP!U213),"","x")</f>
        <v/>
      </c>
      <c r="V209" t="str">
        <f>IF(ISBLANK(JP!V213),"","x")</f>
        <v/>
      </c>
      <c r="W209" t="str">
        <f>IF(ISBLANK(JP!W213),"","x")</f>
        <v/>
      </c>
      <c r="X209" t="str">
        <f>IF(ISBLANK(JP!X213),"","x")</f>
        <v/>
      </c>
      <c r="Y209" t="str">
        <f>IF(ISBLANK(JP!Y213),"","x")</f>
        <v/>
      </c>
      <c r="Z209" t="str">
        <f>IF(ISBLANK(JP!Z213),"","x")</f>
        <v/>
      </c>
      <c r="AA209" t="str">
        <f>IF(ISBLANK(JP!AB213),"","x")</f>
        <v/>
      </c>
      <c r="AB209" t="str">
        <f>IF(ISBLANK(JP!AC213),"","x")</f>
        <v/>
      </c>
      <c r="AC209" t="str">
        <f>IF(ISBLANK(JP!AD213),"","x")</f>
        <v/>
      </c>
      <c r="AD209" t="str">
        <f>IF(ISBLANK(JP!AE213),"","x")</f>
        <v/>
      </c>
      <c r="AE209" t="str">
        <f>IF(ISBLANK(JP!AF213),"","x")</f>
        <v/>
      </c>
      <c r="AF209" t="str">
        <f>IF(ISBLANK(JP!AG213),"","x")</f>
        <v/>
      </c>
      <c r="AG209" t="str">
        <f>IF(ISBLANK(JP!AH213),"","x")</f>
        <v/>
      </c>
      <c r="AH209" t="str">
        <f>IF(ISBLANK(JP!AJ213),"","x")</f>
        <v/>
      </c>
      <c r="AI209" t="str">
        <f>IF(ISBLANK(JP!AK213),"","x")</f>
        <v/>
      </c>
      <c r="AJ209" t="str">
        <f>IF(ISBLANK(JP!AL213),"","x")</f>
        <v/>
      </c>
      <c r="AK209" t="str">
        <f>IF(ISBLANK(JP!AM213),"","x")</f>
        <v/>
      </c>
      <c r="AL209" t="str">
        <f>IF(ISBLANK(JP!AN213),"","x")</f>
        <v/>
      </c>
      <c r="AM209" t="str">
        <f>IF(ISBLANK(JP!AO213),"","x")</f>
        <v/>
      </c>
      <c r="AN209" t="str">
        <f>IF(ISBLANK(JP!AP213),"","x")</f>
        <v/>
      </c>
      <c r="AO209" t="str">
        <f>IF(ISBLANK(JP!AR213),"","x")</f>
        <v/>
      </c>
      <c r="AP209" t="str">
        <f>IF(ISBLANK(JP!AS213),"","x")</f>
        <v/>
      </c>
      <c r="AQ209" t="str">
        <f>IF(ISBLANK(JP!AT213),"","x")</f>
        <v/>
      </c>
      <c r="AR209" t="str">
        <f>IF(ISBLANK(JP!AU213),"","x")</f>
        <v/>
      </c>
      <c r="AS209" t="str">
        <f>IF(ISBLANK(JP!AV213),"","x")</f>
        <v/>
      </c>
      <c r="AT209" t="str">
        <f>IF(ISBLANK(JP!AW213),"","x")</f>
        <v/>
      </c>
      <c r="AU209" t="str">
        <f>IF(ISBLANK(JP!AX213),"","x")</f>
        <v/>
      </c>
    </row>
    <row r="210" spans="2:47">
      <c r="B210">
        <f>IF(ISBLANK(JP!AZ214),"",JP!AZ214)</f>
        <v>10041124</v>
      </c>
      <c r="C210" t="str">
        <f>IF(ISBLANK(JP!BA214),"",JP!BA214)</f>
        <v>DAE SSIK SIN</v>
      </c>
      <c r="D210" t="str">
        <f>IF(ISBLANK(JP!BC214),"",JP!BC214)</f>
        <v>23 SERANGOON CENTRAL</v>
      </c>
      <c r="E210">
        <f>IF(ISBLANK(JP!BB214),"",JP!BB214)</f>
        <v>1</v>
      </c>
      <c r="F210" t="str">
        <f>IF(ISBLANK(JP!D214),"","x")</f>
        <v/>
      </c>
      <c r="G210" t="str">
        <f>IF(ISBLANK(JP!E214),"","x")</f>
        <v/>
      </c>
      <c r="H210" t="str">
        <f>IF(ISBLANK(JP!F214),"","x")</f>
        <v/>
      </c>
      <c r="I210" t="str">
        <f>IF(ISBLANK(JP!G214),"","x")</f>
        <v/>
      </c>
      <c r="J210" t="str">
        <f>IF(ISBLANK(JP!H214),"","x")</f>
        <v/>
      </c>
      <c r="K210" t="str">
        <f>IF(ISBLANK(JP!I214),"","x")</f>
        <v/>
      </c>
      <c r="L210" t="str">
        <f>IF(ISBLANK(JP!J214),"","x")</f>
        <v/>
      </c>
      <c r="M210" t="str">
        <f>IF(ISBLANK(JP!L214),"","x")</f>
        <v/>
      </c>
      <c r="N210" t="str">
        <f>IF(ISBLANK(JP!M214),"","x")</f>
        <v/>
      </c>
      <c r="O210" t="str">
        <f>IF(ISBLANK(JP!N214),"","x")</f>
        <v/>
      </c>
      <c r="P210" t="str">
        <f>IF(ISBLANK(JP!O214),"","x")</f>
        <v/>
      </c>
      <c r="Q210" t="str">
        <f>IF(ISBLANK(JP!P214),"","x")</f>
        <v/>
      </c>
      <c r="R210" t="str">
        <f>IF(ISBLANK(JP!Q214),"","x")</f>
        <v/>
      </c>
      <c r="S210" t="str">
        <f>IF(ISBLANK(JP!R214),"","x")</f>
        <v/>
      </c>
      <c r="T210" t="str">
        <f>IF(ISBLANK(JP!T214),"","x")</f>
        <v/>
      </c>
      <c r="U210" t="str">
        <f>IF(ISBLANK(JP!U214),"","x")</f>
        <v/>
      </c>
      <c r="V210" t="str">
        <f>IF(ISBLANK(JP!V214),"","x")</f>
        <v/>
      </c>
      <c r="W210" t="str">
        <f>IF(ISBLANK(JP!W214),"","x")</f>
        <v/>
      </c>
      <c r="X210" t="str">
        <f>IF(ISBLANK(JP!X214),"","x")</f>
        <v/>
      </c>
      <c r="Y210" t="str">
        <f>IF(ISBLANK(JP!Y214),"","x")</f>
        <v/>
      </c>
      <c r="Z210" t="str">
        <f>IF(ISBLANK(JP!Z214),"","x")</f>
        <v/>
      </c>
      <c r="AA210" t="str">
        <f>IF(ISBLANK(JP!AB214),"","x")</f>
        <v/>
      </c>
      <c r="AB210" t="str">
        <f>IF(ISBLANK(JP!AC214),"","x")</f>
        <v/>
      </c>
      <c r="AC210" t="str">
        <f>IF(ISBLANK(JP!AD214),"","x")</f>
        <v/>
      </c>
      <c r="AD210" t="str">
        <f>IF(ISBLANK(JP!AE214),"","x")</f>
        <v/>
      </c>
      <c r="AE210" t="str">
        <f>IF(ISBLANK(JP!AF214),"","x")</f>
        <v/>
      </c>
      <c r="AF210" t="str">
        <f>IF(ISBLANK(JP!AG214),"","x")</f>
        <v/>
      </c>
      <c r="AG210" t="str">
        <f>IF(ISBLANK(JP!AH214),"","x")</f>
        <v/>
      </c>
      <c r="AH210" t="str">
        <f>IF(ISBLANK(JP!AJ214),"","x")</f>
        <v/>
      </c>
      <c r="AI210" t="str">
        <f>IF(ISBLANK(JP!AK214),"","x")</f>
        <v/>
      </c>
      <c r="AJ210" t="str">
        <f>IF(ISBLANK(JP!AL214),"","x")</f>
        <v/>
      </c>
      <c r="AK210" t="str">
        <f>IF(ISBLANK(JP!AM214),"","x")</f>
        <v/>
      </c>
      <c r="AL210" t="str">
        <f>IF(ISBLANK(JP!AN214),"","x")</f>
        <v/>
      </c>
      <c r="AM210" t="str">
        <f>IF(ISBLANK(JP!AO214),"","x")</f>
        <v/>
      </c>
      <c r="AN210" t="str">
        <f>IF(ISBLANK(JP!AP214),"","x")</f>
        <v/>
      </c>
      <c r="AO210" t="str">
        <f>IF(ISBLANK(JP!AR214),"","x")</f>
        <v/>
      </c>
      <c r="AP210" t="str">
        <f>IF(ISBLANK(JP!AS214),"","x")</f>
        <v/>
      </c>
      <c r="AQ210" t="str">
        <f>IF(ISBLANK(JP!AT214),"","x")</f>
        <v/>
      </c>
      <c r="AR210" t="str">
        <f>IF(ISBLANK(JP!AU214),"","x")</f>
        <v/>
      </c>
      <c r="AS210" t="str">
        <f>IF(ISBLANK(JP!AV214),"","x")</f>
        <v/>
      </c>
      <c r="AT210" t="str">
        <f>IF(ISBLANK(JP!AW214),"","x")</f>
        <v/>
      </c>
      <c r="AU210" t="str">
        <f>IF(ISBLANK(JP!AX214),"","x")</f>
        <v/>
      </c>
    </row>
    <row r="211" spans="2:47">
      <c r="B211">
        <f>IF(ISBLANK(JP!AZ215),"",JP!AZ215)</f>
        <v>10043310</v>
      </c>
      <c r="C211" t="str">
        <f>IF(ISBLANK(JP!BA215),"",JP!BA215)</f>
        <v>THE TIPSY COW @ BURGHLEY</v>
      </c>
      <c r="D211" t="str">
        <f>IF(ISBLANK(JP!BC215),"",JP!BC215)</f>
        <v>45 BURGHLEY DRIVE</v>
      </c>
      <c r="E211">
        <f>IF(ISBLANK(JP!BB215),"",JP!BB215)</f>
        <v>2</v>
      </c>
      <c r="F211" t="str">
        <f>IF(ISBLANK(JP!D215),"","x")</f>
        <v/>
      </c>
      <c r="G211" t="str">
        <f>IF(ISBLANK(JP!E215),"","x")</f>
        <v/>
      </c>
      <c r="H211" t="str">
        <f>IF(ISBLANK(JP!F215),"","x")</f>
        <v/>
      </c>
      <c r="I211" t="str">
        <f>IF(ISBLANK(JP!G215),"","x")</f>
        <v/>
      </c>
      <c r="J211" t="str">
        <f>IF(ISBLANK(JP!H215),"","x")</f>
        <v/>
      </c>
      <c r="K211" t="str">
        <f>IF(ISBLANK(JP!I215),"","x")</f>
        <v/>
      </c>
      <c r="L211" t="str">
        <f>IF(ISBLANK(JP!J215),"","x")</f>
        <v/>
      </c>
      <c r="M211" t="str">
        <f>IF(ISBLANK(JP!L215),"","x")</f>
        <v/>
      </c>
      <c r="N211" t="str">
        <f>IF(ISBLANK(JP!M215),"","x")</f>
        <v/>
      </c>
      <c r="O211" t="str">
        <f>IF(ISBLANK(JP!N215),"","x")</f>
        <v/>
      </c>
      <c r="P211" t="str">
        <f>IF(ISBLANK(JP!O215),"","x")</f>
        <v/>
      </c>
      <c r="Q211" t="str">
        <f>IF(ISBLANK(JP!P215),"","x")</f>
        <v/>
      </c>
      <c r="R211" t="str">
        <f>IF(ISBLANK(JP!Q215),"","x")</f>
        <v/>
      </c>
      <c r="S211" t="str">
        <f>IF(ISBLANK(JP!R215),"","x")</f>
        <v/>
      </c>
      <c r="T211" t="str">
        <f>IF(ISBLANK(JP!T215),"","x")</f>
        <v/>
      </c>
      <c r="U211" t="str">
        <f>IF(ISBLANK(JP!U215),"","x")</f>
        <v/>
      </c>
      <c r="V211" t="str">
        <f>IF(ISBLANK(JP!V215),"","x")</f>
        <v/>
      </c>
      <c r="W211" t="str">
        <f>IF(ISBLANK(JP!W215),"","x")</f>
        <v/>
      </c>
      <c r="X211" t="str">
        <f>IF(ISBLANK(JP!X215),"","x")</f>
        <v/>
      </c>
      <c r="Y211" t="str">
        <f>IF(ISBLANK(JP!Y215),"","x")</f>
        <v/>
      </c>
      <c r="Z211" t="str">
        <f>IF(ISBLANK(JP!Z215),"","x")</f>
        <v/>
      </c>
      <c r="AA211" t="str">
        <f>IF(ISBLANK(JP!AB215),"","x")</f>
        <v/>
      </c>
      <c r="AB211" t="str">
        <f>IF(ISBLANK(JP!AC215),"","x")</f>
        <v/>
      </c>
      <c r="AC211" t="str">
        <f>IF(ISBLANK(JP!AD215),"","x")</f>
        <v/>
      </c>
      <c r="AD211" t="str">
        <f>IF(ISBLANK(JP!AE215),"","x")</f>
        <v/>
      </c>
      <c r="AE211" t="str">
        <f>IF(ISBLANK(JP!AF215),"","x")</f>
        <v/>
      </c>
      <c r="AF211" t="str">
        <f>IF(ISBLANK(JP!AG215),"","x")</f>
        <v/>
      </c>
      <c r="AG211" t="str">
        <f>IF(ISBLANK(JP!AH215),"","x")</f>
        <v/>
      </c>
      <c r="AH211" t="str">
        <f>IF(ISBLANK(JP!AJ215),"","x")</f>
        <v/>
      </c>
      <c r="AI211" t="str">
        <f>IF(ISBLANK(JP!AK215),"","x")</f>
        <v/>
      </c>
      <c r="AJ211" t="str">
        <f>IF(ISBLANK(JP!AL215),"","x")</f>
        <v/>
      </c>
      <c r="AK211" t="str">
        <f>IF(ISBLANK(JP!AM215),"","x")</f>
        <v/>
      </c>
      <c r="AL211" t="str">
        <f>IF(ISBLANK(JP!AN215),"","x")</f>
        <v/>
      </c>
      <c r="AM211" t="str">
        <f>IF(ISBLANK(JP!AO215),"","x")</f>
        <v/>
      </c>
      <c r="AN211" t="str">
        <f>IF(ISBLANK(JP!AP215),"","x")</f>
        <v/>
      </c>
      <c r="AO211" t="str">
        <f>IF(ISBLANK(JP!AR215),"","x")</f>
        <v/>
      </c>
      <c r="AP211" t="str">
        <f>IF(ISBLANK(JP!AS215),"","x")</f>
        <v/>
      </c>
      <c r="AQ211" t="str">
        <f>IF(ISBLANK(JP!AT215),"","x")</f>
        <v/>
      </c>
      <c r="AR211" t="str">
        <f>IF(ISBLANK(JP!AU215),"","x")</f>
        <v/>
      </c>
      <c r="AS211" t="str">
        <f>IF(ISBLANK(JP!AV215),"","x")</f>
        <v/>
      </c>
      <c r="AT211" t="str">
        <f>IF(ISBLANK(JP!AW215),"","x")</f>
        <v/>
      </c>
      <c r="AU211" t="str">
        <f>IF(ISBLANK(JP!AX215),"","x")</f>
        <v/>
      </c>
    </row>
    <row r="212" spans="2:47">
      <c r="B212">
        <f>IF(ISBLANK(JP!AZ216),"",JP!AZ216)</f>
        <v>10045962</v>
      </c>
      <c r="C212" t="str">
        <f>IF(ISBLANK(JP!BA216),"",JP!BA216)</f>
        <v>COLLINS @ AMK</v>
      </c>
      <c r="D212" t="str">
        <f>IF(ISBLANK(JP!BC216),"",JP!BC216)</f>
        <v>61 ANG MO KIO AVENUE 8</v>
      </c>
      <c r="E212">
        <f>IF(ISBLANK(JP!BB216),"",JP!BB216)</f>
        <v>2</v>
      </c>
      <c r="F212" t="str">
        <f>IF(ISBLANK(JP!D216),"","x")</f>
        <v/>
      </c>
      <c r="G212" t="str">
        <f>IF(ISBLANK(JP!E216),"","x")</f>
        <v/>
      </c>
      <c r="H212" t="str">
        <f>IF(ISBLANK(JP!F216),"","x")</f>
        <v/>
      </c>
      <c r="I212" t="str">
        <f>IF(ISBLANK(JP!G216),"","x")</f>
        <v/>
      </c>
      <c r="J212" t="str">
        <f>IF(ISBLANK(JP!H216),"","x")</f>
        <v/>
      </c>
      <c r="K212" t="str">
        <f>IF(ISBLANK(JP!I216),"","x")</f>
        <v/>
      </c>
      <c r="L212" t="str">
        <f>IF(ISBLANK(JP!J216),"","x")</f>
        <v/>
      </c>
      <c r="M212" t="str">
        <f>IF(ISBLANK(JP!L216),"","x")</f>
        <v/>
      </c>
      <c r="N212" t="str">
        <f>IF(ISBLANK(JP!M216),"","x")</f>
        <v/>
      </c>
      <c r="O212" t="str">
        <f>IF(ISBLANK(JP!N216),"","x")</f>
        <v/>
      </c>
      <c r="P212" t="str">
        <f>IF(ISBLANK(JP!O216),"","x")</f>
        <v/>
      </c>
      <c r="Q212" t="str">
        <f>IF(ISBLANK(JP!P216),"","x")</f>
        <v/>
      </c>
      <c r="R212" t="str">
        <f>IF(ISBLANK(JP!Q216),"","x")</f>
        <v/>
      </c>
      <c r="S212" t="str">
        <f>IF(ISBLANK(JP!R216),"","x")</f>
        <v/>
      </c>
      <c r="T212" t="str">
        <f>IF(ISBLANK(JP!T216),"","x")</f>
        <v/>
      </c>
      <c r="U212" t="str">
        <f>IF(ISBLANK(JP!U216),"","x")</f>
        <v/>
      </c>
      <c r="V212" t="str">
        <f>IF(ISBLANK(JP!V216),"","x")</f>
        <v/>
      </c>
      <c r="W212" t="str">
        <f>IF(ISBLANK(JP!W216),"","x")</f>
        <v/>
      </c>
      <c r="X212" t="str">
        <f>IF(ISBLANK(JP!X216),"","x")</f>
        <v/>
      </c>
      <c r="Y212" t="str">
        <f>IF(ISBLANK(JP!Y216),"","x")</f>
        <v/>
      </c>
      <c r="Z212" t="str">
        <f>IF(ISBLANK(JP!Z216),"","x")</f>
        <v/>
      </c>
      <c r="AA212" t="str">
        <f>IF(ISBLANK(JP!AB216),"","x")</f>
        <v/>
      </c>
      <c r="AB212" t="str">
        <f>IF(ISBLANK(JP!AC216),"","x")</f>
        <v/>
      </c>
      <c r="AC212" t="str">
        <f>IF(ISBLANK(JP!AD216),"","x")</f>
        <v/>
      </c>
      <c r="AD212" t="str">
        <f>IF(ISBLANK(JP!AE216),"","x")</f>
        <v/>
      </c>
      <c r="AE212" t="str">
        <f>IF(ISBLANK(JP!AF216),"","x")</f>
        <v/>
      </c>
      <c r="AF212" t="str">
        <f>IF(ISBLANK(JP!AG216),"","x")</f>
        <v/>
      </c>
      <c r="AG212" t="str">
        <f>IF(ISBLANK(JP!AH216),"","x")</f>
        <v/>
      </c>
      <c r="AH212" t="str">
        <f>IF(ISBLANK(JP!AJ216),"","x")</f>
        <v/>
      </c>
      <c r="AI212" t="str">
        <f>IF(ISBLANK(JP!AK216),"","x")</f>
        <v/>
      </c>
      <c r="AJ212" t="str">
        <f>IF(ISBLANK(JP!AL216),"","x")</f>
        <v/>
      </c>
      <c r="AK212" t="str">
        <f>IF(ISBLANK(JP!AM216),"","x")</f>
        <v/>
      </c>
      <c r="AL212" t="str">
        <f>IF(ISBLANK(JP!AN216),"","x")</f>
        <v/>
      </c>
      <c r="AM212" t="str">
        <f>IF(ISBLANK(JP!AO216),"","x")</f>
        <v/>
      </c>
      <c r="AN212" t="str">
        <f>IF(ISBLANK(JP!AP216),"","x")</f>
        <v/>
      </c>
      <c r="AO212" t="str">
        <f>IF(ISBLANK(JP!AR216),"","x")</f>
        <v/>
      </c>
      <c r="AP212" t="str">
        <f>IF(ISBLANK(JP!AS216),"","x")</f>
        <v/>
      </c>
      <c r="AQ212" t="str">
        <f>IF(ISBLANK(JP!AT216),"","x")</f>
        <v/>
      </c>
      <c r="AR212" t="str">
        <f>IF(ISBLANK(JP!AU216),"","x")</f>
        <v/>
      </c>
      <c r="AS212" t="str">
        <f>IF(ISBLANK(JP!AV216),"","x")</f>
        <v/>
      </c>
      <c r="AT212" t="str">
        <f>IF(ISBLANK(JP!AW216),"","x")</f>
        <v/>
      </c>
      <c r="AU212" t="str">
        <f>IF(ISBLANK(JP!AX216),"","x")</f>
        <v/>
      </c>
    </row>
    <row r="213" spans="2:47">
      <c r="B213">
        <f>IF(ISBLANK(JP!AZ217),"",JP!AZ217)</f>
        <v>10038559</v>
      </c>
      <c r="C213" t="str">
        <f>IF(ISBLANK(JP!BA217),"",JP!BA217)</f>
        <v>MOF @ MY IZAKAYA (AMK)</v>
      </c>
      <c r="D213" t="str">
        <f>IF(ISBLANK(JP!BC217),"",JP!BC217)</f>
        <v>53 ANG MO KIO AVENUE 3</v>
      </c>
      <c r="E213">
        <f>IF(ISBLANK(JP!BB217),"",JP!BB217)</f>
        <v>1</v>
      </c>
      <c r="F213" t="str">
        <f>IF(ISBLANK(JP!D217),"","x")</f>
        <v/>
      </c>
      <c r="G213" t="str">
        <f>IF(ISBLANK(JP!E217),"","x")</f>
        <v/>
      </c>
      <c r="H213" t="str">
        <f>IF(ISBLANK(JP!F217),"","x")</f>
        <v/>
      </c>
      <c r="I213" t="str">
        <f>IF(ISBLANK(JP!G217),"","x")</f>
        <v/>
      </c>
      <c r="J213" t="str">
        <f>IF(ISBLANK(JP!H217),"","x")</f>
        <v/>
      </c>
      <c r="K213" t="str">
        <f>IF(ISBLANK(JP!I217),"","x")</f>
        <v/>
      </c>
      <c r="L213" t="str">
        <f>IF(ISBLANK(JP!J217),"","x")</f>
        <v/>
      </c>
      <c r="M213" t="str">
        <f>IF(ISBLANK(JP!L217),"","x")</f>
        <v/>
      </c>
      <c r="N213" t="str">
        <f>IF(ISBLANK(JP!M217),"","x")</f>
        <v/>
      </c>
      <c r="O213" t="str">
        <f>IF(ISBLANK(JP!N217),"","x")</f>
        <v/>
      </c>
      <c r="P213" t="str">
        <f>IF(ISBLANK(JP!O217),"","x")</f>
        <v/>
      </c>
      <c r="Q213" t="str">
        <f>IF(ISBLANK(JP!P217),"","x")</f>
        <v/>
      </c>
      <c r="R213" t="str">
        <f>IF(ISBLANK(JP!Q217),"","x")</f>
        <v/>
      </c>
      <c r="S213" t="str">
        <f>IF(ISBLANK(JP!R217),"","x")</f>
        <v/>
      </c>
      <c r="T213" t="str">
        <f>IF(ISBLANK(JP!T217),"","x")</f>
        <v/>
      </c>
      <c r="U213" t="str">
        <f>IF(ISBLANK(JP!U217),"","x")</f>
        <v/>
      </c>
      <c r="V213" t="str">
        <f>IF(ISBLANK(JP!V217),"","x")</f>
        <v/>
      </c>
      <c r="W213" t="str">
        <f>IF(ISBLANK(JP!W217),"","x")</f>
        <v/>
      </c>
      <c r="X213" t="str">
        <f>IF(ISBLANK(JP!X217),"","x")</f>
        <v/>
      </c>
      <c r="Y213" t="str">
        <f>IF(ISBLANK(JP!Y217),"","x")</f>
        <v/>
      </c>
      <c r="Z213" t="str">
        <f>IF(ISBLANK(JP!Z217),"","x")</f>
        <v/>
      </c>
      <c r="AA213" t="str">
        <f>IF(ISBLANK(JP!AB217),"","x")</f>
        <v/>
      </c>
      <c r="AB213" t="str">
        <f>IF(ISBLANK(JP!AC217),"","x")</f>
        <v/>
      </c>
      <c r="AC213" t="str">
        <f>IF(ISBLANK(JP!AD217),"","x")</f>
        <v/>
      </c>
      <c r="AD213" t="str">
        <f>IF(ISBLANK(JP!AE217),"","x")</f>
        <v/>
      </c>
      <c r="AE213" t="str">
        <f>IF(ISBLANK(JP!AF217),"","x")</f>
        <v/>
      </c>
      <c r="AF213" t="str">
        <f>IF(ISBLANK(JP!AG217),"","x")</f>
        <v/>
      </c>
      <c r="AG213" t="str">
        <f>IF(ISBLANK(JP!AH217),"","x")</f>
        <v/>
      </c>
      <c r="AH213" t="str">
        <f>IF(ISBLANK(JP!AJ217),"","x")</f>
        <v/>
      </c>
      <c r="AI213" t="str">
        <f>IF(ISBLANK(JP!AK217),"","x")</f>
        <v/>
      </c>
      <c r="AJ213" t="str">
        <f>IF(ISBLANK(JP!AL217),"","x")</f>
        <v/>
      </c>
      <c r="AK213" t="str">
        <f>IF(ISBLANK(JP!AM217),"","x")</f>
        <v/>
      </c>
      <c r="AL213" t="str">
        <f>IF(ISBLANK(JP!AN217),"","x")</f>
        <v/>
      </c>
      <c r="AM213" t="str">
        <f>IF(ISBLANK(JP!AO217),"","x")</f>
        <v/>
      </c>
      <c r="AN213" t="str">
        <f>IF(ISBLANK(JP!AP217),"","x")</f>
        <v/>
      </c>
      <c r="AO213" t="str">
        <f>IF(ISBLANK(JP!AR217),"","x")</f>
        <v/>
      </c>
      <c r="AP213" t="str">
        <f>IF(ISBLANK(JP!AS217),"","x")</f>
        <v/>
      </c>
      <c r="AQ213" t="str">
        <f>IF(ISBLANK(JP!AT217),"","x")</f>
        <v/>
      </c>
      <c r="AR213" t="str">
        <f>IF(ISBLANK(JP!AU217),"","x")</f>
        <v/>
      </c>
      <c r="AS213" t="str">
        <f>IF(ISBLANK(JP!AV217),"","x")</f>
        <v/>
      </c>
      <c r="AT213" t="str">
        <f>IF(ISBLANK(JP!AW217),"","x")</f>
        <v/>
      </c>
      <c r="AU213" t="str">
        <f>IF(ISBLANK(JP!AX217),"","x")</f>
        <v/>
      </c>
    </row>
    <row r="214" spans="2:47">
      <c r="B214">
        <f>IF(ISBLANK(JP!AZ218),"",JP!AZ218)</f>
        <v>10043373</v>
      </c>
      <c r="C214" t="str">
        <f>IF(ISBLANK(JP!BA218),"",JP!BA218)</f>
        <v>DAESSIKSIN (AMK HUB)</v>
      </c>
      <c r="D214" t="str">
        <f>IF(ISBLANK(JP!BC218),"",JP!BC218)</f>
        <v>53 ANG MO KIO AVENUE 3</v>
      </c>
      <c r="E214">
        <f>IF(ISBLANK(JP!BB218),"",JP!BB218)</f>
        <v>1</v>
      </c>
      <c r="F214" t="str">
        <f>IF(ISBLANK(JP!D218),"","x")</f>
        <v/>
      </c>
      <c r="G214" t="str">
        <f>IF(ISBLANK(JP!E218),"","x")</f>
        <v/>
      </c>
      <c r="H214" t="str">
        <f>IF(ISBLANK(JP!F218),"","x")</f>
        <v/>
      </c>
      <c r="I214" t="str">
        <f>IF(ISBLANK(JP!G218),"","x")</f>
        <v/>
      </c>
      <c r="J214" t="str">
        <f>IF(ISBLANK(JP!H218),"","x")</f>
        <v/>
      </c>
      <c r="K214" t="str">
        <f>IF(ISBLANK(JP!I218),"","x")</f>
        <v/>
      </c>
      <c r="L214" t="str">
        <f>IF(ISBLANK(JP!J218),"","x")</f>
        <v/>
      </c>
      <c r="M214" t="str">
        <f>IF(ISBLANK(JP!L218),"","x")</f>
        <v/>
      </c>
      <c r="N214" t="str">
        <f>IF(ISBLANK(JP!M218),"","x")</f>
        <v/>
      </c>
      <c r="O214" t="str">
        <f>IF(ISBLANK(JP!N218),"","x")</f>
        <v/>
      </c>
      <c r="P214" t="str">
        <f>IF(ISBLANK(JP!O218),"","x")</f>
        <v/>
      </c>
      <c r="Q214" t="str">
        <f>IF(ISBLANK(JP!P218),"","x")</f>
        <v/>
      </c>
      <c r="R214" t="str">
        <f>IF(ISBLANK(JP!Q218),"","x")</f>
        <v/>
      </c>
      <c r="S214" t="str">
        <f>IF(ISBLANK(JP!R218),"","x")</f>
        <v/>
      </c>
      <c r="T214" t="str">
        <f>IF(ISBLANK(JP!T218),"","x")</f>
        <v/>
      </c>
      <c r="U214" t="str">
        <f>IF(ISBLANK(JP!U218),"","x")</f>
        <v/>
      </c>
      <c r="V214" t="str">
        <f>IF(ISBLANK(JP!V218),"","x")</f>
        <v/>
      </c>
      <c r="W214" t="str">
        <f>IF(ISBLANK(JP!W218),"","x")</f>
        <v/>
      </c>
      <c r="X214" t="str">
        <f>IF(ISBLANK(JP!X218),"","x")</f>
        <v/>
      </c>
      <c r="Y214" t="str">
        <f>IF(ISBLANK(JP!Y218),"","x")</f>
        <v/>
      </c>
      <c r="Z214" t="str">
        <f>IF(ISBLANK(JP!Z218),"","x")</f>
        <v/>
      </c>
      <c r="AA214" t="str">
        <f>IF(ISBLANK(JP!AB218),"","x")</f>
        <v/>
      </c>
      <c r="AB214" t="str">
        <f>IF(ISBLANK(JP!AC218),"","x")</f>
        <v/>
      </c>
      <c r="AC214" t="str">
        <f>IF(ISBLANK(JP!AD218),"","x")</f>
        <v/>
      </c>
      <c r="AD214" t="str">
        <f>IF(ISBLANK(JP!AE218),"","x")</f>
        <v/>
      </c>
      <c r="AE214" t="str">
        <f>IF(ISBLANK(JP!AF218),"","x")</f>
        <v/>
      </c>
      <c r="AF214" t="str">
        <f>IF(ISBLANK(JP!AG218),"","x")</f>
        <v/>
      </c>
      <c r="AG214" t="str">
        <f>IF(ISBLANK(JP!AH218),"","x")</f>
        <v/>
      </c>
      <c r="AH214" t="str">
        <f>IF(ISBLANK(JP!AJ218),"","x")</f>
        <v/>
      </c>
      <c r="AI214" t="str">
        <f>IF(ISBLANK(JP!AK218),"","x")</f>
        <v/>
      </c>
      <c r="AJ214" t="str">
        <f>IF(ISBLANK(JP!AL218),"","x")</f>
        <v/>
      </c>
      <c r="AK214" t="str">
        <f>IF(ISBLANK(JP!AM218),"","x")</f>
        <v/>
      </c>
      <c r="AL214" t="str">
        <f>IF(ISBLANK(JP!AN218),"","x")</f>
        <v/>
      </c>
      <c r="AM214" t="str">
        <f>IF(ISBLANK(JP!AO218),"","x")</f>
        <v/>
      </c>
      <c r="AN214" t="str">
        <f>IF(ISBLANK(JP!AP218),"","x")</f>
        <v/>
      </c>
      <c r="AO214" t="str">
        <f>IF(ISBLANK(JP!AR218),"","x")</f>
        <v/>
      </c>
      <c r="AP214" t="str">
        <f>IF(ISBLANK(JP!AS218),"","x")</f>
        <v/>
      </c>
      <c r="AQ214" t="str">
        <f>IF(ISBLANK(JP!AT218),"","x")</f>
        <v/>
      </c>
      <c r="AR214" t="str">
        <f>IF(ISBLANK(JP!AU218),"","x")</f>
        <v/>
      </c>
      <c r="AS214" t="str">
        <f>IF(ISBLANK(JP!AV218),"","x")</f>
        <v/>
      </c>
      <c r="AT214" t="str">
        <f>IF(ISBLANK(JP!AW218),"","x")</f>
        <v/>
      </c>
      <c r="AU214" t="str">
        <f>IF(ISBLANK(JP!AX218),"","x")</f>
        <v/>
      </c>
    </row>
    <row r="215" spans="2:47">
      <c r="B215">
        <f>IF(ISBLANK(JP!AZ219),"",JP!AZ219)</f>
        <v>10042528</v>
      </c>
      <c r="C215" t="str">
        <f>IF(ISBLANK(JP!BA219),"",JP!BA219)</f>
        <v>PEPERONI PIZZERIA (UPPER THOMSON)</v>
      </c>
      <c r="D215" t="str">
        <f>IF(ISBLANK(JP!BC219),"",JP!BC219)</f>
        <v>267 UPPER THOMSON ROAD</v>
      </c>
      <c r="E215">
        <f>IF(ISBLANK(JP!BB219),"",JP!BB219)</f>
        <v>1</v>
      </c>
      <c r="F215" t="str">
        <f>IF(ISBLANK(JP!D219),"","x")</f>
        <v/>
      </c>
      <c r="G215" t="str">
        <f>IF(ISBLANK(JP!E219),"","x")</f>
        <v/>
      </c>
      <c r="H215" t="str">
        <f>IF(ISBLANK(JP!F219),"","x")</f>
        <v/>
      </c>
      <c r="I215" t="str">
        <f>IF(ISBLANK(JP!G219),"","x")</f>
        <v/>
      </c>
      <c r="J215" t="str">
        <f>IF(ISBLANK(JP!H219),"","x")</f>
        <v/>
      </c>
      <c r="K215" t="str">
        <f>IF(ISBLANK(JP!I219),"","x")</f>
        <v/>
      </c>
      <c r="L215" t="str">
        <f>IF(ISBLANK(JP!J219),"","x")</f>
        <v/>
      </c>
      <c r="M215" t="str">
        <f>IF(ISBLANK(JP!L219),"","x")</f>
        <v/>
      </c>
      <c r="N215" t="str">
        <f>IF(ISBLANK(JP!M219),"","x")</f>
        <v/>
      </c>
      <c r="O215" t="str">
        <f>IF(ISBLANK(JP!N219),"","x")</f>
        <v/>
      </c>
      <c r="P215" t="str">
        <f>IF(ISBLANK(JP!O219),"","x")</f>
        <v/>
      </c>
      <c r="Q215" t="str">
        <f>IF(ISBLANK(JP!P219),"","x")</f>
        <v/>
      </c>
      <c r="R215" t="str">
        <f>IF(ISBLANK(JP!Q219),"","x")</f>
        <v/>
      </c>
      <c r="S215" t="str">
        <f>IF(ISBLANK(JP!R219),"","x")</f>
        <v/>
      </c>
      <c r="T215" t="str">
        <f>IF(ISBLANK(JP!T219),"","x")</f>
        <v/>
      </c>
      <c r="U215" t="str">
        <f>IF(ISBLANK(JP!U219),"","x")</f>
        <v/>
      </c>
      <c r="V215" t="str">
        <f>IF(ISBLANK(JP!V219),"","x")</f>
        <v/>
      </c>
      <c r="W215" t="str">
        <f>IF(ISBLANK(JP!W219),"","x")</f>
        <v/>
      </c>
      <c r="X215" t="str">
        <f>IF(ISBLANK(JP!X219),"","x")</f>
        <v/>
      </c>
      <c r="Y215" t="str">
        <f>IF(ISBLANK(JP!Y219),"","x")</f>
        <v/>
      </c>
      <c r="Z215" t="str">
        <f>IF(ISBLANK(JP!Z219),"","x")</f>
        <v/>
      </c>
      <c r="AA215" t="str">
        <f>IF(ISBLANK(JP!AB219),"","x")</f>
        <v/>
      </c>
      <c r="AB215" t="str">
        <f>IF(ISBLANK(JP!AC219),"","x")</f>
        <v/>
      </c>
      <c r="AC215" t="str">
        <f>IF(ISBLANK(JP!AD219),"","x")</f>
        <v/>
      </c>
      <c r="AD215" t="str">
        <f>IF(ISBLANK(JP!AE219),"","x")</f>
        <v/>
      </c>
      <c r="AE215" t="str">
        <f>IF(ISBLANK(JP!AF219),"","x")</f>
        <v/>
      </c>
      <c r="AF215" t="str">
        <f>IF(ISBLANK(JP!AG219),"","x")</f>
        <v/>
      </c>
      <c r="AG215" t="str">
        <f>IF(ISBLANK(JP!AH219),"","x")</f>
        <v/>
      </c>
      <c r="AH215" t="str">
        <f>IF(ISBLANK(JP!AJ219),"","x")</f>
        <v/>
      </c>
      <c r="AI215" t="str">
        <f>IF(ISBLANK(JP!AK219),"","x")</f>
        <v/>
      </c>
      <c r="AJ215" t="str">
        <f>IF(ISBLANK(JP!AL219),"","x")</f>
        <v/>
      </c>
      <c r="AK215" t="str">
        <f>IF(ISBLANK(JP!AM219),"","x")</f>
        <v/>
      </c>
      <c r="AL215" t="str">
        <f>IF(ISBLANK(JP!AN219),"","x")</f>
        <v/>
      </c>
      <c r="AM215" t="str">
        <f>IF(ISBLANK(JP!AO219),"","x")</f>
        <v/>
      </c>
      <c r="AN215" t="str">
        <f>IF(ISBLANK(JP!AP219),"","x")</f>
        <v/>
      </c>
      <c r="AO215" t="str">
        <f>IF(ISBLANK(JP!AR219),"","x")</f>
        <v/>
      </c>
      <c r="AP215" t="str">
        <f>IF(ISBLANK(JP!AS219),"","x")</f>
        <v/>
      </c>
      <c r="AQ215" t="str">
        <f>IF(ISBLANK(JP!AT219),"","x")</f>
        <v/>
      </c>
      <c r="AR215" t="str">
        <f>IF(ISBLANK(JP!AU219),"","x")</f>
        <v/>
      </c>
      <c r="AS215" t="str">
        <f>IF(ISBLANK(JP!AV219),"","x")</f>
        <v/>
      </c>
      <c r="AT215" t="str">
        <f>IF(ISBLANK(JP!AW219),"","x")</f>
        <v/>
      </c>
      <c r="AU215" t="str">
        <f>IF(ISBLANK(JP!AX219),"","x")</f>
        <v/>
      </c>
    </row>
    <row r="216" spans="2:47">
      <c r="B216">
        <f>IF(ISBLANK(JP!AZ220),"",JP!AZ220)</f>
        <v>10036244</v>
      </c>
      <c r="C216" t="str">
        <f>IF(ISBLANK(JP!BA220),"",JP!BA220)</f>
        <v>E-SARN THAI CORNER (UPP THOMSON)</v>
      </c>
      <c r="D216" t="str">
        <f>IF(ISBLANK(JP!BC220),"",JP!BC220)</f>
        <v>9 THOMSON RIDGE</v>
      </c>
      <c r="E216">
        <f>IF(ISBLANK(JP!BB220),"",JP!BB220)</f>
        <v>1</v>
      </c>
      <c r="F216" t="str">
        <f>IF(ISBLANK(JP!D220),"","x")</f>
        <v/>
      </c>
      <c r="G216" t="str">
        <f>IF(ISBLANK(JP!E220),"","x")</f>
        <v/>
      </c>
      <c r="H216" t="str">
        <f>IF(ISBLANK(JP!F220),"","x")</f>
        <v/>
      </c>
      <c r="I216" t="str">
        <f>IF(ISBLANK(JP!G220),"","x")</f>
        <v/>
      </c>
      <c r="J216" t="str">
        <f>IF(ISBLANK(JP!H220),"","x")</f>
        <v/>
      </c>
      <c r="K216" t="str">
        <f>IF(ISBLANK(JP!I220),"","x")</f>
        <v/>
      </c>
      <c r="L216" t="str">
        <f>IF(ISBLANK(JP!J220),"","x")</f>
        <v/>
      </c>
      <c r="M216" t="str">
        <f>IF(ISBLANK(JP!L220),"","x")</f>
        <v/>
      </c>
      <c r="N216" t="str">
        <f>IF(ISBLANK(JP!M220),"","x")</f>
        <v/>
      </c>
      <c r="O216" t="str">
        <f>IF(ISBLANK(JP!N220),"","x")</f>
        <v/>
      </c>
      <c r="P216" t="str">
        <f>IF(ISBLANK(JP!O220),"","x")</f>
        <v/>
      </c>
      <c r="Q216" t="str">
        <f>IF(ISBLANK(JP!P220),"","x")</f>
        <v/>
      </c>
      <c r="R216" t="str">
        <f>IF(ISBLANK(JP!Q220),"","x")</f>
        <v/>
      </c>
      <c r="S216" t="str">
        <f>IF(ISBLANK(JP!R220),"","x")</f>
        <v/>
      </c>
      <c r="T216" t="str">
        <f>IF(ISBLANK(JP!T220),"","x")</f>
        <v/>
      </c>
      <c r="U216" t="str">
        <f>IF(ISBLANK(JP!U220),"","x")</f>
        <v/>
      </c>
      <c r="V216" t="str">
        <f>IF(ISBLANK(JP!V220),"","x")</f>
        <v/>
      </c>
      <c r="W216" t="str">
        <f>IF(ISBLANK(JP!W220),"","x")</f>
        <v/>
      </c>
      <c r="X216" t="str">
        <f>IF(ISBLANK(JP!X220),"","x")</f>
        <v/>
      </c>
      <c r="Y216" t="str">
        <f>IF(ISBLANK(JP!Y220),"","x")</f>
        <v/>
      </c>
      <c r="Z216" t="str">
        <f>IF(ISBLANK(JP!Z220),"","x")</f>
        <v/>
      </c>
      <c r="AA216" t="str">
        <f>IF(ISBLANK(JP!AB220),"","x")</f>
        <v/>
      </c>
      <c r="AB216" t="str">
        <f>IF(ISBLANK(JP!AC220),"","x")</f>
        <v/>
      </c>
      <c r="AC216" t="str">
        <f>IF(ISBLANK(JP!AD220),"","x")</f>
        <v/>
      </c>
      <c r="AD216" t="str">
        <f>IF(ISBLANK(JP!AE220),"","x")</f>
        <v/>
      </c>
      <c r="AE216" t="str">
        <f>IF(ISBLANK(JP!AF220),"","x")</f>
        <v/>
      </c>
      <c r="AF216" t="str">
        <f>IF(ISBLANK(JP!AG220),"","x")</f>
        <v/>
      </c>
      <c r="AG216" t="str">
        <f>IF(ISBLANK(JP!AH220),"","x")</f>
        <v/>
      </c>
      <c r="AH216" t="str">
        <f>IF(ISBLANK(JP!AJ220),"","x")</f>
        <v/>
      </c>
      <c r="AI216" t="str">
        <f>IF(ISBLANK(JP!AK220),"","x")</f>
        <v/>
      </c>
      <c r="AJ216" t="str">
        <f>IF(ISBLANK(JP!AL220),"","x")</f>
        <v/>
      </c>
      <c r="AK216" t="str">
        <f>IF(ISBLANK(JP!AM220),"","x")</f>
        <v/>
      </c>
      <c r="AL216" t="str">
        <f>IF(ISBLANK(JP!AN220),"","x")</f>
        <v/>
      </c>
      <c r="AM216" t="str">
        <f>IF(ISBLANK(JP!AO220),"","x")</f>
        <v/>
      </c>
      <c r="AN216" t="str">
        <f>IF(ISBLANK(JP!AP220),"","x")</f>
        <v/>
      </c>
      <c r="AO216" t="str">
        <f>IF(ISBLANK(JP!AR220),"","x")</f>
        <v/>
      </c>
      <c r="AP216" t="str">
        <f>IF(ISBLANK(JP!AS220),"","x")</f>
        <v/>
      </c>
      <c r="AQ216" t="str">
        <f>IF(ISBLANK(JP!AT220),"","x")</f>
        <v/>
      </c>
      <c r="AR216" t="str">
        <f>IF(ISBLANK(JP!AU220),"","x")</f>
        <v/>
      </c>
      <c r="AS216" t="str">
        <f>IF(ISBLANK(JP!AV220),"","x")</f>
        <v/>
      </c>
      <c r="AT216" t="str">
        <f>IF(ISBLANK(JP!AW220),"","x")</f>
        <v/>
      </c>
      <c r="AU216" t="str">
        <f>IF(ISBLANK(JP!AX220),"","x")</f>
        <v/>
      </c>
    </row>
    <row r="217" spans="2:47">
      <c r="B217">
        <f>IF(ISBLANK(JP!AZ221),"",JP!AZ221)</f>
        <v>10037086</v>
      </c>
      <c r="C217" t="str">
        <f>IF(ISBLANK(JP!BA221),"",JP!BA221)</f>
        <v>LINO</v>
      </c>
      <c r="D217" t="str">
        <f>IF(ISBLANK(JP!BC221),"",JP!BC221)</f>
        <v>7 BINJAI PARK</v>
      </c>
      <c r="E217">
        <f>IF(ISBLANK(JP!BB221),"",JP!BB221)</f>
        <v>1</v>
      </c>
      <c r="F217" t="str">
        <f>IF(ISBLANK(JP!D221),"","x")</f>
        <v/>
      </c>
      <c r="G217" t="str">
        <f>IF(ISBLANK(JP!E221),"","x")</f>
        <v/>
      </c>
      <c r="H217" t="str">
        <f>IF(ISBLANK(JP!F221),"","x")</f>
        <v/>
      </c>
      <c r="I217" t="str">
        <f>IF(ISBLANK(JP!G221),"","x")</f>
        <v/>
      </c>
      <c r="J217" t="str">
        <f>IF(ISBLANK(JP!H221),"","x")</f>
        <v/>
      </c>
      <c r="K217" t="str">
        <f>IF(ISBLANK(JP!I221),"","x")</f>
        <v/>
      </c>
      <c r="L217" t="str">
        <f>IF(ISBLANK(JP!J221),"","x")</f>
        <v/>
      </c>
      <c r="M217" t="str">
        <f>IF(ISBLANK(JP!L221),"","x")</f>
        <v/>
      </c>
      <c r="N217" t="str">
        <f>IF(ISBLANK(JP!M221),"","x")</f>
        <v/>
      </c>
      <c r="O217" t="str">
        <f>IF(ISBLANK(JP!N221),"","x")</f>
        <v/>
      </c>
      <c r="P217" t="str">
        <f>IF(ISBLANK(JP!O221),"","x")</f>
        <v/>
      </c>
      <c r="Q217" t="str">
        <f>IF(ISBLANK(JP!P221),"","x")</f>
        <v/>
      </c>
      <c r="R217" t="str">
        <f>IF(ISBLANK(JP!Q221),"","x")</f>
        <v/>
      </c>
      <c r="S217" t="str">
        <f>IF(ISBLANK(JP!R221),"","x")</f>
        <v/>
      </c>
      <c r="T217" t="str">
        <f>IF(ISBLANK(JP!T221),"","x")</f>
        <v/>
      </c>
      <c r="U217" t="str">
        <f>IF(ISBLANK(JP!U221),"","x")</f>
        <v/>
      </c>
      <c r="V217" t="str">
        <f>IF(ISBLANK(JP!V221),"","x")</f>
        <v/>
      </c>
      <c r="W217" t="str">
        <f>IF(ISBLANK(JP!W221),"","x")</f>
        <v/>
      </c>
      <c r="X217" t="str">
        <f>IF(ISBLANK(JP!X221),"","x")</f>
        <v/>
      </c>
      <c r="Y217" t="str">
        <f>IF(ISBLANK(JP!Y221),"","x")</f>
        <v/>
      </c>
      <c r="Z217" t="str">
        <f>IF(ISBLANK(JP!Z221),"","x")</f>
        <v/>
      </c>
      <c r="AA217" t="str">
        <f>IF(ISBLANK(JP!AB221),"","x")</f>
        <v/>
      </c>
      <c r="AB217" t="str">
        <f>IF(ISBLANK(JP!AC221),"","x")</f>
        <v/>
      </c>
      <c r="AC217" t="str">
        <f>IF(ISBLANK(JP!AD221),"","x")</f>
        <v/>
      </c>
      <c r="AD217" t="str">
        <f>IF(ISBLANK(JP!AE221),"","x")</f>
        <v/>
      </c>
      <c r="AE217" t="str">
        <f>IF(ISBLANK(JP!AF221),"","x")</f>
        <v/>
      </c>
      <c r="AF217" t="str">
        <f>IF(ISBLANK(JP!AG221),"","x")</f>
        <v/>
      </c>
      <c r="AG217" t="str">
        <f>IF(ISBLANK(JP!AH221),"","x")</f>
        <v/>
      </c>
      <c r="AH217" t="str">
        <f>IF(ISBLANK(JP!AJ221),"","x")</f>
        <v/>
      </c>
      <c r="AI217" t="str">
        <f>IF(ISBLANK(JP!AK221),"","x")</f>
        <v/>
      </c>
      <c r="AJ217" t="str">
        <f>IF(ISBLANK(JP!AL221),"","x")</f>
        <v/>
      </c>
      <c r="AK217" t="str">
        <f>IF(ISBLANK(JP!AM221),"","x")</f>
        <v/>
      </c>
      <c r="AL217" t="str">
        <f>IF(ISBLANK(JP!AN221),"","x")</f>
        <v/>
      </c>
      <c r="AM217" t="str">
        <f>IF(ISBLANK(JP!AO221),"","x")</f>
        <v/>
      </c>
      <c r="AN217" t="str">
        <f>IF(ISBLANK(JP!AP221),"","x")</f>
        <v/>
      </c>
      <c r="AO217" t="str">
        <f>IF(ISBLANK(JP!AR221),"","x")</f>
        <v/>
      </c>
      <c r="AP217" t="str">
        <f>IF(ISBLANK(JP!AS221),"","x")</f>
        <v/>
      </c>
      <c r="AQ217" t="str">
        <f>IF(ISBLANK(JP!AT221),"","x")</f>
        <v/>
      </c>
      <c r="AR217" t="str">
        <f>IF(ISBLANK(JP!AU221),"","x")</f>
        <v/>
      </c>
      <c r="AS217" t="str">
        <f>IF(ISBLANK(JP!AV221),"","x")</f>
        <v/>
      </c>
      <c r="AT217" t="str">
        <f>IF(ISBLANK(JP!AW221),"","x")</f>
        <v/>
      </c>
      <c r="AU217" t="str">
        <f>IF(ISBLANK(JP!AX221),"","x")</f>
        <v/>
      </c>
    </row>
    <row r="218" spans="2:47">
      <c r="B218">
        <f>IF(ISBLANK(JP!AZ222),"",JP!AZ222)</f>
        <v>10040818</v>
      </c>
      <c r="C218" t="str">
        <f>IF(ISBLANK(JP!BA222),"",JP!BA222)</f>
        <v>GENTING HOTEL JURONG</v>
      </c>
      <c r="D218" t="str">
        <f>IF(ISBLANK(JP!BC222),"",JP!BC222)</f>
        <v>2 TOWN HALL LINK</v>
      </c>
      <c r="E218">
        <f>IF(ISBLANK(JP!BB222),"",JP!BB222)</f>
        <v>2</v>
      </c>
      <c r="F218" t="str">
        <f>IF(ISBLANK(JP!D222),"","x")</f>
        <v/>
      </c>
      <c r="G218" t="str">
        <f>IF(ISBLANK(JP!E222),"","x")</f>
        <v/>
      </c>
      <c r="H218" t="str">
        <f>IF(ISBLANK(JP!F222),"","x")</f>
        <v/>
      </c>
      <c r="I218" t="str">
        <f>IF(ISBLANK(JP!G222),"","x")</f>
        <v/>
      </c>
      <c r="J218" t="str">
        <f>IF(ISBLANK(JP!H222),"","x")</f>
        <v/>
      </c>
      <c r="K218" t="str">
        <f>IF(ISBLANK(JP!I222),"","x")</f>
        <v/>
      </c>
      <c r="L218" t="str">
        <f>IF(ISBLANK(JP!J222),"","x")</f>
        <v/>
      </c>
      <c r="M218" t="str">
        <f>IF(ISBLANK(JP!L222),"","x")</f>
        <v/>
      </c>
      <c r="N218" t="str">
        <f>IF(ISBLANK(JP!M222),"","x")</f>
        <v/>
      </c>
      <c r="O218" t="str">
        <f>IF(ISBLANK(JP!N222),"","x")</f>
        <v/>
      </c>
      <c r="P218" t="str">
        <f>IF(ISBLANK(JP!O222),"","x")</f>
        <v/>
      </c>
      <c r="Q218" t="str">
        <f>IF(ISBLANK(JP!P222),"","x")</f>
        <v/>
      </c>
      <c r="R218" t="str">
        <f>IF(ISBLANK(JP!Q222),"","x")</f>
        <v/>
      </c>
      <c r="S218" t="str">
        <f>IF(ISBLANK(JP!R222),"","x")</f>
        <v/>
      </c>
      <c r="T218" t="str">
        <f>IF(ISBLANK(JP!T222),"","x")</f>
        <v/>
      </c>
      <c r="U218" t="str">
        <f>IF(ISBLANK(JP!U222),"","x")</f>
        <v/>
      </c>
      <c r="V218" t="str">
        <f>IF(ISBLANK(JP!V222),"","x")</f>
        <v/>
      </c>
      <c r="W218" t="str">
        <f>IF(ISBLANK(JP!W222),"","x")</f>
        <v/>
      </c>
      <c r="X218" t="str">
        <f>IF(ISBLANK(JP!X222),"","x")</f>
        <v/>
      </c>
      <c r="Y218" t="str">
        <f>IF(ISBLANK(JP!Y222),"","x")</f>
        <v/>
      </c>
      <c r="Z218" t="str">
        <f>IF(ISBLANK(JP!Z222),"","x")</f>
        <v/>
      </c>
      <c r="AA218" t="str">
        <f>IF(ISBLANK(JP!AB222),"","x")</f>
        <v/>
      </c>
      <c r="AB218" t="str">
        <f>IF(ISBLANK(JP!AC222),"","x")</f>
        <v/>
      </c>
      <c r="AC218" t="str">
        <f>IF(ISBLANK(JP!AD222),"","x")</f>
        <v/>
      </c>
      <c r="AD218" t="str">
        <f>IF(ISBLANK(JP!AE222),"","x")</f>
        <v/>
      </c>
      <c r="AE218" t="str">
        <f>IF(ISBLANK(JP!AF222),"","x")</f>
        <v/>
      </c>
      <c r="AF218" t="str">
        <f>IF(ISBLANK(JP!AG222),"","x")</f>
        <v/>
      </c>
      <c r="AG218" t="str">
        <f>IF(ISBLANK(JP!AH222),"","x")</f>
        <v/>
      </c>
      <c r="AH218" t="str">
        <f>IF(ISBLANK(JP!AJ222),"","x")</f>
        <v/>
      </c>
      <c r="AI218" t="str">
        <f>IF(ISBLANK(JP!AK222),"","x")</f>
        <v/>
      </c>
      <c r="AJ218" t="str">
        <f>IF(ISBLANK(JP!AL222),"","x")</f>
        <v/>
      </c>
      <c r="AK218" t="str">
        <f>IF(ISBLANK(JP!AM222),"","x")</f>
        <v/>
      </c>
      <c r="AL218" t="str">
        <f>IF(ISBLANK(JP!AN222),"","x")</f>
        <v/>
      </c>
      <c r="AM218" t="str">
        <f>IF(ISBLANK(JP!AO222),"","x")</f>
        <v/>
      </c>
      <c r="AN218" t="str">
        <f>IF(ISBLANK(JP!AP222),"","x")</f>
        <v/>
      </c>
      <c r="AO218" t="str">
        <f>IF(ISBLANK(JP!AR222),"","x")</f>
        <v/>
      </c>
      <c r="AP218" t="str">
        <f>IF(ISBLANK(JP!AS222),"","x")</f>
        <v/>
      </c>
      <c r="AQ218" t="str">
        <f>IF(ISBLANK(JP!AT222),"","x")</f>
        <v/>
      </c>
      <c r="AR218" t="str">
        <f>IF(ISBLANK(JP!AU222),"","x")</f>
        <v/>
      </c>
      <c r="AS218" t="str">
        <f>IF(ISBLANK(JP!AV222),"","x")</f>
        <v/>
      </c>
      <c r="AT218" t="str">
        <f>IF(ISBLANK(JP!AW222),"","x")</f>
        <v/>
      </c>
      <c r="AU218" t="str">
        <f>IF(ISBLANK(JP!AX222),"","x")</f>
        <v/>
      </c>
    </row>
    <row r="219" spans="2:47">
      <c r="B219">
        <f>IF(ISBLANK(JP!AZ223),"",JP!AZ223)</f>
        <v>10039471</v>
      </c>
      <c r="C219" t="str">
        <f>IF(ISBLANK(JP!BA223),"",JP!BA223)</f>
        <v>TSUKADA NOJO (WESTGATE)</v>
      </c>
      <c r="D219" t="str">
        <f>IF(ISBLANK(JP!BC223),"",JP!BC223)</f>
        <v>3 GATEWAY DRIVE</v>
      </c>
      <c r="E219">
        <f>IF(ISBLANK(JP!BB223),"",JP!BB223)</f>
        <v>1</v>
      </c>
      <c r="F219" t="str">
        <f>IF(ISBLANK(JP!D223),"","x")</f>
        <v/>
      </c>
      <c r="G219" t="str">
        <f>IF(ISBLANK(JP!E223),"","x")</f>
        <v/>
      </c>
      <c r="H219" t="str">
        <f>IF(ISBLANK(JP!F223),"","x")</f>
        <v/>
      </c>
      <c r="I219" t="str">
        <f>IF(ISBLANK(JP!G223),"","x")</f>
        <v/>
      </c>
      <c r="J219" t="str">
        <f>IF(ISBLANK(JP!H223),"","x")</f>
        <v/>
      </c>
      <c r="K219" t="str">
        <f>IF(ISBLANK(JP!I223),"","x")</f>
        <v/>
      </c>
      <c r="L219" t="str">
        <f>IF(ISBLANK(JP!J223),"","x")</f>
        <v/>
      </c>
      <c r="M219" t="str">
        <f>IF(ISBLANK(JP!L223),"","x")</f>
        <v/>
      </c>
      <c r="N219" t="str">
        <f>IF(ISBLANK(JP!M223),"","x")</f>
        <v/>
      </c>
      <c r="O219" t="str">
        <f>IF(ISBLANK(JP!N223),"","x")</f>
        <v/>
      </c>
      <c r="P219" t="str">
        <f>IF(ISBLANK(JP!O223),"","x")</f>
        <v/>
      </c>
      <c r="Q219" t="str">
        <f>IF(ISBLANK(JP!P223),"","x")</f>
        <v/>
      </c>
      <c r="R219" t="str">
        <f>IF(ISBLANK(JP!Q223),"","x")</f>
        <v/>
      </c>
      <c r="S219" t="str">
        <f>IF(ISBLANK(JP!R223),"","x")</f>
        <v/>
      </c>
      <c r="T219" t="str">
        <f>IF(ISBLANK(JP!T223),"","x")</f>
        <v/>
      </c>
      <c r="U219" t="str">
        <f>IF(ISBLANK(JP!U223),"","x")</f>
        <v/>
      </c>
      <c r="V219" t="str">
        <f>IF(ISBLANK(JP!V223),"","x")</f>
        <v/>
      </c>
      <c r="W219" t="str">
        <f>IF(ISBLANK(JP!W223),"","x")</f>
        <v/>
      </c>
      <c r="X219" t="str">
        <f>IF(ISBLANK(JP!X223),"","x")</f>
        <v/>
      </c>
      <c r="Y219" t="str">
        <f>IF(ISBLANK(JP!Y223),"","x")</f>
        <v/>
      </c>
      <c r="Z219" t="str">
        <f>IF(ISBLANK(JP!Z223),"","x")</f>
        <v/>
      </c>
      <c r="AA219" t="str">
        <f>IF(ISBLANK(JP!AB223),"","x")</f>
        <v/>
      </c>
      <c r="AB219" t="str">
        <f>IF(ISBLANK(JP!AC223),"","x")</f>
        <v/>
      </c>
      <c r="AC219" t="str">
        <f>IF(ISBLANK(JP!AD223),"","x")</f>
        <v/>
      </c>
      <c r="AD219" t="str">
        <f>IF(ISBLANK(JP!AE223),"","x")</f>
        <v/>
      </c>
      <c r="AE219" t="str">
        <f>IF(ISBLANK(JP!AF223),"","x")</f>
        <v/>
      </c>
      <c r="AF219" t="str">
        <f>IF(ISBLANK(JP!AG223),"","x")</f>
        <v/>
      </c>
      <c r="AG219" t="str">
        <f>IF(ISBLANK(JP!AH223),"","x")</f>
        <v/>
      </c>
      <c r="AH219" t="str">
        <f>IF(ISBLANK(JP!AJ223),"","x")</f>
        <v/>
      </c>
      <c r="AI219" t="str">
        <f>IF(ISBLANK(JP!AK223),"","x")</f>
        <v/>
      </c>
      <c r="AJ219" t="str">
        <f>IF(ISBLANK(JP!AL223),"","x")</f>
        <v/>
      </c>
      <c r="AK219" t="str">
        <f>IF(ISBLANK(JP!AM223),"","x")</f>
        <v/>
      </c>
      <c r="AL219" t="str">
        <f>IF(ISBLANK(JP!AN223),"","x")</f>
        <v/>
      </c>
      <c r="AM219" t="str">
        <f>IF(ISBLANK(JP!AO223),"","x")</f>
        <v/>
      </c>
      <c r="AN219" t="str">
        <f>IF(ISBLANK(JP!AP223),"","x")</f>
        <v/>
      </c>
      <c r="AO219" t="str">
        <f>IF(ISBLANK(JP!AR223),"","x")</f>
        <v/>
      </c>
      <c r="AP219" t="str">
        <f>IF(ISBLANK(JP!AS223),"","x")</f>
        <v/>
      </c>
      <c r="AQ219" t="str">
        <f>IF(ISBLANK(JP!AT223),"","x")</f>
        <v/>
      </c>
      <c r="AR219" t="str">
        <f>IF(ISBLANK(JP!AU223),"","x")</f>
        <v/>
      </c>
      <c r="AS219" t="str">
        <f>IF(ISBLANK(JP!AV223),"","x")</f>
        <v/>
      </c>
      <c r="AT219" t="str">
        <f>IF(ISBLANK(JP!AW223),"","x")</f>
        <v/>
      </c>
      <c r="AU219" t="str">
        <f>IF(ISBLANK(JP!AX223),"","x")</f>
        <v/>
      </c>
    </row>
    <row r="220" spans="2:47">
      <c r="B220">
        <f>IF(ISBLANK(JP!AZ224),"",JP!AZ224)</f>
        <v>10045957</v>
      </c>
      <c r="C220" t="str">
        <f>IF(ISBLANK(JP!BA224),"",JP!BA224)</f>
        <v>COLLINS @ WESTGATE</v>
      </c>
      <c r="D220" t="str">
        <f>IF(ISBLANK(JP!BC224),"",JP!BC224)</f>
        <v>3 GATEWAY DRIVE</v>
      </c>
      <c r="E220">
        <f>IF(ISBLANK(JP!BB224),"",JP!BB224)</f>
        <v>2</v>
      </c>
      <c r="F220" t="str">
        <f>IF(ISBLANK(JP!D224),"","x")</f>
        <v/>
      </c>
      <c r="G220" t="str">
        <f>IF(ISBLANK(JP!E224),"","x")</f>
        <v/>
      </c>
      <c r="H220" t="str">
        <f>IF(ISBLANK(JP!F224),"","x")</f>
        <v/>
      </c>
      <c r="I220" t="str">
        <f>IF(ISBLANK(JP!G224),"","x")</f>
        <v/>
      </c>
      <c r="J220" t="str">
        <f>IF(ISBLANK(JP!H224),"","x")</f>
        <v/>
      </c>
      <c r="K220" t="str">
        <f>IF(ISBLANK(JP!I224),"","x")</f>
        <v/>
      </c>
      <c r="L220" t="str">
        <f>IF(ISBLANK(JP!J224),"","x")</f>
        <v/>
      </c>
      <c r="M220" t="str">
        <f>IF(ISBLANK(JP!L224),"","x")</f>
        <v/>
      </c>
      <c r="N220" t="str">
        <f>IF(ISBLANK(JP!M224),"","x")</f>
        <v/>
      </c>
      <c r="O220" t="str">
        <f>IF(ISBLANK(JP!N224),"","x")</f>
        <v/>
      </c>
      <c r="P220" t="str">
        <f>IF(ISBLANK(JP!O224),"","x")</f>
        <v/>
      </c>
      <c r="Q220" t="str">
        <f>IF(ISBLANK(JP!P224),"","x")</f>
        <v/>
      </c>
      <c r="R220" t="str">
        <f>IF(ISBLANK(JP!Q224),"","x")</f>
        <v/>
      </c>
      <c r="S220" t="str">
        <f>IF(ISBLANK(JP!R224),"","x")</f>
        <v/>
      </c>
      <c r="T220" t="str">
        <f>IF(ISBLANK(JP!T224),"","x")</f>
        <v/>
      </c>
      <c r="U220" t="str">
        <f>IF(ISBLANK(JP!U224),"","x")</f>
        <v/>
      </c>
      <c r="V220" t="str">
        <f>IF(ISBLANK(JP!V224),"","x")</f>
        <v/>
      </c>
      <c r="W220" t="str">
        <f>IF(ISBLANK(JP!W224),"","x")</f>
        <v/>
      </c>
      <c r="X220" t="str">
        <f>IF(ISBLANK(JP!X224),"","x")</f>
        <v/>
      </c>
      <c r="Y220" t="str">
        <f>IF(ISBLANK(JP!Y224),"","x")</f>
        <v/>
      </c>
      <c r="Z220" t="str">
        <f>IF(ISBLANK(JP!Z224),"","x")</f>
        <v/>
      </c>
      <c r="AA220" t="str">
        <f>IF(ISBLANK(JP!AB224),"","x")</f>
        <v/>
      </c>
      <c r="AB220" t="str">
        <f>IF(ISBLANK(JP!AC224),"","x")</f>
        <v/>
      </c>
      <c r="AC220" t="str">
        <f>IF(ISBLANK(JP!AD224),"","x")</f>
        <v/>
      </c>
      <c r="AD220" t="str">
        <f>IF(ISBLANK(JP!AE224),"","x")</f>
        <v/>
      </c>
      <c r="AE220" t="str">
        <f>IF(ISBLANK(JP!AF224),"","x")</f>
        <v/>
      </c>
      <c r="AF220" t="str">
        <f>IF(ISBLANK(JP!AG224),"","x")</f>
        <v/>
      </c>
      <c r="AG220" t="str">
        <f>IF(ISBLANK(JP!AH224),"","x")</f>
        <v/>
      </c>
      <c r="AH220" t="str">
        <f>IF(ISBLANK(JP!AJ224),"","x")</f>
        <v/>
      </c>
      <c r="AI220" t="str">
        <f>IF(ISBLANK(JP!AK224),"","x")</f>
        <v/>
      </c>
      <c r="AJ220" t="str">
        <f>IF(ISBLANK(JP!AL224),"","x")</f>
        <v/>
      </c>
      <c r="AK220" t="str">
        <f>IF(ISBLANK(JP!AM224),"","x")</f>
        <v/>
      </c>
      <c r="AL220" t="str">
        <f>IF(ISBLANK(JP!AN224),"","x")</f>
        <v/>
      </c>
      <c r="AM220" t="str">
        <f>IF(ISBLANK(JP!AO224),"","x")</f>
        <v/>
      </c>
      <c r="AN220" t="str">
        <f>IF(ISBLANK(JP!AP224),"","x")</f>
        <v/>
      </c>
      <c r="AO220" t="str">
        <f>IF(ISBLANK(JP!AR224),"","x")</f>
        <v/>
      </c>
      <c r="AP220" t="str">
        <f>IF(ISBLANK(JP!AS224),"","x")</f>
        <v/>
      </c>
      <c r="AQ220" t="str">
        <f>IF(ISBLANK(JP!AT224),"","x")</f>
        <v/>
      </c>
      <c r="AR220" t="str">
        <f>IF(ISBLANK(JP!AU224),"","x")</f>
        <v/>
      </c>
      <c r="AS220" t="str">
        <f>IF(ISBLANK(JP!AV224),"","x")</f>
        <v/>
      </c>
      <c r="AT220" t="str">
        <f>IF(ISBLANK(JP!AW224),"","x")</f>
        <v/>
      </c>
      <c r="AU220" t="str">
        <f>IF(ISBLANK(JP!AX224),"","x")</f>
        <v/>
      </c>
    </row>
    <row r="221" spans="2:47">
      <c r="B221">
        <f>IF(ISBLANK(JP!AZ225),"",JP!AZ225)</f>
        <v>10041016</v>
      </c>
      <c r="C221" t="str">
        <f>IF(ISBLANK(JP!BA225),"",JP!BA225)</f>
        <v>ASTONS SPECIALITIES - JCUBE</v>
      </c>
      <c r="D221" t="str">
        <f>IF(ISBLANK(JP!BC225),"",JP!BC225)</f>
        <v>2 JURONG EAST CENTRAL 1</v>
      </c>
      <c r="E221">
        <f>IF(ISBLANK(JP!BB225),"",JP!BB225)</f>
        <v>1</v>
      </c>
      <c r="F221" t="str">
        <f>IF(ISBLANK(JP!D225),"","x")</f>
        <v/>
      </c>
      <c r="G221" t="str">
        <f>IF(ISBLANK(JP!E225),"","x")</f>
        <v/>
      </c>
      <c r="H221" t="str">
        <f>IF(ISBLANK(JP!F225),"","x")</f>
        <v/>
      </c>
      <c r="I221" t="str">
        <f>IF(ISBLANK(JP!G225),"","x")</f>
        <v/>
      </c>
      <c r="J221" t="str">
        <f>IF(ISBLANK(JP!H225),"","x")</f>
        <v/>
      </c>
      <c r="K221" t="str">
        <f>IF(ISBLANK(JP!I225),"","x")</f>
        <v/>
      </c>
      <c r="L221" t="str">
        <f>IF(ISBLANK(JP!J225),"","x")</f>
        <v/>
      </c>
      <c r="M221" t="str">
        <f>IF(ISBLANK(JP!L225),"","x")</f>
        <v/>
      </c>
      <c r="N221" t="str">
        <f>IF(ISBLANK(JP!M225),"","x")</f>
        <v/>
      </c>
      <c r="O221" t="str">
        <f>IF(ISBLANK(JP!N225),"","x")</f>
        <v/>
      </c>
      <c r="P221" t="str">
        <f>IF(ISBLANK(JP!O225),"","x")</f>
        <v/>
      </c>
      <c r="Q221" t="str">
        <f>IF(ISBLANK(JP!P225),"","x")</f>
        <v/>
      </c>
      <c r="R221" t="str">
        <f>IF(ISBLANK(JP!Q225),"","x")</f>
        <v/>
      </c>
      <c r="S221" t="str">
        <f>IF(ISBLANK(JP!R225),"","x")</f>
        <v/>
      </c>
      <c r="T221" t="str">
        <f>IF(ISBLANK(JP!T225),"","x")</f>
        <v/>
      </c>
      <c r="U221" t="str">
        <f>IF(ISBLANK(JP!U225),"","x")</f>
        <v/>
      </c>
      <c r="V221" t="str">
        <f>IF(ISBLANK(JP!V225),"","x")</f>
        <v/>
      </c>
      <c r="W221" t="str">
        <f>IF(ISBLANK(JP!W225),"","x")</f>
        <v/>
      </c>
      <c r="X221" t="str">
        <f>IF(ISBLANK(JP!X225),"","x")</f>
        <v/>
      </c>
      <c r="Y221" t="str">
        <f>IF(ISBLANK(JP!Y225),"","x")</f>
        <v/>
      </c>
      <c r="Z221" t="str">
        <f>IF(ISBLANK(JP!Z225),"","x")</f>
        <v/>
      </c>
      <c r="AA221" t="str">
        <f>IF(ISBLANK(JP!AB225),"","x")</f>
        <v/>
      </c>
      <c r="AB221" t="str">
        <f>IF(ISBLANK(JP!AC225),"","x")</f>
        <v/>
      </c>
      <c r="AC221" t="str">
        <f>IF(ISBLANK(JP!AD225),"","x")</f>
        <v/>
      </c>
      <c r="AD221" t="str">
        <f>IF(ISBLANK(JP!AE225),"","x")</f>
        <v/>
      </c>
      <c r="AE221" t="str">
        <f>IF(ISBLANK(JP!AF225),"","x")</f>
        <v/>
      </c>
      <c r="AF221" t="str">
        <f>IF(ISBLANK(JP!AG225),"","x")</f>
        <v/>
      </c>
      <c r="AG221" t="str">
        <f>IF(ISBLANK(JP!AH225),"","x")</f>
        <v/>
      </c>
      <c r="AH221" t="str">
        <f>IF(ISBLANK(JP!AJ225),"","x")</f>
        <v/>
      </c>
      <c r="AI221" t="str">
        <f>IF(ISBLANK(JP!AK225),"","x")</f>
        <v/>
      </c>
      <c r="AJ221" t="str">
        <f>IF(ISBLANK(JP!AL225),"","x")</f>
        <v/>
      </c>
      <c r="AK221" t="str">
        <f>IF(ISBLANK(JP!AM225),"","x")</f>
        <v/>
      </c>
      <c r="AL221" t="str">
        <f>IF(ISBLANK(JP!AN225),"","x")</f>
        <v/>
      </c>
      <c r="AM221" t="str">
        <f>IF(ISBLANK(JP!AO225),"","x")</f>
        <v/>
      </c>
      <c r="AN221" t="str">
        <f>IF(ISBLANK(JP!AP225),"","x")</f>
        <v/>
      </c>
      <c r="AO221" t="str">
        <f>IF(ISBLANK(JP!AR225),"","x")</f>
        <v/>
      </c>
      <c r="AP221" t="str">
        <f>IF(ISBLANK(JP!AS225),"","x")</f>
        <v/>
      </c>
      <c r="AQ221" t="str">
        <f>IF(ISBLANK(JP!AT225),"","x")</f>
        <v/>
      </c>
      <c r="AR221" t="str">
        <f>IF(ISBLANK(JP!AU225),"","x")</f>
        <v/>
      </c>
      <c r="AS221" t="str">
        <f>IF(ISBLANK(JP!AV225),"","x")</f>
        <v/>
      </c>
      <c r="AT221" t="str">
        <f>IF(ISBLANK(JP!AW225),"","x")</f>
        <v/>
      </c>
      <c r="AU221" t="str">
        <f>IF(ISBLANK(JP!AX225),"","x")</f>
        <v/>
      </c>
    </row>
    <row r="222" spans="2:47">
      <c r="B222">
        <f>IF(ISBLANK(JP!AZ226),"",JP!AZ226)</f>
        <v>10041510</v>
      </c>
      <c r="C222" t="str">
        <f>IF(ISBLANK(JP!BA226),"",JP!BA226)</f>
        <v>SAIZERIYA ITALIAN RESTAURANT (JCUBE)</v>
      </c>
      <c r="D222" t="str">
        <f>IF(ISBLANK(JP!BC226),"",JP!BC226)</f>
        <v>2 JURONG EAST CENTRAL 1</v>
      </c>
      <c r="E222">
        <f>IF(ISBLANK(JP!BB226),"",JP!BB226)</f>
        <v>1</v>
      </c>
      <c r="F222" t="str">
        <f>IF(ISBLANK(JP!D226),"","x")</f>
        <v/>
      </c>
      <c r="G222" t="str">
        <f>IF(ISBLANK(JP!E226),"","x")</f>
        <v/>
      </c>
      <c r="H222" t="str">
        <f>IF(ISBLANK(JP!F226),"","x")</f>
        <v/>
      </c>
      <c r="I222" t="str">
        <f>IF(ISBLANK(JP!G226),"","x")</f>
        <v/>
      </c>
      <c r="J222" t="str">
        <f>IF(ISBLANK(JP!H226),"","x")</f>
        <v/>
      </c>
      <c r="K222" t="str">
        <f>IF(ISBLANK(JP!I226),"","x")</f>
        <v/>
      </c>
      <c r="L222" t="str">
        <f>IF(ISBLANK(JP!J226),"","x")</f>
        <v/>
      </c>
      <c r="M222" t="str">
        <f>IF(ISBLANK(JP!L226),"","x")</f>
        <v/>
      </c>
      <c r="N222" t="str">
        <f>IF(ISBLANK(JP!M226),"","x")</f>
        <v/>
      </c>
      <c r="O222" t="str">
        <f>IF(ISBLANK(JP!N226),"","x")</f>
        <v/>
      </c>
      <c r="P222" t="str">
        <f>IF(ISBLANK(JP!O226),"","x")</f>
        <v/>
      </c>
      <c r="Q222" t="str">
        <f>IF(ISBLANK(JP!P226),"","x")</f>
        <v/>
      </c>
      <c r="R222" t="str">
        <f>IF(ISBLANK(JP!Q226),"","x")</f>
        <v/>
      </c>
      <c r="S222" t="str">
        <f>IF(ISBLANK(JP!R226),"","x")</f>
        <v/>
      </c>
      <c r="T222" t="str">
        <f>IF(ISBLANK(JP!T226),"","x")</f>
        <v/>
      </c>
      <c r="U222" t="str">
        <f>IF(ISBLANK(JP!U226),"","x")</f>
        <v/>
      </c>
      <c r="V222" t="str">
        <f>IF(ISBLANK(JP!V226),"","x")</f>
        <v/>
      </c>
      <c r="W222" t="str">
        <f>IF(ISBLANK(JP!W226),"","x")</f>
        <v/>
      </c>
      <c r="X222" t="str">
        <f>IF(ISBLANK(JP!X226),"","x")</f>
        <v/>
      </c>
      <c r="Y222" t="str">
        <f>IF(ISBLANK(JP!Y226),"","x")</f>
        <v/>
      </c>
      <c r="Z222" t="str">
        <f>IF(ISBLANK(JP!Z226),"","x")</f>
        <v/>
      </c>
      <c r="AA222" t="str">
        <f>IF(ISBLANK(JP!AB226),"","x")</f>
        <v/>
      </c>
      <c r="AB222" t="str">
        <f>IF(ISBLANK(JP!AC226),"","x")</f>
        <v/>
      </c>
      <c r="AC222" t="str">
        <f>IF(ISBLANK(JP!AD226),"","x")</f>
        <v/>
      </c>
      <c r="AD222" t="str">
        <f>IF(ISBLANK(JP!AE226),"","x")</f>
        <v/>
      </c>
      <c r="AE222" t="str">
        <f>IF(ISBLANK(JP!AF226),"","x")</f>
        <v/>
      </c>
      <c r="AF222" t="str">
        <f>IF(ISBLANK(JP!AG226),"","x")</f>
        <v/>
      </c>
      <c r="AG222" t="str">
        <f>IF(ISBLANK(JP!AH226),"","x")</f>
        <v/>
      </c>
      <c r="AH222" t="str">
        <f>IF(ISBLANK(JP!AJ226),"","x")</f>
        <v/>
      </c>
      <c r="AI222" t="str">
        <f>IF(ISBLANK(JP!AK226),"","x")</f>
        <v/>
      </c>
      <c r="AJ222" t="str">
        <f>IF(ISBLANK(JP!AL226),"","x")</f>
        <v/>
      </c>
      <c r="AK222" t="str">
        <f>IF(ISBLANK(JP!AM226),"","x")</f>
        <v/>
      </c>
      <c r="AL222" t="str">
        <f>IF(ISBLANK(JP!AN226),"","x")</f>
        <v/>
      </c>
      <c r="AM222" t="str">
        <f>IF(ISBLANK(JP!AO226),"","x")</f>
        <v/>
      </c>
      <c r="AN222" t="str">
        <f>IF(ISBLANK(JP!AP226),"","x")</f>
        <v/>
      </c>
      <c r="AO222" t="str">
        <f>IF(ISBLANK(JP!AR226),"","x")</f>
        <v/>
      </c>
      <c r="AP222" t="str">
        <f>IF(ISBLANK(JP!AS226),"","x")</f>
        <v/>
      </c>
      <c r="AQ222" t="str">
        <f>IF(ISBLANK(JP!AT226),"","x")</f>
        <v/>
      </c>
      <c r="AR222" t="str">
        <f>IF(ISBLANK(JP!AU226),"","x")</f>
        <v/>
      </c>
      <c r="AS222" t="str">
        <f>IF(ISBLANK(JP!AV226),"","x")</f>
        <v/>
      </c>
      <c r="AT222" t="str">
        <f>IF(ISBLANK(JP!AW226),"","x")</f>
        <v/>
      </c>
      <c r="AU222" t="str">
        <f>IF(ISBLANK(JP!AX226),"","x")</f>
        <v/>
      </c>
    </row>
    <row r="223" spans="2:47">
      <c r="B223">
        <f>IF(ISBLANK(JP!AZ227),"",JP!AZ227)</f>
        <v>10029884</v>
      </c>
      <c r="C223" t="str">
        <f>IF(ISBLANK(JP!BA227),"",JP!BA227)</f>
        <v>TCC @ GERMAN CENTRE</v>
      </c>
      <c r="D223" t="str">
        <f>IF(ISBLANK(JP!BC227),"",JP!BC227)</f>
        <v>25 INTERNATIONAL BUSINESS PARK</v>
      </c>
      <c r="E223">
        <f>IF(ISBLANK(JP!BB227),"",JP!BB227)</f>
        <v>1</v>
      </c>
      <c r="F223" t="str">
        <f>IF(ISBLANK(JP!D227),"","x")</f>
        <v/>
      </c>
      <c r="G223" t="str">
        <f>IF(ISBLANK(JP!E227),"","x")</f>
        <v/>
      </c>
      <c r="H223" t="str">
        <f>IF(ISBLANK(JP!F227),"","x")</f>
        <v/>
      </c>
      <c r="I223" t="str">
        <f>IF(ISBLANK(JP!G227),"","x")</f>
        <v/>
      </c>
      <c r="J223" t="str">
        <f>IF(ISBLANK(JP!H227),"","x")</f>
        <v/>
      </c>
      <c r="K223" t="str">
        <f>IF(ISBLANK(JP!I227),"","x")</f>
        <v/>
      </c>
      <c r="L223" t="str">
        <f>IF(ISBLANK(JP!J227),"","x")</f>
        <v/>
      </c>
      <c r="M223" t="str">
        <f>IF(ISBLANK(JP!L227),"","x")</f>
        <v/>
      </c>
      <c r="N223" t="str">
        <f>IF(ISBLANK(JP!M227),"","x")</f>
        <v/>
      </c>
      <c r="O223" t="str">
        <f>IF(ISBLANK(JP!N227),"","x")</f>
        <v/>
      </c>
      <c r="P223" t="str">
        <f>IF(ISBLANK(JP!O227),"","x")</f>
        <v/>
      </c>
      <c r="Q223" t="str">
        <f>IF(ISBLANK(JP!P227),"","x")</f>
        <v/>
      </c>
      <c r="R223" t="str">
        <f>IF(ISBLANK(JP!Q227),"","x")</f>
        <v/>
      </c>
      <c r="S223" t="str">
        <f>IF(ISBLANK(JP!R227),"","x")</f>
        <v/>
      </c>
      <c r="T223" t="str">
        <f>IF(ISBLANK(JP!T227),"","x")</f>
        <v/>
      </c>
      <c r="U223" t="str">
        <f>IF(ISBLANK(JP!U227),"","x")</f>
        <v/>
      </c>
      <c r="V223" t="str">
        <f>IF(ISBLANK(JP!V227),"","x")</f>
        <v/>
      </c>
      <c r="W223" t="str">
        <f>IF(ISBLANK(JP!W227),"","x")</f>
        <v/>
      </c>
      <c r="X223" t="str">
        <f>IF(ISBLANK(JP!X227),"","x")</f>
        <v/>
      </c>
      <c r="Y223" t="str">
        <f>IF(ISBLANK(JP!Y227),"","x")</f>
        <v/>
      </c>
      <c r="Z223" t="str">
        <f>IF(ISBLANK(JP!Z227),"","x")</f>
        <v/>
      </c>
      <c r="AA223" t="str">
        <f>IF(ISBLANK(JP!AB227),"","x")</f>
        <v/>
      </c>
      <c r="AB223" t="str">
        <f>IF(ISBLANK(JP!AC227),"","x")</f>
        <v/>
      </c>
      <c r="AC223" t="str">
        <f>IF(ISBLANK(JP!AD227),"","x")</f>
        <v/>
      </c>
      <c r="AD223" t="str">
        <f>IF(ISBLANK(JP!AE227),"","x")</f>
        <v/>
      </c>
      <c r="AE223" t="str">
        <f>IF(ISBLANK(JP!AF227),"","x")</f>
        <v/>
      </c>
      <c r="AF223" t="str">
        <f>IF(ISBLANK(JP!AG227),"","x")</f>
        <v/>
      </c>
      <c r="AG223" t="str">
        <f>IF(ISBLANK(JP!AH227),"","x")</f>
        <v/>
      </c>
      <c r="AH223" t="str">
        <f>IF(ISBLANK(JP!AJ227),"","x")</f>
        <v/>
      </c>
      <c r="AI223" t="str">
        <f>IF(ISBLANK(JP!AK227),"","x")</f>
        <v/>
      </c>
      <c r="AJ223" t="str">
        <f>IF(ISBLANK(JP!AL227),"","x")</f>
        <v/>
      </c>
      <c r="AK223" t="str">
        <f>IF(ISBLANK(JP!AM227),"","x")</f>
        <v/>
      </c>
      <c r="AL223" t="str">
        <f>IF(ISBLANK(JP!AN227),"","x")</f>
        <v/>
      </c>
      <c r="AM223" t="str">
        <f>IF(ISBLANK(JP!AO227),"","x")</f>
        <v/>
      </c>
      <c r="AN223" t="str">
        <f>IF(ISBLANK(JP!AP227),"","x")</f>
        <v/>
      </c>
      <c r="AO223" t="str">
        <f>IF(ISBLANK(JP!AR227),"","x")</f>
        <v/>
      </c>
      <c r="AP223" t="str">
        <f>IF(ISBLANK(JP!AS227),"","x")</f>
        <v/>
      </c>
      <c r="AQ223" t="str">
        <f>IF(ISBLANK(JP!AT227),"","x")</f>
        <v/>
      </c>
      <c r="AR223" t="str">
        <f>IF(ISBLANK(JP!AU227),"","x")</f>
        <v/>
      </c>
      <c r="AS223" t="str">
        <f>IF(ISBLANK(JP!AV227),"","x")</f>
        <v/>
      </c>
      <c r="AT223" t="str">
        <f>IF(ISBLANK(JP!AW227),"","x")</f>
        <v/>
      </c>
      <c r="AU223" t="str">
        <f>IF(ISBLANK(JP!AX227),"","x")</f>
        <v/>
      </c>
    </row>
    <row r="224" spans="2:47">
      <c r="B224">
        <f>IF(ISBLANK(JP!AZ228),"",JP!AZ228)</f>
        <v>10016473</v>
      </c>
      <c r="C224" t="str">
        <f>IF(ISBLANK(JP!BA228),"",JP!BA228)</f>
        <v>THE LODGE ON FLAMINGO LAKE</v>
      </c>
      <c r="D224" t="str">
        <f>IF(ISBLANK(JP!BC228),"",JP!BC228)</f>
        <v>2 JURONG HILL</v>
      </c>
      <c r="E224">
        <f>IF(ISBLANK(JP!BB228),"",JP!BB228)</f>
        <v>2</v>
      </c>
      <c r="F224" t="str">
        <f>IF(ISBLANK(JP!D228),"","x")</f>
        <v/>
      </c>
      <c r="G224" t="str">
        <f>IF(ISBLANK(JP!E228),"","x")</f>
        <v/>
      </c>
      <c r="H224" t="str">
        <f>IF(ISBLANK(JP!F228),"","x")</f>
        <v/>
      </c>
      <c r="I224" t="str">
        <f>IF(ISBLANK(JP!G228),"","x")</f>
        <v/>
      </c>
      <c r="J224" t="str">
        <f>IF(ISBLANK(JP!H228),"","x")</f>
        <v/>
      </c>
      <c r="K224" t="str">
        <f>IF(ISBLANK(JP!I228),"","x")</f>
        <v/>
      </c>
      <c r="L224" t="str">
        <f>IF(ISBLANK(JP!J228),"","x")</f>
        <v/>
      </c>
      <c r="M224" t="str">
        <f>IF(ISBLANK(JP!L228),"","x")</f>
        <v/>
      </c>
      <c r="N224" t="str">
        <f>IF(ISBLANK(JP!M228),"","x")</f>
        <v/>
      </c>
      <c r="O224" t="str">
        <f>IF(ISBLANK(JP!N228),"","x")</f>
        <v/>
      </c>
      <c r="P224" t="str">
        <f>IF(ISBLANK(JP!O228),"","x")</f>
        <v/>
      </c>
      <c r="Q224" t="str">
        <f>IF(ISBLANK(JP!P228),"","x")</f>
        <v/>
      </c>
      <c r="R224" t="str">
        <f>IF(ISBLANK(JP!Q228),"","x")</f>
        <v/>
      </c>
      <c r="S224" t="str">
        <f>IF(ISBLANK(JP!R228),"","x")</f>
        <v/>
      </c>
      <c r="T224" t="str">
        <f>IF(ISBLANK(JP!T228),"","x")</f>
        <v/>
      </c>
      <c r="U224" t="str">
        <f>IF(ISBLANK(JP!U228),"","x")</f>
        <v/>
      </c>
      <c r="V224" t="str">
        <f>IF(ISBLANK(JP!V228),"","x")</f>
        <v/>
      </c>
      <c r="W224" t="str">
        <f>IF(ISBLANK(JP!W228),"","x")</f>
        <v/>
      </c>
      <c r="X224" t="str">
        <f>IF(ISBLANK(JP!X228),"","x")</f>
        <v/>
      </c>
      <c r="Y224" t="str">
        <f>IF(ISBLANK(JP!Y228),"","x")</f>
        <v/>
      </c>
      <c r="Z224" t="str">
        <f>IF(ISBLANK(JP!Z228),"","x")</f>
        <v/>
      </c>
      <c r="AA224" t="str">
        <f>IF(ISBLANK(JP!AB228),"","x")</f>
        <v/>
      </c>
      <c r="AB224" t="str">
        <f>IF(ISBLANK(JP!AC228),"","x")</f>
        <v/>
      </c>
      <c r="AC224" t="str">
        <f>IF(ISBLANK(JP!AD228),"","x")</f>
        <v/>
      </c>
      <c r="AD224" t="str">
        <f>IF(ISBLANK(JP!AE228),"","x")</f>
        <v/>
      </c>
      <c r="AE224" t="str">
        <f>IF(ISBLANK(JP!AF228),"","x")</f>
        <v/>
      </c>
      <c r="AF224" t="str">
        <f>IF(ISBLANK(JP!AG228),"","x")</f>
        <v/>
      </c>
      <c r="AG224" t="str">
        <f>IF(ISBLANK(JP!AH228),"","x")</f>
        <v/>
      </c>
      <c r="AH224" t="str">
        <f>IF(ISBLANK(JP!AJ228),"","x")</f>
        <v/>
      </c>
      <c r="AI224" t="str">
        <f>IF(ISBLANK(JP!AK228),"","x")</f>
        <v/>
      </c>
      <c r="AJ224" t="str">
        <f>IF(ISBLANK(JP!AL228),"","x")</f>
        <v/>
      </c>
      <c r="AK224" t="str">
        <f>IF(ISBLANK(JP!AM228),"","x")</f>
        <v/>
      </c>
      <c r="AL224" t="str">
        <f>IF(ISBLANK(JP!AN228),"","x")</f>
        <v/>
      </c>
      <c r="AM224" t="str">
        <f>IF(ISBLANK(JP!AO228),"","x")</f>
        <v/>
      </c>
      <c r="AN224" t="str">
        <f>IF(ISBLANK(JP!AP228),"","x")</f>
        <v/>
      </c>
      <c r="AO224" t="str">
        <f>IF(ISBLANK(JP!AR228),"","x")</f>
        <v/>
      </c>
      <c r="AP224" t="str">
        <f>IF(ISBLANK(JP!AS228),"","x")</f>
        <v/>
      </c>
      <c r="AQ224" t="str">
        <f>IF(ISBLANK(JP!AT228),"","x")</f>
        <v/>
      </c>
      <c r="AR224" t="str">
        <f>IF(ISBLANK(JP!AU228),"","x")</f>
        <v/>
      </c>
      <c r="AS224" t="str">
        <f>IF(ISBLANK(JP!AV228),"","x")</f>
        <v/>
      </c>
      <c r="AT224" t="str">
        <f>IF(ISBLANK(JP!AW228),"","x")</f>
        <v/>
      </c>
      <c r="AU224" t="str">
        <f>IF(ISBLANK(JP!AX228),"","x")</f>
        <v/>
      </c>
    </row>
    <row r="225" spans="2:47">
      <c r="B225">
        <f>IF(ISBLANK(JP!AZ229),"",JP!AZ229)</f>
        <v>10044173</v>
      </c>
      <c r="C225" t="str">
        <f>IF(ISBLANK(JP!BA229),"",JP!BA229)</f>
        <v>PATBINGSOO (JURONG POINT)</v>
      </c>
      <c r="D225" t="str">
        <f>IF(ISBLANK(JP!BC229),"",JP!BC229)</f>
        <v>63 JURONG WEST CENTRAL 3</v>
      </c>
      <c r="E225">
        <f>IF(ISBLANK(JP!BB229),"",JP!BB229)</f>
        <v>1</v>
      </c>
      <c r="F225" t="str">
        <f>IF(ISBLANK(JP!D229),"","x")</f>
        <v/>
      </c>
      <c r="G225" t="str">
        <f>IF(ISBLANK(JP!E229),"","x")</f>
        <v/>
      </c>
      <c r="H225" t="str">
        <f>IF(ISBLANK(JP!F229),"","x")</f>
        <v/>
      </c>
      <c r="I225" t="str">
        <f>IF(ISBLANK(JP!G229),"","x")</f>
        <v/>
      </c>
      <c r="J225" t="str">
        <f>IF(ISBLANK(JP!H229),"","x")</f>
        <v/>
      </c>
      <c r="K225" t="str">
        <f>IF(ISBLANK(JP!I229),"","x")</f>
        <v/>
      </c>
      <c r="L225" t="str">
        <f>IF(ISBLANK(JP!J229),"","x")</f>
        <v/>
      </c>
      <c r="M225" t="str">
        <f>IF(ISBLANK(JP!L229),"","x")</f>
        <v/>
      </c>
      <c r="N225" t="str">
        <f>IF(ISBLANK(JP!M229),"","x")</f>
        <v/>
      </c>
      <c r="O225" t="str">
        <f>IF(ISBLANK(JP!N229),"","x")</f>
        <v/>
      </c>
      <c r="P225" t="str">
        <f>IF(ISBLANK(JP!O229),"","x")</f>
        <v/>
      </c>
      <c r="Q225" t="str">
        <f>IF(ISBLANK(JP!P229),"","x")</f>
        <v/>
      </c>
      <c r="R225" t="str">
        <f>IF(ISBLANK(JP!Q229),"","x")</f>
        <v/>
      </c>
      <c r="S225" t="str">
        <f>IF(ISBLANK(JP!R229),"","x")</f>
        <v/>
      </c>
      <c r="T225" t="str">
        <f>IF(ISBLANK(JP!T229),"","x")</f>
        <v/>
      </c>
      <c r="U225" t="str">
        <f>IF(ISBLANK(JP!U229),"","x")</f>
        <v/>
      </c>
      <c r="V225" t="str">
        <f>IF(ISBLANK(JP!V229),"","x")</f>
        <v/>
      </c>
      <c r="W225" t="str">
        <f>IF(ISBLANK(JP!W229),"","x")</f>
        <v/>
      </c>
      <c r="X225" t="str">
        <f>IF(ISBLANK(JP!X229),"","x")</f>
        <v/>
      </c>
      <c r="Y225" t="str">
        <f>IF(ISBLANK(JP!Y229),"","x")</f>
        <v/>
      </c>
      <c r="Z225" t="str">
        <f>IF(ISBLANK(JP!Z229),"","x")</f>
        <v/>
      </c>
      <c r="AA225" t="str">
        <f>IF(ISBLANK(JP!AB229),"","x")</f>
        <v/>
      </c>
      <c r="AB225" t="str">
        <f>IF(ISBLANK(JP!AC229),"","x")</f>
        <v/>
      </c>
      <c r="AC225" t="str">
        <f>IF(ISBLANK(JP!AD229),"","x")</f>
        <v/>
      </c>
      <c r="AD225" t="str">
        <f>IF(ISBLANK(JP!AE229),"","x")</f>
        <v/>
      </c>
      <c r="AE225" t="str">
        <f>IF(ISBLANK(JP!AF229),"","x")</f>
        <v/>
      </c>
      <c r="AF225" t="str">
        <f>IF(ISBLANK(JP!AG229),"","x")</f>
        <v/>
      </c>
      <c r="AG225" t="str">
        <f>IF(ISBLANK(JP!AH229),"","x")</f>
        <v/>
      </c>
      <c r="AH225" t="str">
        <f>IF(ISBLANK(JP!AJ229),"","x")</f>
        <v/>
      </c>
      <c r="AI225" t="str">
        <f>IF(ISBLANK(JP!AK229),"","x")</f>
        <v/>
      </c>
      <c r="AJ225" t="str">
        <f>IF(ISBLANK(JP!AL229),"","x")</f>
        <v/>
      </c>
      <c r="AK225" t="str">
        <f>IF(ISBLANK(JP!AM229),"","x")</f>
        <v/>
      </c>
      <c r="AL225" t="str">
        <f>IF(ISBLANK(JP!AN229),"","x")</f>
        <v/>
      </c>
      <c r="AM225" t="str">
        <f>IF(ISBLANK(JP!AO229),"","x")</f>
        <v/>
      </c>
      <c r="AN225" t="str">
        <f>IF(ISBLANK(JP!AP229),"","x")</f>
        <v/>
      </c>
      <c r="AO225" t="str">
        <f>IF(ISBLANK(JP!AR229),"","x")</f>
        <v/>
      </c>
      <c r="AP225" t="str">
        <f>IF(ISBLANK(JP!AS229),"","x")</f>
        <v/>
      </c>
      <c r="AQ225" t="str">
        <f>IF(ISBLANK(JP!AT229),"","x")</f>
        <v/>
      </c>
      <c r="AR225" t="str">
        <f>IF(ISBLANK(JP!AU229),"","x")</f>
        <v/>
      </c>
      <c r="AS225" t="str">
        <f>IF(ISBLANK(JP!AV229),"","x")</f>
        <v/>
      </c>
      <c r="AT225" t="str">
        <f>IF(ISBLANK(JP!AW229),"","x")</f>
        <v/>
      </c>
      <c r="AU225" t="str">
        <f>IF(ISBLANK(JP!AX229),"","x")</f>
        <v/>
      </c>
    </row>
    <row r="226" spans="2:47">
      <c r="B226">
        <f>IF(ISBLANK(JP!AZ230),"",JP!AZ230)</f>
        <v>10043370</v>
      </c>
      <c r="C226" t="str">
        <f>IF(ISBLANK(JP!BA230),"",JP!BA230)</f>
        <v>DAESSIKSIN (WEST MALL)</v>
      </c>
      <c r="D226" t="str">
        <f>IF(ISBLANK(JP!BC230),"",JP!BC230)</f>
        <v>1 BUKIT BATOK CENTRAL LINK</v>
      </c>
      <c r="E226">
        <f>IF(ISBLANK(JP!BB230),"",JP!BB230)</f>
        <v>1</v>
      </c>
      <c r="F226" t="str">
        <f>IF(ISBLANK(JP!D230),"","x")</f>
        <v/>
      </c>
      <c r="G226" t="str">
        <f>IF(ISBLANK(JP!E230),"","x")</f>
        <v/>
      </c>
      <c r="H226" t="str">
        <f>IF(ISBLANK(JP!F230),"","x")</f>
        <v/>
      </c>
      <c r="I226" t="str">
        <f>IF(ISBLANK(JP!G230),"","x")</f>
        <v/>
      </c>
      <c r="J226" t="str">
        <f>IF(ISBLANK(JP!H230),"","x")</f>
        <v/>
      </c>
      <c r="K226" t="str">
        <f>IF(ISBLANK(JP!I230),"","x")</f>
        <v/>
      </c>
      <c r="L226" t="str">
        <f>IF(ISBLANK(JP!J230),"","x")</f>
        <v/>
      </c>
      <c r="M226" t="str">
        <f>IF(ISBLANK(JP!L230),"","x")</f>
        <v/>
      </c>
      <c r="N226" t="str">
        <f>IF(ISBLANK(JP!M230),"","x")</f>
        <v/>
      </c>
      <c r="O226" t="str">
        <f>IF(ISBLANK(JP!N230),"","x")</f>
        <v/>
      </c>
      <c r="P226" t="str">
        <f>IF(ISBLANK(JP!O230),"","x")</f>
        <v/>
      </c>
      <c r="Q226" t="str">
        <f>IF(ISBLANK(JP!P230),"","x")</f>
        <v/>
      </c>
      <c r="R226" t="str">
        <f>IF(ISBLANK(JP!Q230),"","x")</f>
        <v/>
      </c>
      <c r="S226" t="str">
        <f>IF(ISBLANK(JP!R230),"","x")</f>
        <v/>
      </c>
      <c r="T226" t="str">
        <f>IF(ISBLANK(JP!T230),"","x")</f>
        <v/>
      </c>
      <c r="U226" t="str">
        <f>IF(ISBLANK(JP!U230),"","x")</f>
        <v/>
      </c>
      <c r="V226" t="str">
        <f>IF(ISBLANK(JP!V230),"","x")</f>
        <v/>
      </c>
      <c r="W226" t="str">
        <f>IF(ISBLANK(JP!W230),"","x")</f>
        <v/>
      </c>
      <c r="X226" t="str">
        <f>IF(ISBLANK(JP!X230),"","x")</f>
        <v/>
      </c>
      <c r="Y226" t="str">
        <f>IF(ISBLANK(JP!Y230),"","x")</f>
        <v/>
      </c>
      <c r="Z226" t="str">
        <f>IF(ISBLANK(JP!Z230),"","x")</f>
        <v/>
      </c>
      <c r="AA226" t="str">
        <f>IF(ISBLANK(JP!AB230),"","x")</f>
        <v/>
      </c>
      <c r="AB226" t="str">
        <f>IF(ISBLANK(JP!AC230),"","x")</f>
        <v/>
      </c>
      <c r="AC226" t="str">
        <f>IF(ISBLANK(JP!AD230),"","x")</f>
        <v/>
      </c>
      <c r="AD226" t="str">
        <f>IF(ISBLANK(JP!AE230),"","x")</f>
        <v/>
      </c>
      <c r="AE226" t="str">
        <f>IF(ISBLANK(JP!AF230),"","x")</f>
        <v/>
      </c>
      <c r="AF226" t="str">
        <f>IF(ISBLANK(JP!AG230),"","x")</f>
        <v/>
      </c>
      <c r="AG226" t="str">
        <f>IF(ISBLANK(JP!AH230),"","x")</f>
        <v/>
      </c>
      <c r="AH226" t="str">
        <f>IF(ISBLANK(JP!AJ230),"","x")</f>
        <v/>
      </c>
      <c r="AI226" t="str">
        <f>IF(ISBLANK(JP!AK230),"","x")</f>
        <v/>
      </c>
      <c r="AJ226" t="str">
        <f>IF(ISBLANK(JP!AL230),"","x")</f>
        <v/>
      </c>
      <c r="AK226" t="str">
        <f>IF(ISBLANK(JP!AM230),"","x")</f>
        <v/>
      </c>
      <c r="AL226" t="str">
        <f>IF(ISBLANK(JP!AN230),"","x")</f>
        <v/>
      </c>
      <c r="AM226" t="str">
        <f>IF(ISBLANK(JP!AO230),"","x")</f>
        <v/>
      </c>
      <c r="AN226" t="str">
        <f>IF(ISBLANK(JP!AP230),"","x")</f>
        <v/>
      </c>
      <c r="AO226" t="str">
        <f>IF(ISBLANK(JP!AR230),"","x")</f>
        <v/>
      </c>
      <c r="AP226" t="str">
        <f>IF(ISBLANK(JP!AS230),"","x")</f>
        <v/>
      </c>
      <c r="AQ226" t="str">
        <f>IF(ISBLANK(JP!AT230),"","x")</f>
        <v/>
      </c>
      <c r="AR226" t="str">
        <f>IF(ISBLANK(JP!AU230),"","x")</f>
        <v/>
      </c>
      <c r="AS226" t="str">
        <f>IF(ISBLANK(JP!AV230),"","x")</f>
        <v/>
      </c>
      <c r="AT226" t="str">
        <f>IF(ISBLANK(JP!AW230),"","x")</f>
        <v/>
      </c>
      <c r="AU226" t="str">
        <f>IF(ISBLANK(JP!AX230),"","x")</f>
        <v/>
      </c>
    </row>
    <row r="227" spans="2:47">
      <c r="B227">
        <f>IF(ISBLANK(JP!AZ231),"",JP!AZ231)</f>
        <v>10043070</v>
      </c>
      <c r="C227" t="str">
        <f>IF(ISBLANK(JP!BA231),"",JP!BA231)</f>
        <v>SAIZERIYA ITALIAN RESTAURANT (HILLION)</v>
      </c>
      <c r="D227" t="str">
        <f>IF(ISBLANK(JP!BC231),"",JP!BC231)</f>
        <v>17 PETIR ROAD</v>
      </c>
      <c r="E227">
        <f>IF(ISBLANK(JP!BB231),"",JP!BB231)</f>
        <v>1</v>
      </c>
      <c r="F227" t="str">
        <f>IF(ISBLANK(JP!D231),"","x")</f>
        <v/>
      </c>
      <c r="G227" t="str">
        <f>IF(ISBLANK(JP!E231),"","x")</f>
        <v/>
      </c>
      <c r="H227" t="str">
        <f>IF(ISBLANK(JP!F231),"","x")</f>
        <v/>
      </c>
      <c r="I227" t="str">
        <f>IF(ISBLANK(JP!G231),"","x")</f>
        <v/>
      </c>
      <c r="J227" t="str">
        <f>IF(ISBLANK(JP!H231),"","x")</f>
        <v/>
      </c>
      <c r="K227" t="str">
        <f>IF(ISBLANK(JP!I231),"","x")</f>
        <v/>
      </c>
      <c r="L227" t="str">
        <f>IF(ISBLANK(JP!J231),"","x")</f>
        <v/>
      </c>
      <c r="M227" t="str">
        <f>IF(ISBLANK(JP!L231),"","x")</f>
        <v/>
      </c>
      <c r="N227" t="str">
        <f>IF(ISBLANK(JP!M231),"","x")</f>
        <v/>
      </c>
      <c r="O227" t="str">
        <f>IF(ISBLANK(JP!N231),"","x")</f>
        <v/>
      </c>
      <c r="P227" t="str">
        <f>IF(ISBLANK(JP!O231),"","x")</f>
        <v/>
      </c>
      <c r="Q227" t="str">
        <f>IF(ISBLANK(JP!P231),"","x")</f>
        <v/>
      </c>
      <c r="R227" t="str">
        <f>IF(ISBLANK(JP!Q231),"","x")</f>
        <v/>
      </c>
      <c r="S227" t="str">
        <f>IF(ISBLANK(JP!R231),"","x")</f>
        <v/>
      </c>
      <c r="T227" t="str">
        <f>IF(ISBLANK(JP!T231),"","x")</f>
        <v/>
      </c>
      <c r="U227" t="str">
        <f>IF(ISBLANK(JP!U231),"","x")</f>
        <v/>
      </c>
      <c r="V227" t="str">
        <f>IF(ISBLANK(JP!V231),"","x")</f>
        <v/>
      </c>
      <c r="W227" t="str">
        <f>IF(ISBLANK(JP!W231),"","x")</f>
        <v/>
      </c>
      <c r="X227" t="str">
        <f>IF(ISBLANK(JP!X231),"","x")</f>
        <v/>
      </c>
      <c r="Y227" t="str">
        <f>IF(ISBLANK(JP!Y231),"","x")</f>
        <v/>
      </c>
      <c r="Z227" t="str">
        <f>IF(ISBLANK(JP!Z231),"","x")</f>
        <v/>
      </c>
      <c r="AA227" t="str">
        <f>IF(ISBLANK(JP!AB231),"","x")</f>
        <v/>
      </c>
      <c r="AB227" t="str">
        <f>IF(ISBLANK(JP!AC231),"","x")</f>
        <v/>
      </c>
      <c r="AC227" t="str">
        <f>IF(ISBLANK(JP!AD231),"","x")</f>
        <v/>
      </c>
      <c r="AD227" t="str">
        <f>IF(ISBLANK(JP!AE231),"","x")</f>
        <v/>
      </c>
      <c r="AE227" t="str">
        <f>IF(ISBLANK(JP!AF231),"","x")</f>
        <v/>
      </c>
      <c r="AF227" t="str">
        <f>IF(ISBLANK(JP!AG231),"","x")</f>
        <v/>
      </c>
      <c r="AG227" t="str">
        <f>IF(ISBLANK(JP!AH231),"","x")</f>
        <v/>
      </c>
      <c r="AH227" t="str">
        <f>IF(ISBLANK(JP!AJ231),"","x")</f>
        <v/>
      </c>
      <c r="AI227" t="str">
        <f>IF(ISBLANK(JP!AK231),"","x")</f>
        <v/>
      </c>
      <c r="AJ227" t="str">
        <f>IF(ISBLANK(JP!AL231),"","x")</f>
        <v/>
      </c>
      <c r="AK227" t="str">
        <f>IF(ISBLANK(JP!AM231),"","x")</f>
        <v/>
      </c>
      <c r="AL227" t="str">
        <f>IF(ISBLANK(JP!AN231),"","x")</f>
        <v/>
      </c>
      <c r="AM227" t="str">
        <f>IF(ISBLANK(JP!AO231),"","x")</f>
        <v/>
      </c>
      <c r="AN227" t="str">
        <f>IF(ISBLANK(JP!AP231),"","x")</f>
        <v/>
      </c>
      <c r="AO227" t="str">
        <f>IF(ISBLANK(JP!AR231),"","x")</f>
        <v/>
      </c>
      <c r="AP227" t="str">
        <f>IF(ISBLANK(JP!AS231),"","x")</f>
        <v/>
      </c>
      <c r="AQ227" t="str">
        <f>IF(ISBLANK(JP!AT231),"","x")</f>
        <v/>
      </c>
      <c r="AR227" t="str">
        <f>IF(ISBLANK(JP!AU231),"","x")</f>
        <v/>
      </c>
      <c r="AS227" t="str">
        <f>IF(ISBLANK(JP!AV231),"","x")</f>
        <v/>
      </c>
      <c r="AT227" t="str">
        <f>IF(ISBLANK(JP!AW231),"","x")</f>
        <v/>
      </c>
      <c r="AU227" t="str">
        <f>IF(ISBLANK(JP!AX231),"","x")</f>
        <v/>
      </c>
    </row>
    <row r="228" spans="2:47">
      <c r="B228">
        <f>IF(ISBLANK(JP!AZ232),"",JP!AZ232)</f>
        <v>10043257</v>
      </c>
      <c r="C228" t="str">
        <f>IF(ISBLANK(JP!BA232),"",JP!BA232)</f>
        <v>MOF MY IZAKAYA &amp; DANRO COLLAGEN HOTPOT</v>
      </c>
      <c r="D228" t="str">
        <f>IF(ISBLANK(JP!BC232),"",JP!BC232)</f>
        <v>17 PETIR ROAD</v>
      </c>
      <c r="E228">
        <f>IF(ISBLANK(JP!BB232),"",JP!BB232)</f>
        <v>1</v>
      </c>
      <c r="F228" t="str">
        <f>IF(ISBLANK(JP!D232),"","x")</f>
        <v/>
      </c>
      <c r="G228" t="str">
        <f>IF(ISBLANK(JP!E232),"","x")</f>
        <v/>
      </c>
      <c r="H228" t="str">
        <f>IF(ISBLANK(JP!F232),"","x")</f>
        <v/>
      </c>
      <c r="I228" t="str">
        <f>IF(ISBLANK(JP!G232),"","x")</f>
        <v/>
      </c>
      <c r="J228" t="str">
        <f>IF(ISBLANK(JP!H232),"","x")</f>
        <v/>
      </c>
      <c r="K228" t="str">
        <f>IF(ISBLANK(JP!I232),"","x")</f>
        <v/>
      </c>
      <c r="L228" t="str">
        <f>IF(ISBLANK(JP!J232),"","x")</f>
        <v/>
      </c>
      <c r="M228" t="str">
        <f>IF(ISBLANK(JP!L232),"","x")</f>
        <v/>
      </c>
      <c r="N228" t="str">
        <f>IF(ISBLANK(JP!M232),"","x")</f>
        <v/>
      </c>
      <c r="O228" t="str">
        <f>IF(ISBLANK(JP!N232),"","x")</f>
        <v/>
      </c>
      <c r="P228" t="str">
        <f>IF(ISBLANK(JP!O232),"","x")</f>
        <v/>
      </c>
      <c r="Q228" t="str">
        <f>IF(ISBLANK(JP!P232),"","x")</f>
        <v/>
      </c>
      <c r="R228" t="str">
        <f>IF(ISBLANK(JP!Q232),"","x")</f>
        <v/>
      </c>
      <c r="S228" t="str">
        <f>IF(ISBLANK(JP!R232),"","x")</f>
        <v/>
      </c>
      <c r="T228" t="str">
        <f>IF(ISBLANK(JP!T232),"","x")</f>
        <v/>
      </c>
      <c r="U228" t="str">
        <f>IF(ISBLANK(JP!U232),"","x")</f>
        <v/>
      </c>
      <c r="V228" t="str">
        <f>IF(ISBLANK(JP!V232),"","x")</f>
        <v/>
      </c>
      <c r="W228" t="str">
        <f>IF(ISBLANK(JP!W232),"","x")</f>
        <v/>
      </c>
      <c r="X228" t="str">
        <f>IF(ISBLANK(JP!X232),"","x")</f>
        <v/>
      </c>
      <c r="Y228" t="str">
        <f>IF(ISBLANK(JP!Y232),"","x")</f>
        <v/>
      </c>
      <c r="Z228" t="str">
        <f>IF(ISBLANK(JP!Z232),"","x")</f>
        <v/>
      </c>
      <c r="AA228" t="str">
        <f>IF(ISBLANK(JP!AB232),"","x")</f>
        <v/>
      </c>
      <c r="AB228" t="str">
        <f>IF(ISBLANK(JP!AC232),"","x")</f>
        <v/>
      </c>
      <c r="AC228" t="str">
        <f>IF(ISBLANK(JP!AD232),"","x")</f>
        <v/>
      </c>
      <c r="AD228" t="str">
        <f>IF(ISBLANK(JP!AE232),"","x")</f>
        <v/>
      </c>
      <c r="AE228" t="str">
        <f>IF(ISBLANK(JP!AF232),"","x")</f>
        <v/>
      </c>
      <c r="AF228" t="str">
        <f>IF(ISBLANK(JP!AG232),"","x")</f>
        <v/>
      </c>
      <c r="AG228" t="str">
        <f>IF(ISBLANK(JP!AH232),"","x")</f>
        <v/>
      </c>
      <c r="AH228" t="str">
        <f>IF(ISBLANK(JP!AJ232),"","x")</f>
        <v/>
      </c>
      <c r="AI228" t="str">
        <f>IF(ISBLANK(JP!AK232),"","x")</f>
        <v/>
      </c>
      <c r="AJ228" t="str">
        <f>IF(ISBLANK(JP!AL232),"","x")</f>
        <v/>
      </c>
      <c r="AK228" t="str">
        <f>IF(ISBLANK(JP!AM232),"","x")</f>
        <v/>
      </c>
      <c r="AL228" t="str">
        <f>IF(ISBLANK(JP!AN232),"","x")</f>
        <v/>
      </c>
      <c r="AM228" t="str">
        <f>IF(ISBLANK(JP!AO232),"","x")</f>
        <v/>
      </c>
      <c r="AN228" t="str">
        <f>IF(ISBLANK(JP!AP232),"","x")</f>
        <v/>
      </c>
      <c r="AO228" t="str">
        <f>IF(ISBLANK(JP!AR232),"","x")</f>
        <v/>
      </c>
      <c r="AP228" t="str">
        <f>IF(ISBLANK(JP!AS232),"","x")</f>
        <v/>
      </c>
      <c r="AQ228" t="str">
        <f>IF(ISBLANK(JP!AT232),"","x")</f>
        <v/>
      </c>
      <c r="AR228" t="str">
        <f>IF(ISBLANK(JP!AU232),"","x")</f>
        <v/>
      </c>
      <c r="AS228" t="str">
        <f>IF(ISBLANK(JP!AV232),"","x")</f>
        <v/>
      </c>
      <c r="AT228" t="str">
        <f>IF(ISBLANK(JP!AW232),"","x")</f>
        <v/>
      </c>
      <c r="AU228" t="str">
        <f>IF(ISBLANK(JP!AX232),"","x")</f>
        <v/>
      </c>
    </row>
    <row r="229" spans="2:47">
      <c r="B229">
        <f>IF(ISBLANK(JP!AZ233),"",JP!AZ233)</f>
        <v>10045863</v>
      </c>
      <c r="C229" t="str">
        <f>IF(ISBLANK(JP!BA233),"",JP!BA233)</f>
        <v>SAIZERIYA (YEW TEE POINT)</v>
      </c>
      <c r="D229" t="str">
        <f>IF(ISBLANK(JP!BC233),"",JP!BC233)</f>
        <v>21 CHOA CHU KANG NORTH 6</v>
      </c>
      <c r="E229">
        <f>IF(ISBLANK(JP!BB233),"",JP!BB233)</f>
        <v>2</v>
      </c>
      <c r="F229" t="str">
        <f>IF(ISBLANK(JP!D233),"","x")</f>
        <v/>
      </c>
      <c r="G229" t="str">
        <f>IF(ISBLANK(JP!E233),"","x")</f>
        <v/>
      </c>
      <c r="H229" t="str">
        <f>IF(ISBLANK(JP!F233),"","x")</f>
        <v/>
      </c>
      <c r="I229" t="str">
        <f>IF(ISBLANK(JP!G233),"","x")</f>
        <v/>
      </c>
      <c r="J229" t="str">
        <f>IF(ISBLANK(JP!H233),"","x")</f>
        <v/>
      </c>
      <c r="K229" t="str">
        <f>IF(ISBLANK(JP!I233),"","x")</f>
        <v/>
      </c>
      <c r="L229" t="str">
        <f>IF(ISBLANK(JP!J233),"","x")</f>
        <v/>
      </c>
      <c r="M229" t="str">
        <f>IF(ISBLANK(JP!L233),"","x")</f>
        <v/>
      </c>
      <c r="N229" t="str">
        <f>IF(ISBLANK(JP!M233),"","x")</f>
        <v/>
      </c>
      <c r="O229" t="str">
        <f>IF(ISBLANK(JP!N233),"","x")</f>
        <v/>
      </c>
      <c r="P229" t="str">
        <f>IF(ISBLANK(JP!O233),"","x")</f>
        <v/>
      </c>
      <c r="Q229" t="str">
        <f>IF(ISBLANK(JP!P233),"","x")</f>
        <v/>
      </c>
      <c r="R229" t="str">
        <f>IF(ISBLANK(JP!Q233),"","x")</f>
        <v/>
      </c>
      <c r="S229" t="str">
        <f>IF(ISBLANK(JP!R233),"","x")</f>
        <v/>
      </c>
      <c r="T229" t="str">
        <f>IF(ISBLANK(JP!T233),"","x")</f>
        <v/>
      </c>
      <c r="U229" t="str">
        <f>IF(ISBLANK(JP!U233),"","x")</f>
        <v/>
      </c>
      <c r="V229" t="str">
        <f>IF(ISBLANK(JP!V233),"","x")</f>
        <v/>
      </c>
      <c r="W229" t="str">
        <f>IF(ISBLANK(JP!W233),"","x")</f>
        <v/>
      </c>
      <c r="X229" t="str">
        <f>IF(ISBLANK(JP!X233),"","x")</f>
        <v/>
      </c>
      <c r="Y229" t="str">
        <f>IF(ISBLANK(JP!Y233),"","x")</f>
        <v/>
      </c>
      <c r="Z229" t="str">
        <f>IF(ISBLANK(JP!Z233),"","x")</f>
        <v/>
      </c>
      <c r="AA229" t="str">
        <f>IF(ISBLANK(JP!AB233),"","x")</f>
        <v/>
      </c>
      <c r="AB229" t="str">
        <f>IF(ISBLANK(JP!AC233),"","x")</f>
        <v/>
      </c>
      <c r="AC229" t="str">
        <f>IF(ISBLANK(JP!AD233),"","x")</f>
        <v/>
      </c>
      <c r="AD229" t="str">
        <f>IF(ISBLANK(JP!AE233),"","x")</f>
        <v/>
      </c>
      <c r="AE229" t="str">
        <f>IF(ISBLANK(JP!AF233),"","x")</f>
        <v/>
      </c>
      <c r="AF229" t="str">
        <f>IF(ISBLANK(JP!AG233),"","x")</f>
        <v/>
      </c>
      <c r="AG229" t="str">
        <f>IF(ISBLANK(JP!AH233),"","x")</f>
        <v/>
      </c>
      <c r="AH229" t="str">
        <f>IF(ISBLANK(JP!AJ233),"","x")</f>
        <v/>
      </c>
      <c r="AI229" t="str">
        <f>IF(ISBLANK(JP!AK233),"","x")</f>
        <v/>
      </c>
      <c r="AJ229" t="str">
        <f>IF(ISBLANK(JP!AL233),"","x")</f>
        <v/>
      </c>
      <c r="AK229" t="str">
        <f>IF(ISBLANK(JP!AM233),"","x")</f>
        <v/>
      </c>
      <c r="AL229" t="str">
        <f>IF(ISBLANK(JP!AN233),"","x")</f>
        <v/>
      </c>
      <c r="AM229" t="str">
        <f>IF(ISBLANK(JP!AO233),"","x")</f>
        <v/>
      </c>
      <c r="AN229" t="str">
        <f>IF(ISBLANK(JP!AP233),"","x")</f>
        <v/>
      </c>
      <c r="AO229" t="str">
        <f>IF(ISBLANK(JP!AR233),"","x")</f>
        <v/>
      </c>
      <c r="AP229" t="str">
        <f>IF(ISBLANK(JP!AS233),"","x")</f>
        <v/>
      </c>
      <c r="AQ229" t="str">
        <f>IF(ISBLANK(JP!AT233),"","x")</f>
        <v/>
      </c>
      <c r="AR229" t="str">
        <f>IF(ISBLANK(JP!AU233),"","x")</f>
        <v/>
      </c>
      <c r="AS229" t="str">
        <f>IF(ISBLANK(JP!AV233),"","x")</f>
        <v/>
      </c>
      <c r="AT229" t="str">
        <f>IF(ISBLANK(JP!AW233),"","x")</f>
        <v/>
      </c>
      <c r="AU229" t="str">
        <f>IF(ISBLANK(JP!AX233),"","x")</f>
        <v/>
      </c>
    </row>
    <row r="230" spans="2:47">
      <c r="B230">
        <f>IF(ISBLANK(JP!AZ234),"",JP!AZ234)</f>
        <v>10036449</v>
      </c>
      <c r="C230" t="str">
        <f>IF(ISBLANK(JP!BA234),"",JP!BA234)</f>
        <v>MY IZAKAYA @ CHOA CHU KANG</v>
      </c>
      <c r="D230" t="str">
        <f>IF(ISBLANK(JP!BC234),"",JP!BC234)</f>
        <v>21 CHOA CHU KANG AVENUE 4</v>
      </c>
      <c r="E230">
        <f>IF(ISBLANK(JP!BB234),"",JP!BB234)</f>
        <v>1</v>
      </c>
      <c r="F230" t="str">
        <f>IF(ISBLANK(JP!D234),"","x")</f>
        <v/>
      </c>
      <c r="G230" t="str">
        <f>IF(ISBLANK(JP!E234),"","x")</f>
        <v/>
      </c>
      <c r="H230" t="str">
        <f>IF(ISBLANK(JP!F234),"","x")</f>
        <v/>
      </c>
      <c r="I230" t="str">
        <f>IF(ISBLANK(JP!G234),"","x")</f>
        <v/>
      </c>
      <c r="J230" t="str">
        <f>IF(ISBLANK(JP!H234),"","x")</f>
        <v/>
      </c>
      <c r="K230" t="str">
        <f>IF(ISBLANK(JP!I234),"","x")</f>
        <v/>
      </c>
      <c r="L230" t="str">
        <f>IF(ISBLANK(JP!J234),"","x")</f>
        <v/>
      </c>
      <c r="M230" t="str">
        <f>IF(ISBLANK(JP!L234),"","x")</f>
        <v/>
      </c>
      <c r="N230" t="str">
        <f>IF(ISBLANK(JP!M234),"","x")</f>
        <v/>
      </c>
      <c r="O230" t="str">
        <f>IF(ISBLANK(JP!N234),"","x")</f>
        <v/>
      </c>
      <c r="P230" t="str">
        <f>IF(ISBLANK(JP!O234),"","x")</f>
        <v/>
      </c>
      <c r="Q230" t="str">
        <f>IF(ISBLANK(JP!P234),"","x")</f>
        <v/>
      </c>
      <c r="R230" t="str">
        <f>IF(ISBLANK(JP!Q234),"","x")</f>
        <v/>
      </c>
      <c r="S230" t="str">
        <f>IF(ISBLANK(JP!R234),"","x")</f>
        <v/>
      </c>
      <c r="T230" t="str">
        <f>IF(ISBLANK(JP!T234),"","x")</f>
        <v/>
      </c>
      <c r="U230" t="str">
        <f>IF(ISBLANK(JP!U234),"","x")</f>
        <v/>
      </c>
      <c r="V230" t="str">
        <f>IF(ISBLANK(JP!V234),"","x")</f>
        <v/>
      </c>
      <c r="W230" t="str">
        <f>IF(ISBLANK(JP!W234),"","x")</f>
        <v/>
      </c>
      <c r="X230" t="str">
        <f>IF(ISBLANK(JP!X234),"","x")</f>
        <v/>
      </c>
      <c r="Y230" t="str">
        <f>IF(ISBLANK(JP!Y234),"","x")</f>
        <v/>
      </c>
      <c r="Z230" t="str">
        <f>IF(ISBLANK(JP!Z234),"","x")</f>
        <v/>
      </c>
      <c r="AA230" t="str">
        <f>IF(ISBLANK(JP!AB234),"","x")</f>
        <v/>
      </c>
      <c r="AB230" t="str">
        <f>IF(ISBLANK(JP!AC234),"","x")</f>
        <v/>
      </c>
      <c r="AC230" t="str">
        <f>IF(ISBLANK(JP!AD234),"","x")</f>
        <v/>
      </c>
      <c r="AD230" t="str">
        <f>IF(ISBLANK(JP!AE234),"","x")</f>
        <v/>
      </c>
      <c r="AE230" t="str">
        <f>IF(ISBLANK(JP!AF234),"","x")</f>
        <v/>
      </c>
      <c r="AF230" t="str">
        <f>IF(ISBLANK(JP!AG234),"","x")</f>
        <v/>
      </c>
      <c r="AG230" t="str">
        <f>IF(ISBLANK(JP!AH234),"","x")</f>
        <v/>
      </c>
      <c r="AH230" t="str">
        <f>IF(ISBLANK(JP!AJ234),"","x")</f>
        <v/>
      </c>
      <c r="AI230" t="str">
        <f>IF(ISBLANK(JP!AK234),"","x")</f>
        <v/>
      </c>
      <c r="AJ230" t="str">
        <f>IF(ISBLANK(JP!AL234),"","x")</f>
        <v/>
      </c>
      <c r="AK230" t="str">
        <f>IF(ISBLANK(JP!AM234),"","x")</f>
        <v/>
      </c>
      <c r="AL230" t="str">
        <f>IF(ISBLANK(JP!AN234),"","x")</f>
        <v/>
      </c>
      <c r="AM230" t="str">
        <f>IF(ISBLANK(JP!AO234),"","x")</f>
        <v/>
      </c>
      <c r="AN230" t="str">
        <f>IF(ISBLANK(JP!AP234),"","x")</f>
        <v/>
      </c>
      <c r="AO230" t="str">
        <f>IF(ISBLANK(JP!AR234),"","x")</f>
        <v/>
      </c>
      <c r="AP230" t="str">
        <f>IF(ISBLANK(JP!AS234),"","x")</f>
        <v/>
      </c>
      <c r="AQ230" t="str">
        <f>IF(ISBLANK(JP!AT234),"","x")</f>
        <v/>
      </c>
      <c r="AR230" t="str">
        <f>IF(ISBLANK(JP!AU234),"","x")</f>
        <v/>
      </c>
      <c r="AS230" t="str">
        <f>IF(ISBLANK(JP!AV234),"","x")</f>
        <v/>
      </c>
      <c r="AT230" t="str">
        <f>IF(ISBLANK(JP!AW234),"","x")</f>
        <v/>
      </c>
      <c r="AU230" t="str">
        <f>IF(ISBLANK(JP!AX234),"","x")</f>
        <v/>
      </c>
    </row>
    <row r="231" spans="2:47">
      <c r="B231">
        <f>IF(ISBLANK(JP!AZ235),"",JP!AZ235)</f>
        <v>10007772</v>
      </c>
      <c r="C231" t="str">
        <f>IF(ISBLANK(JP!BA235),"",JP!BA235)</f>
        <v>ULU ULU SAFARI RESTAURANT</v>
      </c>
      <c r="D231" t="str">
        <f>IF(ISBLANK(JP!BC235),"",JP!BC235)</f>
        <v>80 MANDAI LAKE ROAD</v>
      </c>
      <c r="E231">
        <f>IF(ISBLANK(JP!BB235),"",JP!BB235)</f>
        <v>1</v>
      </c>
      <c r="F231" t="str">
        <f>IF(ISBLANK(JP!D235),"","x")</f>
        <v/>
      </c>
      <c r="G231" t="str">
        <f>IF(ISBLANK(JP!E235),"","x")</f>
        <v/>
      </c>
      <c r="H231" t="str">
        <f>IF(ISBLANK(JP!F235),"","x")</f>
        <v/>
      </c>
      <c r="I231" t="str">
        <f>IF(ISBLANK(JP!G235),"","x")</f>
        <v/>
      </c>
      <c r="J231" t="str">
        <f>IF(ISBLANK(JP!H235),"","x")</f>
        <v/>
      </c>
      <c r="K231" t="str">
        <f>IF(ISBLANK(JP!I235),"","x")</f>
        <v/>
      </c>
      <c r="L231" t="str">
        <f>IF(ISBLANK(JP!J235),"","x")</f>
        <v/>
      </c>
      <c r="M231" t="str">
        <f>IF(ISBLANK(JP!L235),"","x")</f>
        <v/>
      </c>
      <c r="N231" t="str">
        <f>IF(ISBLANK(JP!M235),"","x")</f>
        <v/>
      </c>
      <c r="O231" t="str">
        <f>IF(ISBLANK(JP!N235),"","x")</f>
        <v/>
      </c>
      <c r="P231" t="str">
        <f>IF(ISBLANK(JP!O235),"","x")</f>
        <v/>
      </c>
      <c r="Q231" t="str">
        <f>IF(ISBLANK(JP!P235),"","x")</f>
        <v/>
      </c>
      <c r="R231" t="str">
        <f>IF(ISBLANK(JP!Q235),"","x")</f>
        <v/>
      </c>
      <c r="S231" t="str">
        <f>IF(ISBLANK(JP!R235),"","x")</f>
        <v/>
      </c>
      <c r="T231" t="str">
        <f>IF(ISBLANK(JP!T235),"","x")</f>
        <v/>
      </c>
      <c r="U231" t="str">
        <f>IF(ISBLANK(JP!U235),"","x")</f>
        <v/>
      </c>
      <c r="V231" t="str">
        <f>IF(ISBLANK(JP!V235),"","x")</f>
        <v/>
      </c>
      <c r="W231" t="str">
        <f>IF(ISBLANK(JP!W235),"","x")</f>
        <v/>
      </c>
      <c r="X231" t="str">
        <f>IF(ISBLANK(JP!X235),"","x")</f>
        <v/>
      </c>
      <c r="Y231" t="str">
        <f>IF(ISBLANK(JP!Y235),"","x")</f>
        <v/>
      </c>
      <c r="Z231" t="str">
        <f>IF(ISBLANK(JP!Z235),"","x")</f>
        <v/>
      </c>
      <c r="AA231" t="str">
        <f>IF(ISBLANK(JP!AB235),"","x")</f>
        <v/>
      </c>
      <c r="AB231" t="str">
        <f>IF(ISBLANK(JP!AC235),"","x")</f>
        <v/>
      </c>
      <c r="AC231" t="str">
        <f>IF(ISBLANK(JP!AD235),"","x")</f>
        <v/>
      </c>
      <c r="AD231" t="str">
        <f>IF(ISBLANK(JP!AE235),"","x")</f>
        <v/>
      </c>
      <c r="AE231" t="str">
        <f>IF(ISBLANK(JP!AF235),"","x")</f>
        <v/>
      </c>
      <c r="AF231" t="str">
        <f>IF(ISBLANK(JP!AG235),"","x")</f>
        <v/>
      </c>
      <c r="AG231" t="str">
        <f>IF(ISBLANK(JP!AH235),"","x")</f>
        <v/>
      </c>
      <c r="AH231" t="str">
        <f>IF(ISBLANK(JP!AJ235),"","x")</f>
        <v/>
      </c>
      <c r="AI231" t="str">
        <f>IF(ISBLANK(JP!AK235),"","x")</f>
        <v/>
      </c>
      <c r="AJ231" t="str">
        <f>IF(ISBLANK(JP!AL235),"","x")</f>
        <v/>
      </c>
      <c r="AK231" t="str">
        <f>IF(ISBLANK(JP!AM235),"","x")</f>
        <v/>
      </c>
      <c r="AL231" t="str">
        <f>IF(ISBLANK(JP!AN235),"","x")</f>
        <v/>
      </c>
      <c r="AM231" t="str">
        <f>IF(ISBLANK(JP!AO235),"","x")</f>
        <v/>
      </c>
      <c r="AN231" t="str">
        <f>IF(ISBLANK(JP!AP235),"","x")</f>
        <v/>
      </c>
      <c r="AO231" t="str">
        <f>IF(ISBLANK(JP!AR235),"","x")</f>
        <v/>
      </c>
      <c r="AP231" t="str">
        <f>IF(ISBLANK(JP!AS235),"","x")</f>
        <v/>
      </c>
      <c r="AQ231" t="str">
        <f>IF(ISBLANK(JP!AT235),"","x")</f>
        <v/>
      </c>
      <c r="AR231" t="str">
        <f>IF(ISBLANK(JP!AU235),"","x")</f>
        <v/>
      </c>
      <c r="AS231" t="str">
        <f>IF(ISBLANK(JP!AV235),"","x")</f>
        <v/>
      </c>
      <c r="AT231" t="str">
        <f>IF(ISBLANK(JP!AW235),"","x")</f>
        <v/>
      </c>
      <c r="AU231" t="str">
        <f>IF(ISBLANK(JP!AX235),"","x")</f>
        <v/>
      </c>
    </row>
    <row r="232" spans="2:47">
      <c r="B232">
        <f>IF(ISBLANK(JP!AZ236),"",JP!AZ236)</f>
        <v>10014937</v>
      </c>
      <c r="C232" t="str">
        <f>IF(ISBLANK(JP!BA236),"",JP!BA236)</f>
        <v>JUNGLE ROTISSERIE</v>
      </c>
      <c r="D232" t="str">
        <f>IF(ISBLANK(JP!BC236),"",JP!BC236)</f>
        <v>80 MANDAI LAKE ROAD</v>
      </c>
      <c r="E232">
        <f>IF(ISBLANK(JP!BB236),"",JP!BB236)</f>
        <v>1</v>
      </c>
      <c r="F232" t="str">
        <f>IF(ISBLANK(JP!D236),"","x")</f>
        <v/>
      </c>
      <c r="G232" t="str">
        <f>IF(ISBLANK(JP!E236),"","x")</f>
        <v/>
      </c>
      <c r="H232" t="str">
        <f>IF(ISBLANK(JP!F236),"","x")</f>
        <v/>
      </c>
      <c r="I232" t="str">
        <f>IF(ISBLANK(JP!G236),"","x")</f>
        <v/>
      </c>
      <c r="J232" t="str">
        <f>IF(ISBLANK(JP!H236),"","x")</f>
        <v/>
      </c>
      <c r="K232" t="str">
        <f>IF(ISBLANK(JP!I236),"","x")</f>
        <v/>
      </c>
      <c r="L232" t="str">
        <f>IF(ISBLANK(JP!J236),"","x")</f>
        <v/>
      </c>
      <c r="M232" t="str">
        <f>IF(ISBLANK(JP!L236),"","x")</f>
        <v/>
      </c>
      <c r="N232" t="str">
        <f>IF(ISBLANK(JP!M236),"","x")</f>
        <v/>
      </c>
      <c r="O232" t="str">
        <f>IF(ISBLANK(JP!N236),"","x")</f>
        <v/>
      </c>
      <c r="P232" t="str">
        <f>IF(ISBLANK(JP!O236),"","x")</f>
        <v/>
      </c>
      <c r="Q232" t="str">
        <f>IF(ISBLANK(JP!P236),"","x")</f>
        <v/>
      </c>
      <c r="R232" t="str">
        <f>IF(ISBLANK(JP!Q236),"","x")</f>
        <v/>
      </c>
      <c r="S232" t="str">
        <f>IF(ISBLANK(JP!R236),"","x")</f>
        <v/>
      </c>
      <c r="T232" t="str">
        <f>IF(ISBLANK(JP!T236),"","x")</f>
        <v/>
      </c>
      <c r="U232" t="str">
        <f>IF(ISBLANK(JP!U236),"","x")</f>
        <v/>
      </c>
      <c r="V232" t="str">
        <f>IF(ISBLANK(JP!V236),"","x")</f>
        <v/>
      </c>
      <c r="W232" t="str">
        <f>IF(ISBLANK(JP!W236),"","x")</f>
        <v/>
      </c>
      <c r="X232" t="str">
        <f>IF(ISBLANK(JP!X236),"","x")</f>
        <v/>
      </c>
      <c r="Y232" t="str">
        <f>IF(ISBLANK(JP!Y236),"","x")</f>
        <v/>
      </c>
      <c r="Z232" t="str">
        <f>IF(ISBLANK(JP!Z236),"","x")</f>
        <v/>
      </c>
      <c r="AA232" t="str">
        <f>IF(ISBLANK(JP!AB236),"","x")</f>
        <v/>
      </c>
      <c r="AB232" t="str">
        <f>IF(ISBLANK(JP!AC236),"","x")</f>
        <v/>
      </c>
      <c r="AC232" t="str">
        <f>IF(ISBLANK(JP!AD236),"","x")</f>
        <v/>
      </c>
      <c r="AD232" t="str">
        <f>IF(ISBLANK(JP!AE236),"","x")</f>
        <v/>
      </c>
      <c r="AE232" t="str">
        <f>IF(ISBLANK(JP!AF236),"","x")</f>
        <v/>
      </c>
      <c r="AF232" t="str">
        <f>IF(ISBLANK(JP!AG236),"","x")</f>
        <v/>
      </c>
      <c r="AG232" t="str">
        <f>IF(ISBLANK(JP!AH236),"","x")</f>
        <v/>
      </c>
      <c r="AH232" t="str">
        <f>IF(ISBLANK(JP!AJ236),"","x")</f>
        <v/>
      </c>
      <c r="AI232" t="str">
        <f>IF(ISBLANK(JP!AK236),"","x")</f>
        <v/>
      </c>
      <c r="AJ232" t="str">
        <f>IF(ISBLANK(JP!AL236),"","x")</f>
        <v/>
      </c>
      <c r="AK232" t="str">
        <f>IF(ISBLANK(JP!AM236),"","x")</f>
        <v/>
      </c>
      <c r="AL232" t="str">
        <f>IF(ISBLANK(JP!AN236),"","x")</f>
        <v/>
      </c>
      <c r="AM232" t="str">
        <f>IF(ISBLANK(JP!AO236),"","x")</f>
        <v/>
      </c>
      <c r="AN232" t="str">
        <f>IF(ISBLANK(JP!AP236),"","x")</f>
        <v/>
      </c>
      <c r="AO232" t="str">
        <f>IF(ISBLANK(JP!AR236),"","x")</f>
        <v/>
      </c>
      <c r="AP232" t="str">
        <f>IF(ISBLANK(JP!AS236),"","x")</f>
        <v/>
      </c>
      <c r="AQ232" t="str">
        <f>IF(ISBLANK(JP!AT236),"","x")</f>
        <v/>
      </c>
      <c r="AR232" t="str">
        <f>IF(ISBLANK(JP!AU236),"","x")</f>
        <v/>
      </c>
      <c r="AS232" t="str">
        <f>IF(ISBLANK(JP!AV236),"","x")</f>
        <v/>
      </c>
      <c r="AT232" t="str">
        <f>IF(ISBLANK(JP!AW236),"","x")</f>
        <v/>
      </c>
      <c r="AU232" t="str">
        <f>IF(ISBLANK(JP!AX236),"","x")</f>
        <v/>
      </c>
    </row>
    <row r="233" spans="2:47">
      <c r="B233">
        <f>IF(ISBLANK(JP!AZ237),"",JP!AZ237)</f>
        <v>10027614</v>
      </c>
      <c r="C233" t="str">
        <f>IF(ISBLANK(JP!BA237),"",JP!BA237)</f>
        <v>WILD DELI</v>
      </c>
      <c r="D233" t="str">
        <f>IF(ISBLANK(JP!BC237),"",JP!BC237)</f>
        <v>80 MANDAI LAKE ROAD</v>
      </c>
      <c r="E233">
        <f>IF(ISBLANK(JP!BB237),"",JP!BB237)</f>
        <v>2</v>
      </c>
      <c r="F233" t="str">
        <f>IF(ISBLANK(JP!D237),"","x")</f>
        <v/>
      </c>
      <c r="G233" t="str">
        <f>IF(ISBLANK(JP!E237),"","x")</f>
        <v/>
      </c>
      <c r="H233" t="str">
        <f>IF(ISBLANK(JP!F237),"","x")</f>
        <v/>
      </c>
      <c r="I233" t="str">
        <f>IF(ISBLANK(JP!G237),"","x")</f>
        <v/>
      </c>
      <c r="J233" t="str">
        <f>IF(ISBLANK(JP!H237),"","x")</f>
        <v/>
      </c>
      <c r="K233" t="str">
        <f>IF(ISBLANK(JP!I237),"","x")</f>
        <v/>
      </c>
      <c r="L233" t="str">
        <f>IF(ISBLANK(JP!J237),"","x")</f>
        <v/>
      </c>
      <c r="M233" t="str">
        <f>IF(ISBLANK(JP!L237),"","x")</f>
        <v/>
      </c>
      <c r="N233" t="str">
        <f>IF(ISBLANK(JP!M237),"","x")</f>
        <v/>
      </c>
      <c r="O233" t="str">
        <f>IF(ISBLANK(JP!N237),"","x")</f>
        <v/>
      </c>
      <c r="P233" t="str">
        <f>IF(ISBLANK(JP!O237),"","x")</f>
        <v/>
      </c>
      <c r="Q233" t="str">
        <f>IF(ISBLANK(JP!P237),"","x")</f>
        <v/>
      </c>
      <c r="R233" t="str">
        <f>IF(ISBLANK(JP!Q237),"","x")</f>
        <v/>
      </c>
      <c r="S233" t="str">
        <f>IF(ISBLANK(JP!R237),"","x")</f>
        <v/>
      </c>
      <c r="T233" t="str">
        <f>IF(ISBLANK(JP!T237),"","x")</f>
        <v/>
      </c>
      <c r="U233" t="str">
        <f>IF(ISBLANK(JP!U237),"","x")</f>
        <v/>
      </c>
      <c r="V233" t="str">
        <f>IF(ISBLANK(JP!V237),"","x")</f>
        <v/>
      </c>
      <c r="W233" t="str">
        <f>IF(ISBLANK(JP!W237),"","x")</f>
        <v/>
      </c>
      <c r="X233" t="str">
        <f>IF(ISBLANK(JP!X237),"","x")</f>
        <v/>
      </c>
      <c r="Y233" t="str">
        <f>IF(ISBLANK(JP!Y237),"","x")</f>
        <v/>
      </c>
      <c r="Z233" t="str">
        <f>IF(ISBLANK(JP!Z237),"","x")</f>
        <v/>
      </c>
      <c r="AA233" t="str">
        <f>IF(ISBLANK(JP!AB237),"","x")</f>
        <v/>
      </c>
      <c r="AB233" t="str">
        <f>IF(ISBLANK(JP!AC237),"","x")</f>
        <v/>
      </c>
      <c r="AC233" t="str">
        <f>IF(ISBLANK(JP!AD237),"","x")</f>
        <v/>
      </c>
      <c r="AD233" t="str">
        <f>IF(ISBLANK(JP!AE237),"","x")</f>
        <v/>
      </c>
      <c r="AE233" t="str">
        <f>IF(ISBLANK(JP!AF237),"","x")</f>
        <v/>
      </c>
      <c r="AF233" t="str">
        <f>IF(ISBLANK(JP!AG237),"","x")</f>
        <v/>
      </c>
      <c r="AG233" t="str">
        <f>IF(ISBLANK(JP!AH237),"","x")</f>
        <v/>
      </c>
      <c r="AH233" t="str">
        <f>IF(ISBLANK(JP!AJ237),"","x")</f>
        <v/>
      </c>
      <c r="AI233" t="str">
        <f>IF(ISBLANK(JP!AK237),"","x")</f>
        <v/>
      </c>
      <c r="AJ233" t="str">
        <f>IF(ISBLANK(JP!AL237),"","x")</f>
        <v/>
      </c>
      <c r="AK233" t="str">
        <f>IF(ISBLANK(JP!AM237),"","x")</f>
        <v/>
      </c>
      <c r="AL233" t="str">
        <f>IF(ISBLANK(JP!AN237),"","x")</f>
        <v/>
      </c>
      <c r="AM233" t="str">
        <f>IF(ISBLANK(JP!AO237),"","x")</f>
        <v/>
      </c>
      <c r="AN233" t="str">
        <f>IF(ISBLANK(JP!AP237),"","x")</f>
        <v/>
      </c>
      <c r="AO233" t="str">
        <f>IF(ISBLANK(JP!AR237),"","x")</f>
        <v/>
      </c>
      <c r="AP233" t="str">
        <f>IF(ISBLANK(JP!AS237),"","x")</f>
        <v/>
      </c>
      <c r="AQ233" t="str">
        <f>IF(ISBLANK(JP!AT237),"","x")</f>
        <v/>
      </c>
      <c r="AR233" t="str">
        <f>IF(ISBLANK(JP!AU237),"","x")</f>
        <v/>
      </c>
      <c r="AS233" t="str">
        <f>IF(ISBLANK(JP!AV237),"","x")</f>
        <v/>
      </c>
      <c r="AT233" t="str">
        <f>IF(ISBLANK(JP!AW237),"","x")</f>
        <v/>
      </c>
      <c r="AU233" t="str">
        <f>IF(ISBLANK(JP!AX237),"","x")</f>
        <v/>
      </c>
    </row>
    <row r="234" spans="2:47">
      <c r="B234">
        <f>IF(ISBLANK(JP!AZ238),"",JP!AZ238)</f>
        <v>10032899</v>
      </c>
      <c r="C234" t="str">
        <f>IF(ISBLANK(JP!BA238),"",JP!BA238)</f>
        <v>ZOO KIOSK (SPH)</v>
      </c>
      <c r="D234" t="str">
        <f>IF(ISBLANK(JP!BC238),"",JP!BC238)</f>
        <v>80 MANDAI LAKE ROAD</v>
      </c>
      <c r="E234">
        <f>IF(ISBLANK(JP!BB238),"",JP!BB238)</f>
        <v>1</v>
      </c>
      <c r="F234" t="str">
        <f>IF(ISBLANK(JP!D238),"","x")</f>
        <v/>
      </c>
      <c r="G234" t="str">
        <f>IF(ISBLANK(JP!E238),"","x")</f>
        <v/>
      </c>
      <c r="H234" t="str">
        <f>IF(ISBLANK(JP!F238),"","x")</f>
        <v/>
      </c>
      <c r="I234" t="str">
        <f>IF(ISBLANK(JP!G238),"","x")</f>
        <v/>
      </c>
      <c r="J234" t="str">
        <f>IF(ISBLANK(JP!H238),"","x")</f>
        <v/>
      </c>
      <c r="K234" t="str">
        <f>IF(ISBLANK(JP!I238),"","x")</f>
        <v/>
      </c>
      <c r="L234" t="str">
        <f>IF(ISBLANK(JP!J238),"","x")</f>
        <v/>
      </c>
      <c r="M234" t="str">
        <f>IF(ISBLANK(JP!L238),"","x")</f>
        <v/>
      </c>
      <c r="N234" t="str">
        <f>IF(ISBLANK(JP!M238),"","x")</f>
        <v/>
      </c>
      <c r="O234" t="str">
        <f>IF(ISBLANK(JP!N238),"","x")</f>
        <v/>
      </c>
      <c r="P234" t="str">
        <f>IF(ISBLANK(JP!O238),"","x")</f>
        <v/>
      </c>
      <c r="Q234" t="str">
        <f>IF(ISBLANK(JP!P238),"","x")</f>
        <v/>
      </c>
      <c r="R234" t="str">
        <f>IF(ISBLANK(JP!Q238),"","x")</f>
        <v/>
      </c>
      <c r="S234" t="str">
        <f>IF(ISBLANK(JP!R238),"","x")</f>
        <v/>
      </c>
      <c r="T234" t="str">
        <f>IF(ISBLANK(JP!T238),"","x")</f>
        <v/>
      </c>
      <c r="U234" t="str">
        <f>IF(ISBLANK(JP!U238),"","x")</f>
        <v/>
      </c>
      <c r="V234" t="str">
        <f>IF(ISBLANK(JP!V238),"","x")</f>
        <v/>
      </c>
      <c r="W234" t="str">
        <f>IF(ISBLANK(JP!W238),"","x")</f>
        <v/>
      </c>
      <c r="X234" t="str">
        <f>IF(ISBLANK(JP!X238),"","x")</f>
        <v/>
      </c>
      <c r="Y234" t="str">
        <f>IF(ISBLANK(JP!Y238),"","x")</f>
        <v/>
      </c>
      <c r="Z234" t="str">
        <f>IF(ISBLANK(JP!Z238),"","x")</f>
        <v/>
      </c>
      <c r="AA234" t="str">
        <f>IF(ISBLANK(JP!AB238),"","x")</f>
        <v/>
      </c>
      <c r="AB234" t="str">
        <f>IF(ISBLANK(JP!AC238),"","x")</f>
        <v/>
      </c>
      <c r="AC234" t="str">
        <f>IF(ISBLANK(JP!AD238),"","x")</f>
        <v/>
      </c>
      <c r="AD234" t="str">
        <f>IF(ISBLANK(JP!AE238),"","x")</f>
        <v/>
      </c>
      <c r="AE234" t="str">
        <f>IF(ISBLANK(JP!AF238),"","x")</f>
        <v/>
      </c>
      <c r="AF234" t="str">
        <f>IF(ISBLANK(JP!AG238),"","x")</f>
        <v/>
      </c>
      <c r="AG234" t="str">
        <f>IF(ISBLANK(JP!AH238),"","x")</f>
        <v/>
      </c>
      <c r="AH234" t="str">
        <f>IF(ISBLANK(JP!AJ238),"","x")</f>
        <v/>
      </c>
      <c r="AI234" t="str">
        <f>IF(ISBLANK(JP!AK238),"","x")</f>
        <v/>
      </c>
      <c r="AJ234" t="str">
        <f>IF(ISBLANK(JP!AL238),"","x")</f>
        <v/>
      </c>
      <c r="AK234" t="str">
        <f>IF(ISBLANK(JP!AM238),"","x")</f>
        <v/>
      </c>
      <c r="AL234" t="str">
        <f>IF(ISBLANK(JP!AN238),"","x")</f>
        <v/>
      </c>
      <c r="AM234" t="str">
        <f>IF(ISBLANK(JP!AO238),"","x")</f>
        <v/>
      </c>
      <c r="AN234" t="str">
        <f>IF(ISBLANK(JP!AP238),"","x")</f>
        <v/>
      </c>
      <c r="AO234" t="str">
        <f>IF(ISBLANK(JP!AR238),"","x")</f>
        <v/>
      </c>
      <c r="AP234" t="str">
        <f>IF(ISBLANK(JP!AS238),"","x")</f>
        <v/>
      </c>
      <c r="AQ234" t="str">
        <f>IF(ISBLANK(JP!AT238),"","x")</f>
        <v/>
      </c>
      <c r="AR234" t="str">
        <f>IF(ISBLANK(JP!AU238),"","x")</f>
        <v/>
      </c>
      <c r="AS234" t="str">
        <f>IF(ISBLANK(JP!AV238),"","x")</f>
        <v/>
      </c>
      <c r="AT234" t="str">
        <f>IF(ISBLANK(JP!AW238),"","x")</f>
        <v/>
      </c>
      <c r="AU234" t="str">
        <f>IF(ISBLANK(JP!AX238),"","x")</f>
        <v/>
      </c>
    </row>
    <row r="235" spans="2:47">
      <c r="B235">
        <f>IF(ISBLANK(JP!AZ239),"",JP!AZ239)</f>
        <v>10034588</v>
      </c>
      <c r="C235" t="str">
        <f>IF(ISBLANK(JP!BA239),"",JP!BA239)</f>
        <v>BANQUET @ SINGAPORE ZOO</v>
      </c>
      <c r="D235" t="str">
        <f>IF(ISBLANK(JP!BC239),"",JP!BC239)</f>
        <v>80 MANDAI LAKE ROAD</v>
      </c>
      <c r="E235">
        <f>IF(ISBLANK(JP!BB239),"",JP!BB239)</f>
        <v>2</v>
      </c>
      <c r="F235" t="str">
        <f>IF(ISBLANK(JP!D239),"","x")</f>
        <v/>
      </c>
      <c r="G235" t="str">
        <f>IF(ISBLANK(JP!E239),"","x")</f>
        <v/>
      </c>
      <c r="H235" t="str">
        <f>IF(ISBLANK(JP!F239),"","x")</f>
        <v/>
      </c>
      <c r="I235" t="str">
        <f>IF(ISBLANK(JP!G239),"","x")</f>
        <v/>
      </c>
      <c r="J235" t="str">
        <f>IF(ISBLANK(JP!H239),"","x")</f>
        <v/>
      </c>
      <c r="K235" t="str">
        <f>IF(ISBLANK(JP!I239),"","x")</f>
        <v/>
      </c>
      <c r="L235" t="str">
        <f>IF(ISBLANK(JP!J239),"","x")</f>
        <v/>
      </c>
      <c r="M235" t="str">
        <f>IF(ISBLANK(JP!L239),"","x")</f>
        <v/>
      </c>
      <c r="N235" t="str">
        <f>IF(ISBLANK(JP!M239),"","x")</f>
        <v/>
      </c>
      <c r="O235" t="str">
        <f>IF(ISBLANK(JP!N239),"","x")</f>
        <v/>
      </c>
      <c r="P235" t="str">
        <f>IF(ISBLANK(JP!O239),"","x")</f>
        <v/>
      </c>
      <c r="Q235" t="str">
        <f>IF(ISBLANK(JP!P239),"","x")</f>
        <v/>
      </c>
      <c r="R235" t="str">
        <f>IF(ISBLANK(JP!Q239),"","x")</f>
        <v/>
      </c>
      <c r="S235" t="str">
        <f>IF(ISBLANK(JP!R239),"","x")</f>
        <v/>
      </c>
      <c r="T235" t="str">
        <f>IF(ISBLANK(JP!T239),"","x")</f>
        <v/>
      </c>
      <c r="U235" t="str">
        <f>IF(ISBLANK(JP!U239),"","x")</f>
        <v/>
      </c>
      <c r="V235" t="str">
        <f>IF(ISBLANK(JP!V239),"","x")</f>
        <v/>
      </c>
      <c r="W235" t="str">
        <f>IF(ISBLANK(JP!W239),"","x")</f>
        <v/>
      </c>
      <c r="X235" t="str">
        <f>IF(ISBLANK(JP!X239),"","x")</f>
        <v/>
      </c>
      <c r="Y235" t="str">
        <f>IF(ISBLANK(JP!Y239),"","x")</f>
        <v/>
      </c>
      <c r="Z235" t="str">
        <f>IF(ISBLANK(JP!Z239),"","x")</f>
        <v/>
      </c>
      <c r="AA235" t="str">
        <f>IF(ISBLANK(JP!AB239),"","x")</f>
        <v/>
      </c>
      <c r="AB235" t="str">
        <f>IF(ISBLANK(JP!AC239),"","x")</f>
        <v/>
      </c>
      <c r="AC235" t="str">
        <f>IF(ISBLANK(JP!AD239),"","x")</f>
        <v/>
      </c>
      <c r="AD235" t="str">
        <f>IF(ISBLANK(JP!AE239),"","x")</f>
        <v/>
      </c>
      <c r="AE235" t="str">
        <f>IF(ISBLANK(JP!AF239),"","x")</f>
        <v/>
      </c>
      <c r="AF235" t="str">
        <f>IF(ISBLANK(JP!AG239),"","x")</f>
        <v/>
      </c>
      <c r="AG235" t="str">
        <f>IF(ISBLANK(JP!AH239),"","x")</f>
        <v/>
      </c>
      <c r="AH235" t="str">
        <f>IF(ISBLANK(JP!AJ239),"","x")</f>
        <v/>
      </c>
      <c r="AI235" t="str">
        <f>IF(ISBLANK(JP!AK239),"","x")</f>
        <v/>
      </c>
      <c r="AJ235" t="str">
        <f>IF(ISBLANK(JP!AL239),"","x")</f>
        <v/>
      </c>
      <c r="AK235" t="str">
        <f>IF(ISBLANK(JP!AM239),"","x")</f>
        <v/>
      </c>
      <c r="AL235" t="str">
        <f>IF(ISBLANK(JP!AN239),"","x")</f>
        <v/>
      </c>
      <c r="AM235" t="str">
        <f>IF(ISBLANK(JP!AO239),"","x")</f>
        <v/>
      </c>
      <c r="AN235" t="str">
        <f>IF(ISBLANK(JP!AP239),"","x")</f>
        <v/>
      </c>
      <c r="AO235" t="str">
        <f>IF(ISBLANK(JP!AR239),"","x")</f>
        <v/>
      </c>
      <c r="AP235" t="str">
        <f>IF(ISBLANK(JP!AS239),"","x")</f>
        <v/>
      </c>
      <c r="AQ235" t="str">
        <f>IF(ISBLANK(JP!AT239),"","x")</f>
        <v/>
      </c>
      <c r="AR235" t="str">
        <f>IF(ISBLANK(JP!AU239),"","x")</f>
        <v/>
      </c>
      <c r="AS235" t="str">
        <f>IF(ISBLANK(JP!AV239),"","x")</f>
        <v/>
      </c>
      <c r="AT235" t="str">
        <f>IF(ISBLANK(JP!AW239),"","x")</f>
        <v/>
      </c>
      <c r="AU235" t="str">
        <f>IF(ISBLANK(JP!AX239),"","x")</f>
        <v/>
      </c>
    </row>
    <row r="236" spans="2:47">
      <c r="B236">
        <f>IF(ISBLANK(JP!AZ240),"",JP!AZ240)</f>
        <v>10036503</v>
      </c>
      <c r="C236" t="str">
        <f>IF(ISBLANK(JP!BA240),"",JP!BA240)</f>
        <v>ZBAR</v>
      </c>
      <c r="D236" t="str">
        <f>IF(ISBLANK(JP!BC240),"",JP!BC240)</f>
        <v>80 MANDAI LAKE ROAD</v>
      </c>
      <c r="E236">
        <f>IF(ISBLANK(JP!BB240),"",JP!BB240)</f>
        <v>1</v>
      </c>
      <c r="F236" t="str">
        <f>IF(ISBLANK(JP!D240),"","x")</f>
        <v/>
      </c>
      <c r="G236" t="str">
        <f>IF(ISBLANK(JP!E240),"","x")</f>
        <v/>
      </c>
      <c r="H236" t="str">
        <f>IF(ISBLANK(JP!F240),"","x")</f>
        <v/>
      </c>
      <c r="I236" t="str">
        <f>IF(ISBLANK(JP!G240),"","x")</f>
        <v/>
      </c>
      <c r="J236" t="str">
        <f>IF(ISBLANK(JP!H240),"","x")</f>
        <v/>
      </c>
      <c r="K236" t="str">
        <f>IF(ISBLANK(JP!I240),"","x")</f>
        <v/>
      </c>
      <c r="L236" t="str">
        <f>IF(ISBLANK(JP!J240),"","x")</f>
        <v/>
      </c>
      <c r="M236" t="str">
        <f>IF(ISBLANK(JP!L240),"","x")</f>
        <v/>
      </c>
      <c r="N236" t="str">
        <f>IF(ISBLANK(JP!M240),"","x")</f>
        <v/>
      </c>
      <c r="O236" t="str">
        <f>IF(ISBLANK(JP!N240),"","x")</f>
        <v/>
      </c>
      <c r="P236" t="str">
        <f>IF(ISBLANK(JP!O240),"","x")</f>
        <v/>
      </c>
      <c r="Q236" t="str">
        <f>IF(ISBLANK(JP!P240),"","x")</f>
        <v/>
      </c>
      <c r="R236" t="str">
        <f>IF(ISBLANK(JP!Q240),"","x")</f>
        <v/>
      </c>
      <c r="S236" t="str">
        <f>IF(ISBLANK(JP!R240),"","x")</f>
        <v/>
      </c>
      <c r="T236" t="str">
        <f>IF(ISBLANK(JP!T240),"","x")</f>
        <v/>
      </c>
      <c r="U236" t="str">
        <f>IF(ISBLANK(JP!U240),"","x")</f>
        <v/>
      </c>
      <c r="V236" t="str">
        <f>IF(ISBLANK(JP!V240),"","x")</f>
        <v/>
      </c>
      <c r="W236" t="str">
        <f>IF(ISBLANK(JP!W240),"","x")</f>
        <v/>
      </c>
      <c r="X236" t="str">
        <f>IF(ISBLANK(JP!X240),"","x")</f>
        <v/>
      </c>
      <c r="Y236" t="str">
        <f>IF(ISBLANK(JP!Y240),"","x")</f>
        <v/>
      </c>
      <c r="Z236" t="str">
        <f>IF(ISBLANK(JP!Z240),"","x")</f>
        <v/>
      </c>
      <c r="AA236" t="str">
        <f>IF(ISBLANK(JP!AB240),"","x")</f>
        <v/>
      </c>
      <c r="AB236" t="str">
        <f>IF(ISBLANK(JP!AC240),"","x")</f>
        <v/>
      </c>
      <c r="AC236" t="str">
        <f>IF(ISBLANK(JP!AD240),"","x")</f>
        <v/>
      </c>
      <c r="AD236" t="str">
        <f>IF(ISBLANK(JP!AE240),"","x")</f>
        <v/>
      </c>
      <c r="AE236" t="str">
        <f>IF(ISBLANK(JP!AF240),"","x")</f>
        <v/>
      </c>
      <c r="AF236" t="str">
        <f>IF(ISBLANK(JP!AG240),"","x")</f>
        <v/>
      </c>
      <c r="AG236" t="str">
        <f>IF(ISBLANK(JP!AH240),"","x")</f>
        <v/>
      </c>
      <c r="AH236" t="str">
        <f>IF(ISBLANK(JP!AJ240),"","x")</f>
        <v/>
      </c>
      <c r="AI236" t="str">
        <f>IF(ISBLANK(JP!AK240),"","x")</f>
        <v/>
      </c>
      <c r="AJ236" t="str">
        <f>IF(ISBLANK(JP!AL240),"","x")</f>
        <v/>
      </c>
      <c r="AK236" t="str">
        <f>IF(ISBLANK(JP!AM240),"","x")</f>
        <v/>
      </c>
      <c r="AL236" t="str">
        <f>IF(ISBLANK(JP!AN240),"","x")</f>
        <v/>
      </c>
      <c r="AM236" t="str">
        <f>IF(ISBLANK(JP!AO240),"","x")</f>
        <v/>
      </c>
      <c r="AN236" t="str">
        <f>IF(ISBLANK(JP!AP240),"","x")</f>
        <v/>
      </c>
      <c r="AO236" t="str">
        <f>IF(ISBLANK(JP!AR240),"","x")</f>
        <v/>
      </c>
      <c r="AP236" t="str">
        <f>IF(ISBLANK(JP!AS240),"","x")</f>
        <v/>
      </c>
      <c r="AQ236" t="str">
        <f>IF(ISBLANK(JP!AT240),"","x")</f>
        <v/>
      </c>
      <c r="AR236" t="str">
        <f>IF(ISBLANK(JP!AU240),"","x")</f>
        <v/>
      </c>
      <c r="AS236" t="str">
        <f>IF(ISBLANK(JP!AV240),"","x")</f>
        <v/>
      </c>
      <c r="AT236" t="str">
        <f>IF(ISBLANK(JP!AW240),"","x")</f>
        <v/>
      </c>
      <c r="AU236" t="str">
        <f>IF(ISBLANK(JP!AX240),"","x")</f>
        <v/>
      </c>
    </row>
    <row r="237" spans="2:47">
      <c r="B237">
        <f>IF(ISBLANK(JP!AZ241),"",JP!AZ241)</f>
        <v>10040439</v>
      </c>
      <c r="C237" t="str">
        <f>IF(ISBLANK(JP!BA241),"",JP!BA241)</f>
        <v>INUKA CAFE</v>
      </c>
      <c r="D237" t="str">
        <f>IF(ISBLANK(JP!BC241),"",JP!BC241)</f>
        <v>80 MANDAI LAKE ROAD</v>
      </c>
      <c r="E237">
        <f>IF(ISBLANK(JP!BB241),"",JP!BB241)</f>
        <v>1</v>
      </c>
      <c r="F237" t="str">
        <f>IF(ISBLANK(JP!D241),"","x")</f>
        <v/>
      </c>
      <c r="G237" t="str">
        <f>IF(ISBLANK(JP!E241),"","x")</f>
        <v/>
      </c>
      <c r="H237" t="str">
        <f>IF(ISBLANK(JP!F241),"","x")</f>
        <v/>
      </c>
      <c r="I237" t="str">
        <f>IF(ISBLANK(JP!G241),"","x")</f>
        <v/>
      </c>
      <c r="J237" t="str">
        <f>IF(ISBLANK(JP!H241),"","x")</f>
        <v/>
      </c>
      <c r="K237" t="str">
        <f>IF(ISBLANK(JP!I241),"","x")</f>
        <v/>
      </c>
      <c r="L237" t="str">
        <f>IF(ISBLANK(JP!J241),"","x")</f>
        <v/>
      </c>
      <c r="M237" t="str">
        <f>IF(ISBLANK(JP!L241),"","x")</f>
        <v/>
      </c>
      <c r="N237" t="str">
        <f>IF(ISBLANK(JP!M241),"","x")</f>
        <v/>
      </c>
      <c r="O237" t="str">
        <f>IF(ISBLANK(JP!N241),"","x")</f>
        <v/>
      </c>
      <c r="P237" t="str">
        <f>IF(ISBLANK(JP!O241),"","x")</f>
        <v/>
      </c>
      <c r="Q237" t="str">
        <f>IF(ISBLANK(JP!P241),"","x")</f>
        <v/>
      </c>
      <c r="R237" t="str">
        <f>IF(ISBLANK(JP!Q241),"","x")</f>
        <v/>
      </c>
      <c r="S237" t="str">
        <f>IF(ISBLANK(JP!R241),"","x")</f>
        <v/>
      </c>
      <c r="T237" t="str">
        <f>IF(ISBLANK(JP!T241),"","x")</f>
        <v/>
      </c>
      <c r="U237" t="str">
        <f>IF(ISBLANK(JP!U241),"","x")</f>
        <v/>
      </c>
      <c r="V237" t="str">
        <f>IF(ISBLANK(JP!V241),"","x")</f>
        <v/>
      </c>
      <c r="W237" t="str">
        <f>IF(ISBLANK(JP!W241),"","x")</f>
        <v/>
      </c>
      <c r="X237" t="str">
        <f>IF(ISBLANK(JP!X241),"","x")</f>
        <v/>
      </c>
      <c r="Y237" t="str">
        <f>IF(ISBLANK(JP!Y241),"","x")</f>
        <v/>
      </c>
      <c r="Z237" t="str">
        <f>IF(ISBLANK(JP!Z241),"","x")</f>
        <v/>
      </c>
      <c r="AA237" t="str">
        <f>IF(ISBLANK(JP!AB241),"","x")</f>
        <v/>
      </c>
      <c r="AB237" t="str">
        <f>IF(ISBLANK(JP!AC241),"","x")</f>
        <v/>
      </c>
      <c r="AC237" t="str">
        <f>IF(ISBLANK(JP!AD241),"","x")</f>
        <v/>
      </c>
      <c r="AD237" t="str">
        <f>IF(ISBLANK(JP!AE241),"","x")</f>
        <v/>
      </c>
      <c r="AE237" t="str">
        <f>IF(ISBLANK(JP!AF241),"","x")</f>
        <v/>
      </c>
      <c r="AF237" t="str">
        <f>IF(ISBLANK(JP!AG241),"","x")</f>
        <v/>
      </c>
      <c r="AG237" t="str">
        <f>IF(ISBLANK(JP!AH241),"","x")</f>
        <v/>
      </c>
      <c r="AH237" t="str">
        <f>IF(ISBLANK(JP!AJ241),"","x")</f>
        <v/>
      </c>
      <c r="AI237" t="str">
        <f>IF(ISBLANK(JP!AK241),"","x")</f>
        <v/>
      </c>
      <c r="AJ237" t="str">
        <f>IF(ISBLANK(JP!AL241),"","x")</f>
        <v/>
      </c>
      <c r="AK237" t="str">
        <f>IF(ISBLANK(JP!AM241),"","x")</f>
        <v/>
      </c>
      <c r="AL237" t="str">
        <f>IF(ISBLANK(JP!AN241),"","x")</f>
        <v/>
      </c>
      <c r="AM237" t="str">
        <f>IF(ISBLANK(JP!AO241),"","x")</f>
        <v/>
      </c>
      <c r="AN237" t="str">
        <f>IF(ISBLANK(JP!AP241),"","x")</f>
        <v/>
      </c>
      <c r="AO237" t="str">
        <f>IF(ISBLANK(JP!AR241),"","x")</f>
        <v/>
      </c>
      <c r="AP237" t="str">
        <f>IF(ISBLANK(JP!AS241),"","x")</f>
        <v/>
      </c>
      <c r="AQ237" t="str">
        <f>IF(ISBLANK(JP!AT241),"","x")</f>
        <v/>
      </c>
      <c r="AR237" t="str">
        <f>IF(ISBLANK(JP!AU241),"","x")</f>
        <v/>
      </c>
      <c r="AS237" t="str">
        <f>IF(ISBLANK(JP!AV241),"","x")</f>
        <v/>
      </c>
      <c r="AT237" t="str">
        <f>IF(ISBLANK(JP!AW241),"","x")</f>
        <v/>
      </c>
      <c r="AU237" t="str">
        <f>IF(ISBLANK(JP!AX241),"","x")</f>
        <v/>
      </c>
    </row>
    <row r="238" spans="2:47">
      <c r="B238">
        <f>IF(ISBLANK(JP!AZ242),"",JP!AZ242)</f>
        <v>10040740</v>
      </c>
      <c r="C238" t="str">
        <f>IF(ISBLANK(JP!BA242),"",JP!BA242)</f>
        <v>SAFARI SIZZLES</v>
      </c>
      <c r="D238" t="str">
        <f>IF(ISBLANK(JP!BC242),"",JP!BC242)</f>
        <v>80 MANDAI LAKE ROAD</v>
      </c>
      <c r="E238">
        <f>IF(ISBLANK(JP!BB242),"",JP!BB242)</f>
        <v>1</v>
      </c>
      <c r="F238" t="str">
        <f>IF(ISBLANK(JP!D242),"","x")</f>
        <v/>
      </c>
      <c r="G238" t="str">
        <f>IF(ISBLANK(JP!E242),"","x")</f>
        <v/>
      </c>
      <c r="H238" t="str">
        <f>IF(ISBLANK(JP!F242),"","x")</f>
        <v/>
      </c>
      <c r="I238" t="str">
        <f>IF(ISBLANK(JP!G242),"","x")</f>
        <v/>
      </c>
      <c r="J238" t="str">
        <f>IF(ISBLANK(JP!H242),"","x")</f>
        <v/>
      </c>
      <c r="K238" t="str">
        <f>IF(ISBLANK(JP!I242),"","x")</f>
        <v/>
      </c>
      <c r="L238" t="str">
        <f>IF(ISBLANK(JP!J242),"","x")</f>
        <v/>
      </c>
      <c r="M238" t="str">
        <f>IF(ISBLANK(JP!L242),"","x")</f>
        <v/>
      </c>
      <c r="N238" t="str">
        <f>IF(ISBLANK(JP!M242),"","x")</f>
        <v/>
      </c>
      <c r="O238" t="str">
        <f>IF(ISBLANK(JP!N242),"","x")</f>
        <v/>
      </c>
      <c r="P238" t="str">
        <f>IF(ISBLANK(JP!O242),"","x")</f>
        <v/>
      </c>
      <c r="Q238" t="str">
        <f>IF(ISBLANK(JP!P242),"","x")</f>
        <v/>
      </c>
      <c r="R238" t="str">
        <f>IF(ISBLANK(JP!Q242),"","x")</f>
        <v/>
      </c>
      <c r="S238" t="str">
        <f>IF(ISBLANK(JP!R242),"","x")</f>
        <v/>
      </c>
      <c r="T238" t="str">
        <f>IF(ISBLANK(JP!T242),"","x")</f>
        <v/>
      </c>
      <c r="U238" t="str">
        <f>IF(ISBLANK(JP!U242),"","x")</f>
        <v/>
      </c>
      <c r="V238" t="str">
        <f>IF(ISBLANK(JP!V242),"","x")</f>
        <v/>
      </c>
      <c r="W238" t="str">
        <f>IF(ISBLANK(JP!W242),"","x")</f>
        <v/>
      </c>
      <c r="X238" t="str">
        <f>IF(ISBLANK(JP!X242),"","x")</f>
        <v/>
      </c>
      <c r="Y238" t="str">
        <f>IF(ISBLANK(JP!Y242),"","x")</f>
        <v/>
      </c>
      <c r="Z238" t="str">
        <f>IF(ISBLANK(JP!Z242),"","x")</f>
        <v/>
      </c>
      <c r="AA238" t="str">
        <f>IF(ISBLANK(JP!AB242),"","x")</f>
        <v/>
      </c>
      <c r="AB238" t="str">
        <f>IF(ISBLANK(JP!AC242),"","x")</f>
        <v/>
      </c>
      <c r="AC238" t="str">
        <f>IF(ISBLANK(JP!AD242),"","x")</f>
        <v/>
      </c>
      <c r="AD238" t="str">
        <f>IF(ISBLANK(JP!AE242),"","x")</f>
        <v/>
      </c>
      <c r="AE238" t="str">
        <f>IF(ISBLANK(JP!AF242),"","x")</f>
        <v/>
      </c>
      <c r="AF238" t="str">
        <f>IF(ISBLANK(JP!AG242),"","x")</f>
        <v/>
      </c>
      <c r="AG238" t="str">
        <f>IF(ISBLANK(JP!AH242),"","x")</f>
        <v/>
      </c>
      <c r="AH238" t="str">
        <f>IF(ISBLANK(JP!AJ242),"","x")</f>
        <v/>
      </c>
      <c r="AI238" t="str">
        <f>IF(ISBLANK(JP!AK242),"","x")</f>
        <v/>
      </c>
      <c r="AJ238" t="str">
        <f>IF(ISBLANK(JP!AL242),"","x")</f>
        <v/>
      </c>
      <c r="AK238" t="str">
        <f>IF(ISBLANK(JP!AM242),"","x")</f>
        <v/>
      </c>
      <c r="AL238" t="str">
        <f>IF(ISBLANK(JP!AN242),"","x")</f>
        <v/>
      </c>
      <c r="AM238" t="str">
        <f>IF(ISBLANK(JP!AO242),"","x")</f>
        <v/>
      </c>
      <c r="AN238" t="str">
        <f>IF(ISBLANK(JP!AP242),"","x")</f>
        <v/>
      </c>
      <c r="AO238" t="str">
        <f>IF(ISBLANK(JP!AR242),"","x")</f>
        <v/>
      </c>
      <c r="AP238" t="str">
        <f>IF(ISBLANK(JP!AS242),"","x")</f>
        <v/>
      </c>
      <c r="AQ238" t="str">
        <f>IF(ISBLANK(JP!AT242),"","x")</f>
        <v/>
      </c>
      <c r="AR238" t="str">
        <f>IF(ISBLANK(JP!AU242),"","x")</f>
        <v/>
      </c>
      <c r="AS238" t="str">
        <f>IF(ISBLANK(JP!AV242),"","x")</f>
        <v/>
      </c>
      <c r="AT238" t="str">
        <f>IF(ISBLANK(JP!AW242),"","x")</f>
        <v/>
      </c>
      <c r="AU238" t="str">
        <f>IF(ISBLANK(JP!AX242),"","x")</f>
        <v/>
      </c>
    </row>
    <row r="239" spans="2:47">
      <c r="B239">
        <f>IF(ISBLANK(JP!AZ243),"",JP!AZ243)</f>
        <v>10043369</v>
      </c>
      <c r="C239" t="str">
        <f>IF(ISBLANK(JP!BA243),"",JP!BA243)</f>
        <v>DAESSIKSIN (CAUSEWAY POINT)</v>
      </c>
      <c r="D239" t="str">
        <f>IF(ISBLANK(JP!BC243),"",JP!BC243)</f>
        <v>1 WOODLANDS SQUARE</v>
      </c>
      <c r="E239">
        <f>IF(ISBLANK(JP!BB243),"",JP!BB243)</f>
        <v>1</v>
      </c>
      <c r="F239" t="str">
        <f>IF(ISBLANK(JP!D243),"","x")</f>
        <v/>
      </c>
      <c r="G239" t="str">
        <f>IF(ISBLANK(JP!E243),"","x")</f>
        <v/>
      </c>
      <c r="H239" t="str">
        <f>IF(ISBLANK(JP!F243),"","x")</f>
        <v/>
      </c>
      <c r="I239" t="str">
        <f>IF(ISBLANK(JP!G243),"","x")</f>
        <v/>
      </c>
      <c r="J239" t="str">
        <f>IF(ISBLANK(JP!H243),"","x")</f>
        <v/>
      </c>
      <c r="K239" t="str">
        <f>IF(ISBLANK(JP!I243),"","x")</f>
        <v/>
      </c>
      <c r="L239" t="str">
        <f>IF(ISBLANK(JP!J243),"","x")</f>
        <v/>
      </c>
      <c r="M239" t="str">
        <f>IF(ISBLANK(JP!L243),"","x")</f>
        <v/>
      </c>
      <c r="N239" t="str">
        <f>IF(ISBLANK(JP!M243),"","x")</f>
        <v/>
      </c>
      <c r="O239" t="str">
        <f>IF(ISBLANK(JP!N243),"","x")</f>
        <v/>
      </c>
      <c r="P239" t="str">
        <f>IF(ISBLANK(JP!O243),"","x")</f>
        <v/>
      </c>
      <c r="Q239" t="str">
        <f>IF(ISBLANK(JP!P243),"","x")</f>
        <v/>
      </c>
      <c r="R239" t="str">
        <f>IF(ISBLANK(JP!Q243),"","x")</f>
        <v/>
      </c>
      <c r="S239" t="str">
        <f>IF(ISBLANK(JP!R243),"","x")</f>
        <v/>
      </c>
      <c r="T239" t="str">
        <f>IF(ISBLANK(JP!T243),"","x")</f>
        <v/>
      </c>
      <c r="U239" t="str">
        <f>IF(ISBLANK(JP!U243),"","x")</f>
        <v/>
      </c>
      <c r="V239" t="str">
        <f>IF(ISBLANK(JP!V243),"","x")</f>
        <v/>
      </c>
      <c r="W239" t="str">
        <f>IF(ISBLANK(JP!W243),"","x")</f>
        <v/>
      </c>
      <c r="X239" t="str">
        <f>IF(ISBLANK(JP!X243),"","x")</f>
        <v/>
      </c>
      <c r="Y239" t="str">
        <f>IF(ISBLANK(JP!Y243),"","x")</f>
        <v/>
      </c>
      <c r="Z239" t="str">
        <f>IF(ISBLANK(JP!Z243),"","x")</f>
        <v/>
      </c>
      <c r="AA239" t="str">
        <f>IF(ISBLANK(JP!AB243),"","x")</f>
        <v/>
      </c>
      <c r="AB239" t="str">
        <f>IF(ISBLANK(JP!AC243),"","x")</f>
        <v/>
      </c>
      <c r="AC239" t="str">
        <f>IF(ISBLANK(JP!AD243),"","x")</f>
        <v/>
      </c>
      <c r="AD239" t="str">
        <f>IF(ISBLANK(JP!AE243),"","x")</f>
        <v/>
      </c>
      <c r="AE239" t="str">
        <f>IF(ISBLANK(JP!AF243),"","x")</f>
        <v/>
      </c>
      <c r="AF239" t="str">
        <f>IF(ISBLANK(JP!AG243),"","x")</f>
        <v/>
      </c>
      <c r="AG239" t="str">
        <f>IF(ISBLANK(JP!AH243),"","x")</f>
        <v/>
      </c>
      <c r="AH239" t="str">
        <f>IF(ISBLANK(JP!AJ243),"","x")</f>
        <v/>
      </c>
      <c r="AI239" t="str">
        <f>IF(ISBLANK(JP!AK243),"","x")</f>
        <v/>
      </c>
      <c r="AJ239" t="str">
        <f>IF(ISBLANK(JP!AL243),"","x")</f>
        <v/>
      </c>
      <c r="AK239" t="str">
        <f>IF(ISBLANK(JP!AM243),"","x")</f>
        <v/>
      </c>
      <c r="AL239" t="str">
        <f>IF(ISBLANK(JP!AN243),"","x")</f>
        <v/>
      </c>
      <c r="AM239" t="str">
        <f>IF(ISBLANK(JP!AO243),"","x")</f>
        <v/>
      </c>
      <c r="AN239" t="str">
        <f>IF(ISBLANK(JP!AP243),"","x")</f>
        <v/>
      </c>
      <c r="AO239" t="str">
        <f>IF(ISBLANK(JP!AR243),"","x")</f>
        <v/>
      </c>
      <c r="AP239" t="str">
        <f>IF(ISBLANK(JP!AS243),"","x")</f>
        <v/>
      </c>
      <c r="AQ239" t="str">
        <f>IF(ISBLANK(JP!AT243),"","x")</f>
        <v/>
      </c>
      <c r="AR239" t="str">
        <f>IF(ISBLANK(JP!AU243),"","x")</f>
        <v/>
      </c>
      <c r="AS239" t="str">
        <f>IF(ISBLANK(JP!AV243),"","x")</f>
        <v/>
      </c>
      <c r="AT239" t="str">
        <f>IF(ISBLANK(JP!AW243),"","x")</f>
        <v/>
      </c>
      <c r="AU239" t="str">
        <f>IF(ISBLANK(JP!AX243),"","x")</f>
        <v/>
      </c>
    </row>
    <row r="240" spans="2:47">
      <c r="B240">
        <f>IF(ISBLANK(JP!AZ244),"",JP!AZ244)</f>
        <v>10032533</v>
      </c>
      <c r="C240" t="str">
        <f>IF(ISBLANK(JP!BA244),"",JP!BA244)</f>
        <v>ASTON STEAKHOUSE @ SEMBAWANG</v>
      </c>
      <c r="D240" t="str">
        <f>IF(ISBLANK(JP!BC244),"",JP!BC244)</f>
        <v>604 SEMBAWANG ROAD</v>
      </c>
      <c r="E240">
        <f>IF(ISBLANK(JP!BB244),"",JP!BB244)</f>
        <v>1</v>
      </c>
      <c r="F240" t="str">
        <f>IF(ISBLANK(JP!D244),"","x")</f>
        <v/>
      </c>
      <c r="G240" t="str">
        <f>IF(ISBLANK(JP!E244),"","x")</f>
        <v/>
      </c>
      <c r="H240" t="str">
        <f>IF(ISBLANK(JP!F244),"","x")</f>
        <v/>
      </c>
      <c r="I240" t="str">
        <f>IF(ISBLANK(JP!G244),"","x")</f>
        <v/>
      </c>
      <c r="J240" t="str">
        <f>IF(ISBLANK(JP!H244),"","x")</f>
        <v/>
      </c>
      <c r="K240" t="str">
        <f>IF(ISBLANK(JP!I244),"","x")</f>
        <v/>
      </c>
      <c r="L240" t="str">
        <f>IF(ISBLANK(JP!J244),"","x")</f>
        <v/>
      </c>
      <c r="M240" t="str">
        <f>IF(ISBLANK(JP!L244),"","x")</f>
        <v/>
      </c>
      <c r="N240" t="str">
        <f>IF(ISBLANK(JP!M244),"","x")</f>
        <v/>
      </c>
      <c r="O240" t="str">
        <f>IF(ISBLANK(JP!N244),"","x")</f>
        <v/>
      </c>
      <c r="P240" t="str">
        <f>IF(ISBLANK(JP!O244),"","x")</f>
        <v/>
      </c>
      <c r="Q240" t="str">
        <f>IF(ISBLANK(JP!P244),"","x")</f>
        <v/>
      </c>
      <c r="R240" t="str">
        <f>IF(ISBLANK(JP!Q244),"","x")</f>
        <v/>
      </c>
      <c r="S240" t="str">
        <f>IF(ISBLANK(JP!R244),"","x")</f>
        <v/>
      </c>
      <c r="T240" t="str">
        <f>IF(ISBLANK(JP!T244),"","x")</f>
        <v/>
      </c>
      <c r="U240" t="str">
        <f>IF(ISBLANK(JP!U244),"","x")</f>
        <v/>
      </c>
      <c r="V240" t="str">
        <f>IF(ISBLANK(JP!V244),"","x")</f>
        <v/>
      </c>
      <c r="W240" t="str">
        <f>IF(ISBLANK(JP!W244),"","x")</f>
        <v/>
      </c>
      <c r="X240" t="str">
        <f>IF(ISBLANK(JP!X244),"","x")</f>
        <v/>
      </c>
      <c r="Y240" t="str">
        <f>IF(ISBLANK(JP!Y244),"","x")</f>
        <v/>
      </c>
      <c r="Z240" t="str">
        <f>IF(ISBLANK(JP!Z244),"","x")</f>
        <v/>
      </c>
      <c r="AA240" t="str">
        <f>IF(ISBLANK(JP!AB244),"","x")</f>
        <v/>
      </c>
      <c r="AB240" t="str">
        <f>IF(ISBLANK(JP!AC244),"","x")</f>
        <v/>
      </c>
      <c r="AC240" t="str">
        <f>IF(ISBLANK(JP!AD244),"","x")</f>
        <v/>
      </c>
      <c r="AD240" t="str">
        <f>IF(ISBLANK(JP!AE244),"","x")</f>
        <v/>
      </c>
      <c r="AE240" t="str">
        <f>IF(ISBLANK(JP!AF244),"","x")</f>
        <v/>
      </c>
      <c r="AF240" t="str">
        <f>IF(ISBLANK(JP!AG244),"","x")</f>
        <v/>
      </c>
      <c r="AG240" t="str">
        <f>IF(ISBLANK(JP!AH244),"","x")</f>
        <v/>
      </c>
      <c r="AH240" t="str">
        <f>IF(ISBLANK(JP!AJ244),"","x")</f>
        <v/>
      </c>
      <c r="AI240" t="str">
        <f>IF(ISBLANK(JP!AK244),"","x")</f>
        <v/>
      </c>
      <c r="AJ240" t="str">
        <f>IF(ISBLANK(JP!AL244),"","x")</f>
        <v/>
      </c>
      <c r="AK240" t="str">
        <f>IF(ISBLANK(JP!AM244),"","x")</f>
        <v/>
      </c>
      <c r="AL240" t="str">
        <f>IF(ISBLANK(JP!AN244),"","x")</f>
        <v/>
      </c>
      <c r="AM240" t="str">
        <f>IF(ISBLANK(JP!AO244),"","x")</f>
        <v/>
      </c>
      <c r="AN240" t="str">
        <f>IF(ISBLANK(JP!AP244),"","x")</f>
        <v/>
      </c>
      <c r="AO240" t="str">
        <f>IF(ISBLANK(JP!AR244),"","x")</f>
        <v/>
      </c>
      <c r="AP240" t="str">
        <f>IF(ISBLANK(JP!AS244),"","x")</f>
        <v/>
      </c>
      <c r="AQ240" t="str">
        <f>IF(ISBLANK(JP!AT244),"","x")</f>
        <v/>
      </c>
      <c r="AR240" t="str">
        <f>IF(ISBLANK(JP!AU244),"","x")</f>
        <v/>
      </c>
      <c r="AS240" t="str">
        <f>IF(ISBLANK(JP!AV244),"","x")</f>
        <v/>
      </c>
      <c r="AT240" t="str">
        <f>IF(ISBLANK(JP!AW244),"","x")</f>
        <v/>
      </c>
      <c r="AU240" t="str">
        <f>IF(ISBLANK(JP!AX244),"","x")</f>
        <v/>
      </c>
    </row>
    <row r="241" spans="2:47">
      <c r="B241">
        <f>IF(ISBLANK(JP!AZ245),"",JP!AZ245)</f>
        <v>10043709</v>
      </c>
      <c r="C241" t="str">
        <f>IF(ISBLANK(JP!BA245),"",JP!BA245)</f>
        <v>SAIZERIYA (SEMBAWANG)</v>
      </c>
      <c r="D241" t="str">
        <f>IF(ISBLANK(JP!BC245),"",JP!BC245)</f>
        <v>604 SEMBAWANG ROAD</v>
      </c>
      <c r="E241">
        <f>IF(ISBLANK(JP!BB245),"",JP!BB245)</f>
        <v>1</v>
      </c>
      <c r="F241" t="str">
        <f>IF(ISBLANK(JP!D245),"","x")</f>
        <v/>
      </c>
      <c r="G241" t="str">
        <f>IF(ISBLANK(JP!E245),"","x")</f>
        <v/>
      </c>
      <c r="H241" t="str">
        <f>IF(ISBLANK(JP!F245),"","x")</f>
        <v/>
      </c>
      <c r="I241" t="str">
        <f>IF(ISBLANK(JP!G245),"","x")</f>
        <v/>
      </c>
      <c r="J241" t="str">
        <f>IF(ISBLANK(JP!H245),"","x")</f>
        <v/>
      </c>
      <c r="K241" t="str">
        <f>IF(ISBLANK(JP!I245),"","x")</f>
        <v/>
      </c>
      <c r="L241" t="str">
        <f>IF(ISBLANK(JP!J245),"","x")</f>
        <v/>
      </c>
      <c r="M241" t="str">
        <f>IF(ISBLANK(JP!L245),"","x")</f>
        <v/>
      </c>
      <c r="N241" t="str">
        <f>IF(ISBLANK(JP!M245),"","x")</f>
        <v/>
      </c>
      <c r="O241" t="str">
        <f>IF(ISBLANK(JP!N245),"","x")</f>
        <v/>
      </c>
      <c r="P241" t="str">
        <f>IF(ISBLANK(JP!O245),"","x")</f>
        <v/>
      </c>
      <c r="Q241" t="str">
        <f>IF(ISBLANK(JP!P245),"","x")</f>
        <v/>
      </c>
      <c r="R241" t="str">
        <f>IF(ISBLANK(JP!Q245),"","x")</f>
        <v/>
      </c>
      <c r="S241" t="str">
        <f>IF(ISBLANK(JP!R245),"","x")</f>
        <v/>
      </c>
      <c r="T241" t="str">
        <f>IF(ISBLANK(JP!T245),"","x")</f>
        <v/>
      </c>
      <c r="U241" t="str">
        <f>IF(ISBLANK(JP!U245),"","x")</f>
        <v/>
      </c>
      <c r="V241" t="str">
        <f>IF(ISBLANK(JP!V245),"","x")</f>
        <v/>
      </c>
      <c r="W241" t="str">
        <f>IF(ISBLANK(JP!W245),"","x")</f>
        <v/>
      </c>
      <c r="X241" t="str">
        <f>IF(ISBLANK(JP!X245),"","x")</f>
        <v/>
      </c>
      <c r="Y241" t="str">
        <f>IF(ISBLANK(JP!Y245),"","x")</f>
        <v/>
      </c>
      <c r="Z241" t="str">
        <f>IF(ISBLANK(JP!Z245),"","x")</f>
        <v/>
      </c>
      <c r="AA241" t="str">
        <f>IF(ISBLANK(JP!AB245),"","x")</f>
        <v/>
      </c>
      <c r="AB241" t="str">
        <f>IF(ISBLANK(JP!AC245),"","x")</f>
        <v/>
      </c>
      <c r="AC241" t="str">
        <f>IF(ISBLANK(JP!AD245),"","x")</f>
        <v/>
      </c>
      <c r="AD241" t="str">
        <f>IF(ISBLANK(JP!AE245),"","x")</f>
        <v/>
      </c>
      <c r="AE241" t="str">
        <f>IF(ISBLANK(JP!AF245),"","x")</f>
        <v/>
      </c>
      <c r="AF241" t="str">
        <f>IF(ISBLANK(JP!AG245),"","x")</f>
        <v/>
      </c>
      <c r="AG241" t="str">
        <f>IF(ISBLANK(JP!AH245),"","x")</f>
        <v/>
      </c>
      <c r="AH241" t="str">
        <f>IF(ISBLANK(JP!AJ245),"","x")</f>
        <v/>
      </c>
      <c r="AI241" t="str">
        <f>IF(ISBLANK(JP!AK245),"","x")</f>
        <v/>
      </c>
      <c r="AJ241" t="str">
        <f>IF(ISBLANK(JP!AL245),"","x")</f>
        <v/>
      </c>
      <c r="AK241" t="str">
        <f>IF(ISBLANK(JP!AM245),"","x")</f>
        <v/>
      </c>
      <c r="AL241" t="str">
        <f>IF(ISBLANK(JP!AN245),"","x")</f>
        <v/>
      </c>
      <c r="AM241" t="str">
        <f>IF(ISBLANK(JP!AO245),"","x")</f>
        <v/>
      </c>
      <c r="AN241" t="str">
        <f>IF(ISBLANK(JP!AP245),"","x")</f>
        <v/>
      </c>
      <c r="AO241" t="str">
        <f>IF(ISBLANK(JP!AR245),"","x")</f>
        <v/>
      </c>
      <c r="AP241" t="str">
        <f>IF(ISBLANK(JP!AS245),"","x")</f>
        <v/>
      </c>
      <c r="AQ241" t="str">
        <f>IF(ISBLANK(JP!AT245),"","x")</f>
        <v/>
      </c>
      <c r="AR241" t="str">
        <f>IF(ISBLANK(JP!AU245),"","x")</f>
        <v/>
      </c>
      <c r="AS241" t="str">
        <f>IF(ISBLANK(JP!AV245),"","x")</f>
        <v/>
      </c>
      <c r="AT241" t="str">
        <f>IF(ISBLANK(JP!AW245),"","x")</f>
        <v/>
      </c>
      <c r="AU241" t="str">
        <f>IF(ISBLANK(JP!AX245),"","x")</f>
        <v/>
      </c>
    </row>
    <row r="242" spans="2:47">
      <c r="B242">
        <f>IF(ISBLANK(JP!AZ246),"",JP!AZ246)</f>
        <v>10044208</v>
      </c>
      <c r="C242" t="str">
        <f>IF(ISBLANK(JP!BA246),"",JP!BA246)</f>
        <v>PATBINGSOO (NORTH POINT)</v>
      </c>
      <c r="D242" t="str">
        <f>IF(ISBLANK(JP!BC246),"",JP!BC246)</f>
        <v>1 NORTHPOINT DRIVE</v>
      </c>
      <c r="E242">
        <f>IF(ISBLANK(JP!BB246),"",JP!BB246)</f>
        <v>1</v>
      </c>
      <c r="F242" t="str">
        <f>IF(ISBLANK(JP!D246),"","x")</f>
        <v/>
      </c>
      <c r="G242" t="str">
        <f>IF(ISBLANK(JP!E246),"","x")</f>
        <v/>
      </c>
      <c r="H242" t="str">
        <f>IF(ISBLANK(JP!F246),"","x")</f>
        <v/>
      </c>
      <c r="I242" t="str">
        <f>IF(ISBLANK(JP!G246),"","x")</f>
        <v/>
      </c>
      <c r="J242" t="str">
        <f>IF(ISBLANK(JP!H246),"","x")</f>
        <v/>
      </c>
      <c r="K242" t="str">
        <f>IF(ISBLANK(JP!I246),"","x")</f>
        <v/>
      </c>
      <c r="L242" t="str">
        <f>IF(ISBLANK(JP!J246),"","x")</f>
        <v/>
      </c>
      <c r="M242" t="str">
        <f>IF(ISBLANK(JP!L246),"","x")</f>
        <v/>
      </c>
      <c r="N242" t="str">
        <f>IF(ISBLANK(JP!M246),"","x")</f>
        <v/>
      </c>
      <c r="O242" t="str">
        <f>IF(ISBLANK(JP!N246),"","x")</f>
        <v/>
      </c>
      <c r="P242" t="str">
        <f>IF(ISBLANK(JP!O246),"","x")</f>
        <v/>
      </c>
      <c r="Q242" t="str">
        <f>IF(ISBLANK(JP!P246),"","x")</f>
        <v/>
      </c>
      <c r="R242" t="str">
        <f>IF(ISBLANK(JP!Q246),"","x")</f>
        <v/>
      </c>
      <c r="S242" t="str">
        <f>IF(ISBLANK(JP!R246),"","x")</f>
        <v/>
      </c>
      <c r="T242" t="str">
        <f>IF(ISBLANK(JP!T246),"","x")</f>
        <v/>
      </c>
      <c r="U242" t="str">
        <f>IF(ISBLANK(JP!U246),"","x")</f>
        <v/>
      </c>
      <c r="V242" t="str">
        <f>IF(ISBLANK(JP!V246),"","x")</f>
        <v/>
      </c>
      <c r="W242" t="str">
        <f>IF(ISBLANK(JP!W246),"","x")</f>
        <v/>
      </c>
      <c r="X242" t="str">
        <f>IF(ISBLANK(JP!X246),"","x")</f>
        <v/>
      </c>
      <c r="Y242" t="str">
        <f>IF(ISBLANK(JP!Y246),"","x")</f>
        <v/>
      </c>
      <c r="Z242" t="str">
        <f>IF(ISBLANK(JP!Z246),"","x")</f>
        <v/>
      </c>
      <c r="AA242" t="str">
        <f>IF(ISBLANK(JP!AB246),"","x")</f>
        <v/>
      </c>
      <c r="AB242" t="str">
        <f>IF(ISBLANK(JP!AC246),"","x")</f>
        <v/>
      </c>
      <c r="AC242" t="str">
        <f>IF(ISBLANK(JP!AD246),"","x")</f>
        <v/>
      </c>
      <c r="AD242" t="str">
        <f>IF(ISBLANK(JP!AE246),"","x")</f>
        <v/>
      </c>
      <c r="AE242" t="str">
        <f>IF(ISBLANK(JP!AF246),"","x")</f>
        <v/>
      </c>
      <c r="AF242" t="str">
        <f>IF(ISBLANK(JP!AG246),"","x")</f>
        <v/>
      </c>
      <c r="AG242" t="str">
        <f>IF(ISBLANK(JP!AH246),"","x")</f>
        <v/>
      </c>
      <c r="AH242" t="str">
        <f>IF(ISBLANK(JP!AJ246),"","x")</f>
        <v/>
      </c>
      <c r="AI242" t="str">
        <f>IF(ISBLANK(JP!AK246),"","x")</f>
        <v/>
      </c>
      <c r="AJ242" t="str">
        <f>IF(ISBLANK(JP!AL246),"","x")</f>
        <v/>
      </c>
      <c r="AK242" t="str">
        <f>IF(ISBLANK(JP!AM246),"","x")</f>
        <v/>
      </c>
      <c r="AL242" t="str">
        <f>IF(ISBLANK(JP!AN246),"","x")</f>
        <v/>
      </c>
      <c r="AM242" t="str">
        <f>IF(ISBLANK(JP!AO246),"","x")</f>
        <v/>
      </c>
      <c r="AN242" t="str">
        <f>IF(ISBLANK(JP!AP246),"","x")</f>
        <v/>
      </c>
      <c r="AO242" t="str">
        <f>IF(ISBLANK(JP!AR246),"","x")</f>
        <v/>
      </c>
      <c r="AP242" t="str">
        <f>IF(ISBLANK(JP!AS246),"","x")</f>
        <v/>
      </c>
      <c r="AQ242" t="str">
        <f>IF(ISBLANK(JP!AT246),"","x")</f>
        <v/>
      </c>
      <c r="AR242" t="str">
        <f>IF(ISBLANK(JP!AU246),"","x")</f>
        <v/>
      </c>
      <c r="AS242" t="str">
        <f>IF(ISBLANK(JP!AV246),"","x")</f>
        <v/>
      </c>
      <c r="AT242" t="str">
        <f>IF(ISBLANK(JP!AW246),"","x")</f>
        <v/>
      </c>
      <c r="AU242" t="str">
        <f>IF(ISBLANK(JP!AX246),"","x")</f>
        <v/>
      </c>
    </row>
    <row r="243" spans="2:47">
      <c r="B243">
        <f>IF(ISBLANK(JP!AZ247),"",JP!AZ247)</f>
        <v>10045958</v>
      </c>
      <c r="C243" t="str">
        <f>IF(ISBLANK(JP!BA247),"",JP!BA247)</f>
        <v>COLLINS @ NORTHPOINT</v>
      </c>
      <c r="D243" t="str">
        <f>IF(ISBLANK(JP!BC247),"",JP!BC247)</f>
        <v>930 YISHUN AVENUE 2</v>
      </c>
      <c r="E243">
        <f>IF(ISBLANK(JP!BB247),"",JP!BB247)</f>
        <v>2</v>
      </c>
      <c r="F243" t="str">
        <f>IF(ISBLANK(JP!D247),"","x")</f>
        <v/>
      </c>
      <c r="G243" t="str">
        <f>IF(ISBLANK(JP!E247),"","x")</f>
        <v/>
      </c>
      <c r="H243" t="str">
        <f>IF(ISBLANK(JP!F247),"","x")</f>
        <v/>
      </c>
      <c r="I243" t="str">
        <f>IF(ISBLANK(JP!G247),"","x")</f>
        <v/>
      </c>
      <c r="J243" t="str">
        <f>IF(ISBLANK(JP!H247),"","x")</f>
        <v/>
      </c>
      <c r="K243" t="str">
        <f>IF(ISBLANK(JP!I247),"","x")</f>
        <v/>
      </c>
      <c r="L243" t="str">
        <f>IF(ISBLANK(JP!J247),"","x")</f>
        <v/>
      </c>
      <c r="M243" t="str">
        <f>IF(ISBLANK(JP!L247),"","x")</f>
        <v/>
      </c>
      <c r="N243" t="str">
        <f>IF(ISBLANK(JP!M247),"","x")</f>
        <v/>
      </c>
      <c r="O243" t="str">
        <f>IF(ISBLANK(JP!N247),"","x")</f>
        <v/>
      </c>
      <c r="P243" t="str">
        <f>IF(ISBLANK(JP!O247),"","x")</f>
        <v/>
      </c>
      <c r="Q243" t="str">
        <f>IF(ISBLANK(JP!P247),"","x")</f>
        <v/>
      </c>
      <c r="R243" t="str">
        <f>IF(ISBLANK(JP!Q247),"","x")</f>
        <v/>
      </c>
      <c r="S243" t="str">
        <f>IF(ISBLANK(JP!R247),"","x")</f>
        <v/>
      </c>
      <c r="T243" t="str">
        <f>IF(ISBLANK(JP!T247),"","x")</f>
        <v/>
      </c>
      <c r="U243" t="str">
        <f>IF(ISBLANK(JP!U247),"","x")</f>
        <v/>
      </c>
      <c r="V243" t="str">
        <f>IF(ISBLANK(JP!V247),"","x")</f>
        <v/>
      </c>
      <c r="W243" t="str">
        <f>IF(ISBLANK(JP!W247),"","x")</f>
        <v/>
      </c>
      <c r="X243" t="str">
        <f>IF(ISBLANK(JP!X247),"","x")</f>
        <v/>
      </c>
      <c r="Y243" t="str">
        <f>IF(ISBLANK(JP!Y247),"","x")</f>
        <v/>
      </c>
      <c r="Z243" t="str">
        <f>IF(ISBLANK(JP!Z247),"","x")</f>
        <v/>
      </c>
      <c r="AA243" t="str">
        <f>IF(ISBLANK(JP!AB247),"","x")</f>
        <v/>
      </c>
      <c r="AB243" t="str">
        <f>IF(ISBLANK(JP!AC247),"","x")</f>
        <v/>
      </c>
      <c r="AC243" t="str">
        <f>IF(ISBLANK(JP!AD247),"","x")</f>
        <v/>
      </c>
      <c r="AD243" t="str">
        <f>IF(ISBLANK(JP!AE247),"","x")</f>
        <v/>
      </c>
      <c r="AE243" t="str">
        <f>IF(ISBLANK(JP!AF247),"","x")</f>
        <v/>
      </c>
      <c r="AF243" t="str">
        <f>IF(ISBLANK(JP!AG247),"","x")</f>
        <v/>
      </c>
      <c r="AG243" t="str">
        <f>IF(ISBLANK(JP!AH247),"","x")</f>
        <v/>
      </c>
      <c r="AH243" t="str">
        <f>IF(ISBLANK(JP!AJ247),"","x")</f>
        <v/>
      </c>
      <c r="AI243" t="str">
        <f>IF(ISBLANK(JP!AK247),"","x")</f>
        <v/>
      </c>
      <c r="AJ243" t="str">
        <f>IF(ISBLANK(JP!AL247),"","x")</f>
        <v/>
      </c>
      <c r="AK243" t="str">
        <f>IF(ISBLANK(JP!AM247),"","x")</f>
        <v/>
      </c>
      <c r="AL243" t="str">
        <f>IF(ISBLANK(JP!AN247),"","x")</f>
        <v/>
      </c>
      <c r="AM243" t="str">
        <f>IF(ISBLANK(JP!AO247),"","x")</f>
        <v/>
      </c>
      <c r="AN243" t="str">
        <f>IF(ISBLANK(JP!AP247),"","x")</f>
        <v/>
      </c>
      <c r="AO243" t="str">
        <f>IF(ISBLANK(JP!AR247),"","x")</f>
        <v/>
      </c>
      <c r="AP243" t="str">
        <f>IF(ISBLANK(JP!AS247),"","x")</f>
        <v/>
      </c>
      <c r="AQ243" t="str">
        <f>IF(ISBLANK(JP!AT247),"","x")</f>
        <v/>
      </c>
      <c r="AR243" t="str">
        <f>IF(ISBLANK(JP!AU247),"","x")</f>
        <v/>
      </c>
      <c r="AS243" t="str">
        <f>IF(ISBLANK(JP!AV247),"","x")</f>
        <v/>
      </c>
      <c r="AT243" t="str">
        <f>IF(ISBLANK(JP!AW247),"","x")</f>
        <v/>
      </c>
      <c r="AU243" t="str">
        <f>IF(ISBLANK(JP!AX247),"","x")</f>
        <v/>
      </c>
    </row>
    <row r="244" spans="2:47">
      <c r="B244">
        <f>IF(ISBLANK(JP!AZ248),"",JP!AZ248)</f>
        <v>10043437</v>
      </c>
      <c r="C244" t="str">
        <f>IF(ISBLANK(JP!BA248),"",JP!BA248)</f>
        <v>SAIZERIYA (SELETAR MALL)</v>
      </c>
      <c r="D244" t="str">
        <f>IF(ISBLANK(JP!BC248),"",JP!BC248)</f>
        <v>33 SENGKANG WEST AVENUE</v>
      </c>
      <c r="E244">
        <f>IF(ISBLANK(JP!BB248),"",JP!BB248)</f>
        <v>1</v>
      </c>
      <c r="F244" t="str">
        <f>IF(ISBLANK(JP!D248),"","x")</f>
        <v/>
      </c>
      <c r="G244" t="str">
        <f>IF(ISBLANK(JP!E248),"","x")</f>
        <v/>
      </c>
      <c r="H244" t="str">
        <f>IF(ISBLANK(JP!F248),"","x")</f>
        <v/>
      </c>
      <c r="I244" t="str">
        <f>IF(ISBLANK(JP!G248),"","x")</f>
        <v/>
      </c>
      <c r="J244" t="str">
        <f>IF(ISBLANK(JP!H248),"","x")</f>
        <v/>
      </c>
      <c r="K244" t="str">
        <f>IF(ISBLANK(JP!I248),"","x")</f>
        <v/>
      </c>
      <c r="L244" t="str">
        <f>IF(ISBLANK(JP!J248),"","x")</f>
        <v/>
      </c>
      <c r="M244" t="str">
        <f>IF(ISBLANK(JP!L248),"","x")</f>
        <v/>
      </c>
      <c r="N244" t="str">
        <f>IF(ISBLANK(JP!M248),"","x")</f>
        <v/>
      </c>
      <c r="O244" t="str">
        <f>IF(ISBLANK(JP!N248),"","x")</f>
        <v/>
      </c>
      <c r="P244" t="str">
        <f>IF(ISBLANK(JP!O248),"","x")</f>
        <v/>
      </c>
      <c r="Q244" t="str">
        <f>IF(ISBLANK(JP!P248),"","x")</f>
        <v/>
      </c>
      <c r="R244" t="str">
        <f>IF(ISBLANK(JP!Q248),"","x")</f>
        <v/>
      </c>
      <c r="S244" t="str">
        <f>IF(ISBLANK(JP!R248),"","x")</f>
        <v/>
      </c>
      <c r="T244" t="str">
        <f>IF(ISBLANK(JP!T248),"","x")</f>
        <v/>
      </c>
      <c r="U244" t="str">
        <f>IF(ISBLANK(JP!U248),"","x")</f>
        <v/>
      </c>
      <c r="V244" t="str">
        <f>IF(ISBLANK(JP!V248),"","x")</f>
        <v/>
      </c>
      <c r="W244" t="str">
        <f>IF(ISBLANK(JP!W248),"","x")</f>
        <v/>
      </c>
      <c r="X244" t="str">
        <f>IF(ISBLANK(JP!X248),"","x")</f>
        <v/>
      </c>
      <c r="Y244" t="str">
        <f>IF(ISBLANK(JP!Y248),"","x")</f>
        <v/>
      </c>
      <c r="Z244" t="str">
        <f>IF(ISBLANK(JP!Z248),"","x")</f>
        <v/>
      </c>
      <c r="AA244" t="str">
        <f>IF(ISBLANK(JP!AB248),"","x")</f>
        <v/>
      </c>
      <c r="AB244" t="str">
        <f>IF(ISBLANK(JP!AC248),"","x")</f>
        <v/>
      </c>
      <c r="AC244" t="str">
        <f>IF(ISBLANK(JP!AD248),"","x")</f>
        <v/>
      </c>
      <c r="AD244" t="str">
        <f>IF(ISBLANK(JP!AE248),"","x")</f>
        <v/>
      </c>
      <c r="AE244" t="str">
        <f>IF(ISBLANK(JP!AF248),"","x")</f>
        <v/>
      </c>
      <c r="AF244" t="str">
        <f>IF(ISBLANK(JP!AG248),"","x")</f>
        <v/>
      </c>
      <c r="AG244" t="str">
        <f>IF(ISBLANK(JP!AH248),"","x")</f>
        <v/>
      </c>
      <c r="AH244" t="str">
        <f>IF(ISBLANK(JP!AJ248),"","x")</f>
        <v/>
      </c>
      <c r="AI244" t="str">
        <f>IF(ISBLANK(JP!AK248),"","x")</f>
        <v/>
      </c>
      <c r="AJ244" t="str">
        <f>IF(ISBLANK(JP!AL248),"","x")</f>
        <v/>
      </c>
      <c r="AK244" t="str">
        <f>IF(ISBLANK(JP!AM248),"","x")</f>
        <v/>
      </c>
      <c r="AL244" t="str">
        <f>IF(ISBLANK(JP!AN248),"","x")</f>
        <v/>
      </c>
      <c r="AM244" t="str">
        <f>IF(ISBLANK(JP!AO248),"","x")</f>
        <v/>
      </c>
      <c r="AN244" t="str">
        <f>IF(ISBLANK(JP!AP248),"","x")</f>
        <v/>
      </c>
      <c r="AO244" t="str">
        <f>IF(ISBLANK(JP!AR248),"","x")</f>
        <v/>
      </c>
      <c r="AP244" t="str">
        <f>IF(ISBLANK(JP!AS248),"","x")</f>
        <v/>
      </c>
      <c r="AQ244" t="str">
        <f>IF(ISBLANK(JP!AT248),"","x")</f>
        <v/>
      </c>
      <c r="AR244" t="str">
        <f>IF(ISBLANK(JP!AU248),"","x")</f>
        <v/>
      </c>
      <c r="AS244" t="str">
        <f>IF(ISBLANK(JP!AV248),"","x")</f>
        <v/>
      </c>
      <c r="AT244" t="str">
        <f>IF(ISBLANK(JP!AW248),"","x")</f>
        <v/>
      </c>
      <c r="AU244" t="str">
        <f>IF(ISBLANK(JP!AX248),"","x")</f>
        <v/>
      </c>
    </row>
    <row r="245" spans="2:47">
      <c r="B245">
        <f>IF(ISBLANK(JP!AZ249),"",JP!AZ249)</f>
        <v>10044941</v>
      </c>
      <c r="C245" t="str">
        <f>IF(ISBLANK(JP!BA249),"",JP!BA249)</f>
        <v>SOI THAI SOI NICE (SELETAR)</v>
      </c>
      <c r="D245" t="str">
        <f>IF(ISBLANK(JP!BC249),"",JP!BC249)</f>
        <v>33 SENGKANG WEST AVENUE</v>
      </c>
      <c r="E245">
        <f>IF(ISBLANK(JP!BB249),"",JP!BB249)</f>
        <v>1</v>
      </c>
      <c r="F245" t="str">
        <f>IF(ISBLANK(JP!D249),"","x")</f>
        <v/>
      </c>
      <c r="G245" t="str">
        <f>IF(ISBLANK(JP!E249),"","x")</f>
        <v/>
      </c>
      <c r="H245" t="str">
        <f>IF(ISBLANK(JP!F249),"","x")</f>
        <v/>
      </c>
      <c r="I245" t="str">
        <f>IF(ISBLANK(JP!G249),"","x")</f>
        <v/>
      </c>
      <c r="J245" t="str">
        <f>IF(ISBLANK(JP!H249),"","x")</f>
        <v/>
      </c>
      <c r="K245" t="str">
        <f>IF(ISBLANK(JP!I249),"","x")</f>
        <v/>
      </c>
      <c r="L245" t="str">
        <f>IF(ISBLANK(JP!J249),"","x")</f>
        <v/>
      </c>
      <c r="M245" t="str">
        <f>IF(ISBLANK(JP!L249),"","x")</f>
        <v/>
      </c>
      <c r="N245" t="str">
        <f>IF(ISBLANK(JP!M249),"","x")</f>
        <v/>
      </c>
      <c r="O245" t="str">
        <f>IF(ISBLANK(JP!N249),"","x")</f>
        <v/>
      </c>
      <c r="P245" t="str">
        <f>IF(ISBLANK(JP!O249),"","x")</f>
        <v/>
      </c>
      <c r="Q245" t="str">
        <f>IF(ISBLANK(JP!P249),"","x")</f>
        <v/>
      </c>
      <c r="R245" t="str">
        <f>IF(ISBLANK(JP!Q249),"","x")</f>
        <v/>
      </c>
      <c r="S245" t="str">
        <f>IF(ISBLANK(JP!R249),"","x")</f>
        <v/>
      </c>
      <c r="T245" t="str">
        <f>IF(ISBLANK(JP!T249),"","x")</f>
        <v/>
      </c>
      <c r="U245" t="str">
        <f>IF(ISBLANK(JP!U249),"","x")</f>
        <v/>
      </c>
      <c r="V245" t="str">
        <f>IF(ISBLANK(JP!V249),"","x")</f>
        <v/>
      </c>
      <c r="W245" t="str">
        <f>IF(ISBLANK(JP!W249),"","x")</f>
        <v/>
      </c>
      <c r="X245" t="str">
        <f>IF(ISBLANK(JP!X249),"","x")</f>
        <v/>
      </c>
      <c r="Y245" t="str">
        <f>IF(ISBLANK(JP!Y249),"","x")</f>
        <v/>
      </c>
      <c r="Z245" t="str">
        <f>IF(ISBLANK(JP!Z249),"","x")</f>
        <v/>
      </c>
      <c r="AA245" t="str">
        <f>IF(ISBLANK(JP!AB249),"","x")</f>
        <v/>
      </c>
      <c r="AB245" t="str">
        <f>IF(ISBLANK(JP!AC249),"","x")</f>
        <v/>
      </c>
      <c r="AC245" t="str">
        <f>IF(ISBLANK(JP!AD249),"","x")</f>
        <v/>
      </c>
      <c r="AD245" t="str">
        <f>IF(ISBLANK(JP!AE249),"","x")</f>
        <v/>
      </c>
      <c r="AE245" t="str">
        <f>IF(ISBLANK(JP!AF249),"","x")</f>
        <v/>
      </c>
      <c r="AF245" t="str">
        <f>IF(ISBLANK(JP!AG249),"","x")</f>
        <v/>
      </c>
      <c r="AG245" t="str">
        <f>IF(ISBLANK(JP!AH249),"","x")</f>
        <v/>
      </c>
      <c r="AH245" t="str">
        <f>IF(ISBLANK(JP!AJ249),"","x")</f>
        <v/>
      </c>
      <c r="AI245" t="str">
        <f>IF(ISBLANK(JP!AK249),"","x")</f>
        <v/>
      </c>
      <c r="AJ245" t="str">
        <f>IF(ISBLANK(JP!AL249),"","x")</f>
        <v/>
      </c>
      <c r="AK245" t="str">
        <f>IF(ISBLANK(JP!AM249),"","x")</f>
        <v/>
      </c>
      <c r="AL245" t="str">
        <f>IF(ISBLANK(JP!AN249),"","x")</f>
        <v/>
      </c>
      <c r="AM245" t="str">
        <f>IF(ISBLANK(JP!AO249),"","x")</f>
        <v/>
      </c>
      <c r="AN245" t="str">
        <f>IF(ISBLANK(JP!AP249),"","x")</f>
        <v/>
      </c>
      <c r="AO245" t="str">
        <f>IF(ISBLANK(JP!AR249),"","x")</f>
        <v/>
      </c>
      <c r="AP245" t="str">
        <f>IF(ISBLANK(JP!AS249),"","x")</f>
        <v/>
      </c>
      <c r="AQ245" t="str">
        <f>IF(ISBLANK(JP!AT249),"","x")</f>
        <v/>
      </c>
      <c r="AR245" t="str">
        <f>IF(ISBLANK(JP!AU249),"","x")</f>
        <v/>
      </c>
      <c r="AS245" t="str">
        <f>IF(ISBLANK(JP!AV249),"","x")</f>
        <v/>
      </c>
      <c r="AT245" t="str">
        <f>IF(ISBLANK(JP!AW249),"","x")</f>
        <v/>
      </c>
      <c r="AU245" t="str">
        <f>IF(ISBLANK(JP!AX249),"","x")</f>
        <v/>
      </c>
    </row>
    <row r="246" spans="2:47">
      <c r="B246">
        <f>IF(ISBLANK(JP!AZ250),"",JP!AZ250)</f>
        <v>10044714</v>
      </c>
      <c r="C246" t="str">
        <f>IF(ISBLANK(JP!BA250),"",JP!BA250)</f>
        <v>SPIZZA FOR FRIENDS (JALAN KAYU)</v>
      </c>
      <c r="D246" t="str">
        <f>IF(ISBLANK(JP!BC250),"",JP!BC250)</f>
        <v>269 JALAN KAYU</v>
      </c>
      <c r="E246">
        <f>IF(ISBLANK(JP!BB250),"",JP!BB250)</f>
        <v>1</v>
      </c>
      <c r="F246" t="str">
        <f>IF(ISBLANK(JP!D250),"","x")</f>
        <v/>
      </c>
      <c r="G246" t="str">
        <f>IF(ISBLANK(JP!E250),"","x")</f>
        <v/>
      </c>
      <c r="H246" t="str">
        <f>IF(ISBLANK(JP!F250),"","x")</f>
        <v/>
      </c>
      <c r="I246" t="str">
        <f>IF(ISBLANK(JP!G250),"","x")</f>
        <v/>
      </c>
      <c r="J246" t="str">
        <f>IF(ISBLANK(JP!H250),"","x")</f>
        <v/>
      </c>
      <c r="K246" t="str">
        <f>IF(ISBLANK(JP!I250),"","x")</f>
        <v/>
      </c>
      <c r="L246" t="str">
        <f>IF(ISBLANK(JP!J250),"","x")</f>
        <v/>
      </c>
      <c r="M246" t="str">
        <f>IF(ISBLANK(JP!L250),"","x")</f>
        <v/>
      </c>
      <c r="N246" t="str">
        <f>IF(ISBLANK(JP!M250),"","x")</f>
        <v/>
      </c>
      <c r="O246" t="str">
        <f>IF(ISBLANK(JP!N250),"","x")</f>
        <v/>
      </c>
      <c r="P246" t="str">
        <f>IF(ISBLANK(JP!O250),"","x")</f>
        <v/>
      </c>
      <c r="Q246" t="str">
        <f>IF(ISBLANK(JP!P250),"","x")</f>
        <v/>
      </c>
      <c r="R246" t="str">
        <f>IF(ISBLANK(JP!Q250),"","x")</f>
        <v/>
      </c>
      <c r="S246" t="str">
        <f>IF(ISBLANK(JP!R250),"","x")</f>
        <v/>
      </c>
      <c r="T246" t="str">
        <f>IF(ISBLANK(JP!T250),"","x")</f>
        <v/>
      </c>
      <c r="U246" t="str">
        <f>IF(ISBLANK(JP!U250),"","x")</f>
        <v/>
      </c>
      <c r="V246" t="str">
        <f>IF(ISBLANK(JP!V250),"","x")</f>
        <v/>
      </c>
      <c r="W246" t="str">
        <f>IF(ISBLANK(JP!W250),"","x")</f>
        <v/>
      </c>
      <c r="X246" t="str">
        <f>IF(ISBLANK(JP!X250),"","x")</f>
        <v/>
      </c>
      <c r="Y246" t="str">
        <f>IF(ISBLANK(JP!Y250),"","x")</f>
        <v/>
      </c>
      <c r="Z246" t="str">
        <f>IF(ISBLANK(JP!Z250),"","x")</f>
        <v/>
      </c>
      <c r="AA246" t="str">
        <f>IF(ISBLANK(JP!AB250),"","x")</f>
        <v/>
      </c>
      <c r="AB246" t="str">
        <f>IF(ISBLANK(JP!AC250),"","x")</f>
        <v/>
      </c>
      <c r="AC246" t="str">
        <f>IF(ISBLANK(JP!AD250),"","x")</f>
        <v/>
      </c>
      <c r="AD246" t="str">
        <f>IF(ISBLANK(JP!AE250),"","x")</f>
        <v/>
      </c>
      <c r="AE246" t="str">
        <f>IF(ISBLANK(JP!AF250),"","x")</f>
        <v/>
      </c>
      <c r="AF246" t="str">
        <f>IF(ISBLANK(JP!AG250),"","x")</f>
        <v/>
      </c>
      <c r="AG246" t="str">
        <f>IF(ISBLANK(JP!AH250),"","x")</f>
        <v/>
      </c>
      <c r="AH246" t="str">
        <f>IF(ISBLANK(JP!AJ250),"","x")</f>
        <v/>
      </c>
      <c r="AI246" t="str">
        <f>IF(ISBLANK(JP!AK250),"","x")</f>
        <v/>
      </c>
      <c r="AJ246" t="str">
        <f>IF(ISBLANK(JP!AL250),"","x")</f>
        <v/>
      </c>
      <c r="AK246" t="str">
        <f>IF(ISBLANK(JP!AM250),"","x")</f>
        <v/>
      </c>
      <c r="AL246" t="str">
        <f>IF(ISBLANK(JP!AN250),"","x")</f>
        <v/>
      </c>
      <c r="AM246" t="str">
        <f>IF(ISBLANK(JP!AO250),"","x")</f>
        <v/>
      </c>
      <c r="AN246" t="str">
        <f>IF(ISBLANK(JP!AP250),"","x")</f>
        <v/>
      </c>
      <c r="AO246" t="str">
        <f>IF(ISBLANK(JP!AR250),"","x")</f>
        <v/>
      </c>
      <c r="AP246" t="str">
        <f>IF(ISBLANK(JP!AS250),"","x")</f>
        <v/>
      </c>
      <c r="AQ246" t="str">
        <f>IF(ISBLANK(JP!AT250),"","x")</f>
        <v/>
      </c>
      <c r="AR246" t="str">
        <f>IF(ISBLANK(JP!AU250),"","x")</f>
        <v/>
      </c>
      <c r="AS246" t="str">
        <f>IF(ISBLANK(JP!AV250),"","x")</f>
        <v/>
      </c>
      <c r="AT246" t="str">
        <f>IF(ISBLANK(JP!AW250),"","x")</f>
        <v/>
      </c>
      <c r="AU246" t="str">
        <f>IF(ISBLANK(JP!AX250),"","x")</f>
        <v/>
      </c>
    </row>
    <row r="247" spans="2:47">
      <c r="B247">
        <f>IF(ISBLANK(JP!AZ251),"",JP!AZ251)</f>
        <v>10044454</v>
      </c>
      <c r="C247" t="str">
        <f>IF(ISBLANK(JP!BA251),"",JP!BA251)</f>
        <v>HARRYS CHANGI AIRPORT (T3)</v>
      </c>
      <c r="D247" t="str">
        <f>IF(ISBLANK(JP!BC251),"",JP!BC251)</f>
        <v>65 AIRPORT BOULEVARD</v>
      </c>
      <c r="E247">
        <f>IF(ISBLANK(JP!BB251),"",JP!BB251)</f>
        <v>1</v>
      </c>
      <c r="F247" t="str">
        <f>IF(ISBLANK(JP!D251),"","x")</f>
        <v/>
      </c>
      <c r="G247" t="str">
        <f>IF(ISBLANK(JP!E251),"","x")</f>
        <v/>
      </c>
      <c r="H247" t="str">
        <f>IF(ISBLANK(JP!F251),"","x")</f>
        <v/>
      </c>
      <c r="I247" t="str">
        <f>IF(ISBLANK(JP!G251),"","x")</f>
        <v/>
      </c>
      <c r="J247" t="str">
        <f>IF(ISBLANK(JP!H251),"","x")</f>
        <v/>
      </c>
      <c r="K247" t="str">
        <f>IF(ISBLANK(JP!I251),"","x")</f>
        <v/>
      </c>
      <c r="L247" t="str">
        <f>IF(ISBLANK(JP!J251),"","x")</f>
        <v/>
      </c>
      <c r="M247" t="str">
        <f>IF(ISBLANK(JP!L251),"","x")</f>
        <v/>
      </c>
      <c r="N247" t="str">
        <f>IF(ISBLANK(JP!M251),"","x")</f>
        <v/>
      </c>
      <c r="O247" t="str">
        <f>IF(ISBLANK(JP!N251),"","x")</f>
        <v/>
      </c>
      <c r="P247" t="str">
        <f>IF(ISBLANK(JP!O251),"","x")</f>
        <v/>
      </c>
      <c r="Q247" t="str">
        <f>IF(ISBLANK(JP!P251),"","x")</f>
        <v/>
      </c>
      <c r="R247" t="str">
        <f>IF(ISBLANK(JP!Q251),"","x")</f>
        <v/>
      </c>
      <c r="S247" t="str">
        <f>IF(ISBLANK(JP!R251),"","x")</f>
        <v/>
      </c>
      <c r="T247" t="str">
        <f>IF(ISBLANK(JP!T251),"","x")</f>
        <v/>
      </c>
      <c r="U247" t="str">
        <f>IF(ISBLANK(JP!U251),"","x")</f>
        <v/>
      </c>
      <c r="V247" t="str">
        <f>IF(ISBLANK(JP!V251),"","x")</f>
        <v/>
      </c>
      <c r="W247" t="str">
        <f>IF(ISBLANK(JP!W251),"","x")</f>
        <v/>
      </c>
      <c r="X247" t="str">
        <f>IF(ISBLANK(JP!X251),"","x")</f>
        <v/>
      </c>
      <c r="Y247" t="str">
        <f>IF(ISBLANK(JP!Y251),"","x")</f>
        <v/>
      </c>
      <c r="Z247" t="str">
        <f>IF(ISBLANK(JP!Z251),"","x")</f>
        <v/>
      </c>
      <c r="AA247" t="str">
        <f>IF(ISBLANK(JP!AB251),"","x")</f>
        <v/>
      </c>
      <c r="AB247" t="str">
        <f>IF(ISBLANK(JP!AC251),"","x")</f>
        <v/>
      </c>
      <c r="AC247" t="str">
        <f>IF(ISBLANK(JP!AD251),"","x")</f>
        <v/>
      </c>
      <c r="AD247" t="str">
        <f>IF(ISBLANK(JP!AE251),"","x")</f>
        <v/>
      </c>
      <c r="AE247" t="str">
        <f>IF(ISBLANK(JP!AF251),"","x")</f>
        <v/>
      </c>
      <c r="AF247" t="str">
        <f>IF(ISBLANK(JP!AG251),"","x")</f>
        <v/>
      </c>
      <c r="AG247" t="str">
        <f>IF(ISBLANK(JP!AH251),"","x")</f>
        <v/>
      </c>
      <c r="AH247" t="str">
        <f>IF(ISBLANK(JP!AJ251),"","x")</f>
        <v/>
      </c>
      <c r="AI247" t="str">
        <f>IF(ISBLANK(JP!AK251),"","x")</f>
        <v/>
      </c>
      <c r="AJ247" t="str">
        <f>IF(ISBLANK(JP!AL251),"","x")</f>
        <v/>
      </c>
      <c r="AK247" t="str">
        <f>IF(ISBLANK(JP!AM251),"","x")</f>
        <v/>
      </c>
      <c r="AL247" t="str">
        <f>IF(ISBLANK(JP!AN251),"","x")</f>
        <v/>
      </c>
      <c r="AM247" t="str">
        <f>IF(ISBLANK(JP!AO251),"","x")</f>
        <v/>
      </c>
      <c r="AN247" t="str">
        <f>IF(ISBLANK(JP!AP251),"","x")</f>
        <v/>
      </c>
      <c r="AO247" t="str">
        <f>IF(ISBLANK(JP!AR251),"","x")</f>
        <v/>
      </c>
      <c r="AP247" t="str">
        <f>IF(ISBLANK(JP!AS251),"","x")</f>
        <v/>
      </c>
      <c r="AQ247" t="str">
        <f>IF(ISBLANK(JP!AT251),"","x")</f>
        <v/>
      </c>
      <c r="AR247" t="str">
        <f>IF(ISBLANK(JP!AU251),"","x")</f>
        <v/>
      </c>
      <c r="AS247" t="str">
        <f>IF(ISBLANK(JP!AV251),"","x")</f>
        <v/>
      </c>
      <c r="AT247" t="str">
        <f>IF(ISBLANK(JP!AW251),"","x")</f>
        <v/>
      </c>
      <c r="AU247" t="str">
        <f>IF(ISBLANK(JP!AX251),"","x")</f>
        <v/>
      </c>
    </row>
    <row r="248" spans="2:47">
      <c r="B248">
        <f>IF(ISBLANK(JP!AZ252),"",JP!AZ252)</f>
        <v>10045143</v>
      </c>
      <c r="C248" t="str">
        <f>IF(ISBLANK(JP!BA252),"",JP!BA252)</f>
        <v>COLINS @ CHANGI AIRPORT</v>
      </c>
      <c r="D248" t="str">
        <f>IF(ISBLANK(JP!BC252),"",JP!BC252)</f>
        <v>65 AIRPORT BOULEVARD</v>
      </c>
      <c r="E248">
        <f>IF(ISBLANK(JP!BB252),"",JP!BB252)</f>
        <v>1</v>
      </c>
      <c r="F248" t="str">
        <f>IF(ISBLANK(JP!D252),"","x")</f>
        <v/>
      </c>
      <c r="G248" t="str">
        <f>IF(ISBLANK(JP!E252),"","x")</f>
        <v/>
      </c>
      <c r="H248" t="str">
        <f>IF(ISBLANK(JP!F252),"","x")</f>
        <v/>
      </c>
      <c r="I248" t="str">
        <f>IF(ISBLANK(JP!G252),"","x")</f>
        <v/>
      </c>
      <c r="J248" t="str">
        <f>IF(ISBLANK(JP!H252),"","x")</f>
        <v/>
      </c>
      <c r="K248" t="str">
        <f>IF(ISBLANK(JP!I252),"","x")</f>
        <v/>
      </c>
      <c r="L248" t="str">
        <f>IF(ISBLANK(JP!J252),"","x")</f>
        <v/>
      </c>
      <c r="M248" t="str">
        <f>IF(ISBLANK(JP!L252),"","x")</f>
        <v/>
      </c>
      <c r="N248" t="str">
        <f>IF(ISBLANK(JP!M252),"","x")</f>
        <v/>
      </c>
      <c r="O248" t="str">
        <f>IF(ISBLANK(JP!N252),"","x")</f>
        <v/>
      </c>
      <c r="P248" t="str">
        <f>IF(ISBLANK(JP!O252),"","x")</f>
        <v/>
      </c>
      <c r="Q248" t="str">
        <f>IF(ISBLANK(JP!P252),"","x")</f>
        <v/>
      </c>
      <c r="R248" t="str">
        <f>IF(ISBLANK(JP!Q252),"","x")</f>
        <v/>
      </c>
      <c r="S248" t="str">
        <f>IF(ISBLANK(JP!R252),"","x")</f>
        <v/>
      </c>
      <c r="T248" t="str">
        <f>IF(ISBLANK(JP!T252),"","x")</f>
        <v/>
      </c>
      <c r="U248" t="str">
        <f>IF(ISBLANK(JP!U252),"","x")</f>
        <v/>
      </c>
      <c r="V248" t="str">
        <f>IF(ISBLANK(JP!V252),"","x")</f>
        <v/>
      </c>
      <c r="W248" t="str">
        <f>IF(ISBLANK(JP!W252),"","x")</f>
        <v/>
      </c>
      <c r="X248" t="str">
        <f>IF(ISBLANK(JP!X252),"","x")</f>
        <v/>
      </c>
      <c r="Y248" t="str">
        <f>IF(ISBLANK(JP!Y252),"","x")</f>
        <v/>
      </c>
      <c r="Z248" t="str">
        <f>IF(ISBLANK(JP!Z252),"","x")</f>
        <v/>
      </c>
      <c r="AA248" t="str">
        <f>IF(ISBLANK(JP!AB252),"","x")</f>
        <v/>
      </c>
      <c r="AB248" t="str">
        <f>IF(ISBLANK(JP!AC252),"","x")</f>
        <v/>
      </c>
      <c r="AC248" t="str">
        <f>IF(ISBLANK(JP!AD252),"","x")</f>
        <v/>
      </c>
      <c r="AD248" t="str">
        <f>IF(ISBLANK(JP!AE252),"","x")</f>
        <v/>
      </c>
      <c r="AE248" t="str">
        <f>IF(ISBLANK(JP!AF252),"","x")</f>
        <v/>
      </c>
      <c r="AF248" t="str">
        <f>IF(ISBLANK(JP!AG252),"","x")</f>
        <v/>
      </c>
      <c r="AG248" t="str">
        <f>IF(ISBLANK(JP!AH252),"","x")</f>
        <v/>
      </c>
      <c r="AH248" t="str">
        <f>IF(ISBLANK(JP!AJ252),"","x")</f>
        <v/>
      </c>
      <c r="AI248" t="str">
        <f>IF(ISBLANK(JP!AK252),"","x")</f>
        <v/>
      </c>
      <c r="AJ248" t="str">
        <f>IF(ISBLANK(JP!AL252),"","x")</f>
        <v/>
      </c>
      <c r="AK248" t="str">
        <f>IF(ISBLANK(JP!AM252),"","x")</f>
        <v/>
      </c>
      <c r="AL248" t="str">
        <f>IF(ISBLANK(JP!AN252),"","x")</f>
        <v/>
      </c>
      <c r="AM248" t="str">
        <f>IF(ISBLANK(JP!AO252),"","x")</f>
        <v/>
      </c>
      <c r="AN248" t="str">
        <f>IF(ISBLANK(JP!AP252),"","x")</f>
        <v/>
      </c>
      <c r="AO248" t="str">
        <f>IF(ISBLANK(JP!AR252),"","x")</f>
        <v/>
      </c>
      <c r="AP248" t="str">
        <f>IF(ISBLANK(JP!AS252),"","x")</f>
        <v/>
      </c>
      <c r="AQ248" t="str">
        <f>IF(ISBLANK(JP!AT252),"","x")</f>
        <v/>
      </c>
      <c r="AR248" t="str">
        <f>IF(ISBLANK(JP!AU252),"","x")</f>
        <v/>
      </c>
      <c r="AS248" t="str">
        <f>IF(ISBLANK(JP!AV252),"","x")</f>
        <v/>
      </c>
      <c r="AT248" t="str">
        <f>IF(ISBLANK(JP!AW252),"","x")</f>
        <v/>
      </c>
      <c r="AU248" t="str">
        <f>IF(ISBLANK(JP!AX252),"","x")</f>
        <v/>
      </c>
    </row>
    <row r="249" spans="2:47">
      <c r="B249">
        <f>IF(ISBLANK(JP!AZ253),"",JP!AZ253)</f>
        <v>10044762</v>
      </c>
      <c r="C249" t="str">
        <f>IF(ISBLANK(JP!BA253),"",JP!BA253)</f>
        <v>SAIZERIYA @ OASIS TERRACE</v>
      </c>
      <c r="D249" t="str">
        <f>IF(ISBLANK(JP!BC253),"",JP!BC253)</f>
        <v>681 PUNGGOL DRIVE</v>
      </c>
      <c r="E249">
        <f>IF(ISBLANK(JP!BB253),"",JP!BB253)</f>
        <v>1</v>
      </c>
      <c r="F249" t="str">
        <f>IF(ISBLANK(JP!D253),"","x")</f>
        <v/>
      </c>
      <c r="G249" t="str">
        <f>IF(ISBLANK(JP!E253),"","x")</f>
        <v/>
      </c>
      <c r="H249" t="str">
        <f>IF(ISBLANK(JP!F253),"","x")</f>
        <v/>
      </c>
      <c r="I249" t="str">
        <f>IF(ISBLANK(JP!G253),"","x")</f>
        <v/>
      </c>
      <c r="J249" t="str">
        <f>IF(ISBLANK(JP!H253),"","x")</f>
        <v/>
      </c>
      <c r="K249" t="str">
        <f>IF(ISBLANK(JP!I253),"","x")</f>
        <v/>
      </c>
      <c r="L249" t="str">
        <f>IF(ISBLANK(JP!J253),"","x")</f>
        <v/>
      </c>
      <c r="M249" t="str">
        <f>IF(ISBLANK(JP!L253),"","x")</f>
        <v/>
      </c>
      <c r="N249" t="str">
        <f>IF(ISBLANK(JP!M253),"","x")</f>
        <v/>
      </c>
      <c r="O249" t="str">
        <f>IF(ISBLANK(JP!N253),"","x")</f>
        <v/>
      </c>
      <c r="P249" t="str">
        <f>IF(ISBLANK(JP!O253),"","x")</f>
        <v/>
      </c>
      <c r="Q249" t="str">
        <f>IF(ISBLANK(JP!P253),"","x")</f>
        <v/>
      </c>
      <c r="R249" t="str">
        <f>IF(ISBLANK(JP!Q253),"","x")</f>
        <v/>
      </c>
      <c r="S249" t="str">
        <f>IF(ISBLANK(JP!R253),"","x")</f>
        <v/>
      </c>
      <c r="T249" t="str">
        <f>IF(ISBLANK(JP!T253),"","x")</f>
        <v/>
      </c>
      <c r="U249" t="str">
        <f>IF(ISBLANK(JP!U253),"","x")</f>
        <v/>
      </c>
      <c r="V249" t="str">
        <f>IF(ISBLANK(JP!V253),"","x")</f>
        <v/>
      </c>
      <c r="W249" t="str">
        <f>IF(ISBLANK(JP!W253),"","x")</f>
        <v/>
      </c>
      <c r="X249" t="str">
        <f>IF(ISBLANK(JP!X253),"","x")</f>
        <v/>
      </c>
      <c r="Y249" t="str">
        <f>IF(ISBLANK(JP!Y253),"","x")</f>
        <v/>
      </c>
      <c r="Z249" t="str">
        <f>IF(ISBLANK(JP!Z253),"","x")</f>
        <v/>
      </c>
      <c r="AA249" t="str">
        <f>IF(ISBLANK(JP!AB253),"","x")</f>
        <v/>
      </c>
      <c r="AB249" t="str">
        <f>IF(ISBLANK(JP!AC253),"","x")</f>
        <v/>
      </c>
      <c r="AC249" t="str">
        <f>IF(ISBLANK(JP!AD253),"","x")</f>
        <v/>
      </c>
      <c r="AD249" t="str">
        <f>IF(ISBLANK(JP!AE253),"","x")</f>
        <v/>
      </c>
      <c r="AE249" t="str">
        <f>IF(ISBLANK(JP!AF253),"","x")</f>
        <v/>
      </c>
      <c r="AF249" t="str">
        <f>IF(ISBLANK(JP!AG253),"","x")</f>
        <v/>
      </c>
      <c r="AG249" t="str">
        <f>IF(ISBLANK(JP!AH253),"","x")</f>
        <v/>
      </c>
      <c r="AH249" t="str">
        <f>IF(ISBLANK(JP!AJ253),"","x")</f>
        <v/>
      </c>
      <c r="AI249" t="str">
        <f>IF(ISBLANK(JP!AK253),"","x")</f>
        <v/>
      </c>
      <c r="AJ249" t="str">
        <f>IF(ISBLANK(JP!AL253),"","x")</f>
        <v/>
      </c>
      <c r="AK249" t="str">
        <f>IF(ISBLANK(JP!AM253),"","x")</f>
        <v/>
      </c>
      <c r="AL249" t="str">
        <f>IF(ISBLANK(JP!AN253),"","x")</f>
        <v/>
      </c>
      <c r="AM249" t="str">
        <f>IF(ISBLANK(JP!AO253),"","x")</f>
        <v/>
      </c>
      <c r="AN249" t="str">
        <f>IF(ISBLANK(JP!AP253),"","x")</f>
        <v/>
      </c>
      <c r="AO249" t="str">
        <f>IF(ISBLANK(JP!AR253),"","x")</f>
        <v/>
      </c>
      <c r="AP249" t="str">
        <f>IF(ISBLANK(JP!AS253),"","x")</f>
        <v/>
      </c>
      <c r="AQ249" t="str">
        <f>IF(ISBLANK(JP!AT253),"","x")</f>
        <v/>
      </c>
      <c r="AR249" t="str">
        <f>IF(ISBLANK(JP!AU253),"","x")</f>
        <v/>
      </c>
      <c r="AS249" t="str">
        <f>IF(ISBLANK(JP!AV253),"","x")</f>
        <v/>
      </c>
      <c r="AT249" t="str">
        <f>IF(ISBLANK(JP!AW253),"","x")</f>
        <v/>
      </c>
      <c r="AU249" t="str">
        <f>IF(ISBLANK(JP!AX253),"","x")</f>
        <v/>
      </c>
    </row>
    <row r="250" spans="2:47">
      <c r="B250">
        <f>IF(ISBLANK(JP!AZ254),"",JP!AZ254)</f>
        <v>10041831</v>
      </c>
      <c r="C250" t="str">
        <f>IF(ISBLANK(JP!BA254),"",JP!BA254)</f>
        <v>SOCIAL SQUARE (WATERWAY)</v>
      </c>
      <c r="D250" t="str">
        <f>IF(ISBLANK(JP!BC254),"",JP!BC254)</f>
        <v>83 PUNGGOL CENTRAL</v>
      </c>
      <c r="E250">
        <f>IF(ISBLANK(JP!BB254),"",JP!BB254)</f>
        <v>1</v>
      </c>
      <c r="F250" t="str">
        <f>IF(ISBLANK(JP!D254),"","x")</f>
        <v/>
      </c>
      <c r="G250" t="str">
        <f>IF(ISBLANK(JP!E254),"","x")</f>
        <v/>
      </c>
      <c r="H250" t="str">
        <f>IF(ISBLANK(JP!F254),"","x")</f>
        <v/>
      </c>
      <c r="I250" t="str">
        <f>IF(ISBLANK(JP!G254),"","x")</f>
        <v/>
      </c>
      <c r="J250" t="str">
        <f>IF(ISBLANK(JP!H254),"","x")</f>
        <v/>
      </c>
      <c r="K250" t="str">
        <f>IF(ISBLANK(JP!I254),"","x")</f>
        <v/>
      </c>
      <c r="L250" t="str">
        <f>IF(ISBLANK(JP!J254),"","x")</f>
        <v/>
      </c>
      <c r="M250" t="str">
        <f>IF(ISBLANK(JP!L254),"","x")</f>
        <v/>
      </c>
      <c r="N250" t="str">
        <f>IF(ISBLANK(JP!M254),"","x")</f>
        <v/>
      </c>
      <c r="O250" t="str">
        <f>IF(ISBLANK(JP!N254),"","x")</f>
        <v/>
      </c>
      <c r="P250" t="str">
        <f>IF(ISBLANK(JP!O254),"","x")</f>
        <v/>
      </c>
      <c r="Q250" t="str">
        <f>IF(ISBLANK(JP!P254),"","x")</f>
        <v/>
      </c>
      <c r="R250" t="str">
        <f>IF(ISBLANK(JP!Q254),"","x")</f>
        <v/>
      </c>
      <c r="S250" t="str">
        <f>IF(ISBLANK(JP!R254),"","x")</f>
        <v/>
      </c>
      <c r="T250" t="str">
        <f>IF(ISBLANK(JP!T254),"","x")</f>
        <v/>
      </c>
      <c r="U250" t="str">
        <f>IF(ISBLANK(JP!U254),"","x")</f>
        <v/>
      </c>
      <c r="V250" t="str">
        <f>IF(ISBLANK(JP!V254),"","x")</f>
        <v/>
      </c>
      <c r="W250" t="str">
        <f>IF(ISBLANK(JP!W254),"","x")</f>
        <v/>
      </c>
      <c r="X250" t="str">
        <f>IF(ISBLANK(JP!X254),"","x")</f>
        <v/>
      </c>
      <c r="Y250" t="str">
        <f>IF(ISBLANK(JP!Y254),"","x")</f>
        <v/>
      </c>
      <c r="Z250" t="str">
        <f>IF(ISBLANK(JP!Z254),"","x")</f>
        <v/>
      </c>
      <c r="AA250" t="str">
        <f>IF(ISBLANK(JP!AB254),"","x")</f>
        <v/>
      </c>
      <c r="AB250" t="str">
        <f>IF(ISBLANK(JP!AC254),"","x")</f>
        <v/>
      </c>
      <c r="AC250" t="str">
        <f>IF(ISBLANK(JP!AD254),"","x")</f>
        <v/>
      </c>
      <c r="AD250" t="str">
        <f>IF(ISBLANK(JP!AE254),"","x")</f>
        <v/>
      </c>
      <c r="AE250" t="str">
        <f>IF(ISBLANK(JP!AF254),"","x")</f>
        <v/>
      </c>
      <c r="AF250" t="str">
        <f>IF(ISBLANK(JP!AG254),"","x")</f>
        <v/>
      </c>
      <c r="AG250" t="str">
        <f>IF(ISBLANK(JP!AH254),"","x")</f>
        <v/>
      </c>
      <c r="AH250" t="str">
        <f>IF(ISBLANK(JP!AJ254),"","x")</f>
        <v/>
      </c>
      <c r="AI250" t="str">
        <f>IF(ISBLANK(JP!AK254),"","x")</f>
        <v/>
      </c>
      <c r="AJ250" t="str">
        <f>IF(ISBLANK(JP!AL254),"","x")</f>
        <v/>
      </c>
      <c r="AK250" t="str">
        <f>IF(ISBLANK(JP!AM254),"","x")</f>
        <v/>
      </c>
      <c r="AL250" t="str">
        <f>IF(ISBLANK(JP!AN254),"","x")</f>
        <v/>
      </c>
      <c r="AM250" t="str">
        <f>IF(ISBLANK(JP!AO254),"","x")</f>
        <v/>
      </c>
      <c r="AN250" t="str">
        <f>IF(ISBLANK(JP!AP254),"","x")</f>
        <v/>
      </c>
      <c r="AO250" t="str">
        <f>IF(ISBLANK(JP!AR254),"","x")</f>
        <v/>
      </c>
      <c r="AP250" t="str">
        <f>IF(ISBLANK(JP!AS254),"","x")</f>
        <v/>
      </c>
      <c r="AQ250" t="str">
        <f>IF(ISBLANK(JP!AT254),"","x")</f>
        <v/>
      </c>
      <c r="AR250" t="str">
        <f>IF(ISBLANK(JP!AU254),"","x")</f>
        <v/>
      </c>
      <c r="AS250" t="str">
        <f>IF(ISBLANK(JP!AV254),"","x")</f>
        <v/>
      </c>
      <c r="AT250" t="str">
        <f>IF(ISBLANK(JP!AW254),"","x")</f>
        <v/>
      </c>
      <c r="AU250" t="str">
        <f>IF(ISBLANK(JP!AX254),"","x")</f>
        <v/>
      </c>
    </row>
    <row r="251" spans="2:47">
      <c r="B251">
        <f>IF(ISBLANK(JP!AZ255),"",JP!AZ255)</f>
        <v>10043368</v>
      </c>
      <c r="C251" t="str">
        <f>IF(ISBLANK(JP!BA255),"",JP!BA255)</f>
        <v>DANRO (WATERWAY POINT)</v>
      </c>
      <c r="D251" t="str">
        <f>IF(ISBLANK(JP!BC255),"",JP!BC255)</f>
        <v>83 PUNGGOL CENTRAL</v>
      </c>
      <c r="E251">
        <f>IF(ISBLANK(JP!BB255),"",JP!BB255)</f>
        <v>1</v>
      </c>
      <c r="F251" t="str">
        <f>IF(ISBLANK(JP!D255),"","x")</f>
        <v/>
      </c>
      <c r="G251" t="str">
        <f>IF(ISBLANK(JP!E255),"","x")</f>
        <v/>
      </c>
      <c r="H251" t="str">
        <f>IF(ISBLANK(JP!F255),"","x")</f>
        <v/>
      </c>
      <c r="I251" t="str">
        <f>IF(ISBLANK(JP!G255),"","x")</f>
        <v/>
      </c>
      <c r="J251" t="str">
        <f>IF(ISBLANK(JP!H255),"","x")</f>
        <v/>
      </c>
      <c r="K251" t="str">
        <f>IF(ISBLANK(JP!I255),"","x")</f>
        <v/>
      </c>
      <c r="L251" t="str">
        <f>IF(ISBLANK(JP!J255),"","x")</f>
        <v/>
      </c>
      <c r="M251" t="str">
        <f>IF(ISBLANK(JP!L255),"","x")</f>
        <v/>
      </c>
      <c r="N251" t="str">
        <f>IF(ISBLANK(JP!M255),"","x")</f>
        <v/>
      </c>
      <c r="O251" t="str">
        <f>IF(ISBLANK(JP!N255),"","x")</f>
        <v/>
      </c>
      <c r="P251" t="str">
        <f>IF(ISBLANK(JP!O255),"","x")</f>
        <v/>
      </c>
      <c r="Q251" t="str">
        <f>IF(ISBLANK(JP!P255),"","x")</f>
        <v/>
      </c>
      <c r="R251" t="str">
        <f>IF(ISBLANK(JP!Q255),"","x")</f>
        <v/>
      </c>
      <c r="S251" t="str">
        <f>IF(ISBLANK(JP!R255),"","x")</f>
        <v/>
      </c>
      <c r="T251" t="str">
        <f>IF(ISBLANK(JP!T255),"","x")</f>
        <v/>
      </c>
      <c r="U251" t="str">
        <f>IF(ISBLANK(JP!U255),"","x")</f>
        <v/>
      </c>
      <c r="V251" t="str">
        <f>IF(ISBLANK(JP!V255),"","x")</f>
        <v/>
      </c>
      <c r="W251" t="str">
        <f>IF(ISBLANK(JP!W255),"","x")</f>
        <v/>
      </c>
      <c r="X251" t="str">
        <f>IF(ISBLANK(JP!X255),"","x")</f>
        <v/>
      </c>
      <c r="Y251" t="str">
        <f>IF(ISBLANK(JP!Y255),"","x")</f>
        <v/>
      </c>
      <c r="Z251" t="str">
        <f>IF(ISBLANK(JP!Z255),"","x")</f>
        <v/>
      </c>
      <c r="AA251" t="str">
        <f>IF(ISBLANK(JP!AB255),"","x")</f>
        <v/>
      </c>
      <c r="AB251" t="str">
        <f>IF(ISBLANK(JP!AC255),"","x")</f>
        <v/>
      </c>
      <c r="AC251" t="str">
        <f>IF(ISBLANK(JP!AD255),"","x")</f>
        <v/>
      </c>
      <c r="AD251" t="str">
        <f>IF(ISBLANK(JP!AE255),"","x")</f>
        <v/>
      </c>
      <c r="AE251" t="str">
        <f>IF(ISBLANK(JP!AF255),"","x")</f>
        <v/>
      </c>
      <c r="AF251" t="str">
        <f>IF(ISBLANK(JP!AG255),"","x")</f>
        <v/>
      </c>
      <c r="AG251" t="str">
        <f>IF(ISBLANK(JP!AH255),"","x")</f>
        <v/>
      </c>
      <c r="AH251" t="str">
        <f>IF(ISBLANK(JP!AJ255),"","x")</f>
        <v/>
      </c>
      <c r="AI251" t="str">
        <f>IF(ISBLANK(JP!AK255),"","x")</f>
        <v/>
      </c>
      <c r="AJ251" t="str">
        <f>IF(ISBLANK(JP!AL255),"","x")</f>
        <v/>
      </c>
      <c r="AK251" t="str">
        <f>IF(ISBLANK(JP!AM255),"","x")</f>
        <v/>
      </c>
      <c r="AL251" t="str">
        <f>IF(ISBLANK(JP!AN255),"","x")</f>
        <v/>
      </c>
      <c r="AM251" t="str">
        <f>IF(ISBLANK(JP!AO255),"","x")</f>
        <v/>
      </c>
      <c r="AN251" t="str">
        <f>IF(ISBLANK(JP!AP255),"","x")</f>
        <v/>
      </c>
      <c r="AO251" t="str">
        <f>IF(ISBLANK(JP!AR255),"","x")</f>
        <v/>
      </c>
      <c r="AP251" t="str">
        <f>IF(ISBLANK(JP!AS255),"","x")</f>
        <v/>
      </c>
      <c r="AQ251" t="str">
        <f>IF(ISBLANK(JP!AT255),"","x")</f>
        <v/>
      </c>
      <c r="AR251" t="str">
        <f>IF(ISBLANK(JP!AU255),"","x")</f>
        <v/>
      </c>
      <c r="AS251" t="str">
        <f>IF(ISBLANK(JP!AV255),"","x")</f>
        <v/>
      </c>
      <c r="AT251" t="str">
        <f>IF(ISBLANK(JP!AW255),"","x")</f>
        <v/>
      </c>
      <c r="AU251" t="str">
        <f>IF(ISBLANK(JP!AX255),"","x")</f>
        <v/>
      </c>
    </row>
    <row r="252" spans="2:47">
      <c r="B252">
        <f>IF(ISBLANK(JP!AZ256),"",JP!AZ256)</f>
        <v>10043374</v>
      </c>
      <c r="C252" t="str">
        <f>IF(ISBLANK(JP!BA256),"",JP!BA256)</f>
        <v>DAESSIKSIN (WATERWAY POINT)</v>
      </c>
      <c r="D252" t="str">
        <f>IF(ISBLANK(JP!BC256),"",JP!BC256)</f>
        <v>83 PUNGGOL CENTRAL</v>
      </c>
      <c r="E252">
        <f>IF(ISBLANK(JP!BB256),"",JP!BB256)</f>
        <v>1</v>
      </c>
      <c r="F252" t="str">
        <f>IF(ISBLANK(JP!D256),"","x")</f>
        <v/>
      </c>
      <c r="G252" t="str">
        <f>IF(ISBLANK(JP!E256),"","x")</f>
        <v/>
      </c>
      <c r="H252" t="str">
        <f>IF(ISBLANK(JP!F256),"","x")</f>
        <v/>
      </c>
      <c r="I252" t="str">
        <f>IF(ISBLANK(JP!G256),"","x")</f>
        <v/>
      </c>
      <c r="J252" t="str">
        <f>IF(ISBLANK(JP!H256),"","x")</f>
        <v/>
      </c>
      <c r="K252" t="str">
        <f>IF(ISBLANK(JP!I256),"","x")</f>
        <v/>
      </c>
      <c r="L252" t="str">
        <f>IF(ISBLANK(JP!J256),"","x")</f>
        <v/>
      </c>
      <c r="M252" t="str">
        <f>IF(ISBLANK(JP!L256),"","x")</f>
        <v/>
      </c>
      <c r="N252" t="str">
        <f>IF(ISBLANK(JP!M256),"","x")</f>
        <v/>
      </c>
      <c r="O252" t="str">
        <f>IF(ISBLANK(JP!N256),"","x")</f>
        <v/>
      </c>
      <c r="P252" t="str">
        <f>IF(ISBLANK(JP!O256),"","x")</f>
        <v/>
      </c>
      <c r="Q252" t="str">
        <f>IF(ISBLANK(JP!P256),"","x")</f>
        <v/>
      </c>
      <c r="R252" t="str">
        <f>IF(ISBLANK(JP!Q256),"","x")</f>
        <v/>
      </c>
      <c r="S252" t="str">
        <f>IF(ISBLANK(JP!R256),"","x")</f>
        <v/>
      </c>
      <c r="T252" t="str">
        <f>IF(ISBLANK(JP!T256),"","x")</f>
        <v/>
      </c>
      <c r="U252" t="str">
        <f>IF(ISBLANK(JP!U256),"","x")</f>
        <v/>
      </c>
      <c r="V252" t="str">
        <f>IF(ISBLANK(JP!V256),"","x")</f>
        <v/>
      </c>
      <c r="W252" t="str">
        <f>IF(ISBLANK(JP!W256),"","x")</f>
        <v/>
      </c>
      <c r="X252" t="str">
        <f>IF(ISBLANK(JP!X256),"","x")</f>
        <v/>
      </c>
      <c r="Y252" t="str">
        <f>IF(ISBLANK(JP!Y256),"","x")</f>
        <v/>
      </c>
      <c r="Z252" t="str">
        <f>IF(ISBLANK(JP!Z256),"","x")</f>
        <v/>
      </c>
      <c r="AA252" t="str">
        <f>IF(ISBLANK(JP!AB256),"","x")</f>
        <v/>
      </c>
      <c r="AB252" t="str">
        <f>IF(ISBLANK(JP!AC256),"","x")</f>
        <v/>
      </c>
      <c r="AC252" t="str">
        <f>IF(ISBLANK(JP!AD256),"","x")</f>
        <v/>
      </c>
      <c r="AD252" t="str">
        <f>IF(ISBLANK(JP!AE256),"","x")</f>
        <v/>
      </c>
      <c r="AE252" t="str">
        <f>IF(ISBLANK(JP!AF256),"","x")</f>
        <v/>
      </c>
      <c r="AF252" t="str">
        <f>IF(ISBLANK(JP!AG256),"","x")</f>
        <v/>
      </c>
      <c r="AG252" t="str">
        <f>IF(ISBLANK(JP!AH256),"","x")</f>
        <v/>
      </c>
      <c r="AH252" t="str">
        <f>IF(ISBLANK(JP!AJ256),"","x")</f>
        <v/>
      </c>
      <c r="AI252" t="str">
        <f>IF(ISBLANK(JP!AK256),"","x")</f>
        <v/>
      </c>
      <c r="AJ252" t="str">
        <f>IF(ISBLANK(JP!AL256),"","x")</f>
        <v/>
      </c>
      <c r="AK252" t="str">
        <f>IF(ISBLANK(JP!AM256),"","x")</f>
        <v/>
      </c>
      <c r="AL252" t="str">
        <f>IF(ISBLANK(JP!AN256),"","x")</f>
        <v/>
      </c>
      <c r="AM252" t="str">
        <f>IF(ISBLANK(JP!AO256),"","x")</f>
        <v/>
      </c>
      <c r="AN252" t="str">
        <f>IF(ISBLANK(JP!AP256),"","x")</f>
        <v/>
      </c>
      <c r="AO252" t="str">
        <f>IF(ISBLANK(JP!AR256),"","x")</f>
        <v/>
      </c>
      <c r="AP252" t="str">
        <f>IF(ISBLANK(JP!AS256),"","x")</f>
        <v/>
      </c>
      <c r="AQ252" t="str">
        <f>IF(ISBLANK(JP!AT256),"","x")</f>
        <v/>
      </c>
      <c r="AR252" t="str">
        <f>IF(ISBLANK(JP!AU256),"","x")</f>
        <v/>
      </c>
      <c r="AS252" t="str">
        <f>IF(ISBLANK(JP!AV256),"","x")</f>
        <v/>
      </c>
      <c r="AT252" t="str">
        <f>IF(ISBLANK(JP!AW256),"","x")</f>
        <v/>
      </c>
      <c r="AU252" t="str">
        <f>IF(ISBLANK(JP!AX256),"","x")</f>
        <v/>
      </c>
    </row>
    <row r="253" spans="2:47">
      <c r="B253" t="str">
        <f>IF(ISBLANK(JP!AZ257),"",JP!AZ257)</f>
        <v/>
      </c>
      <c r="C253" t="str">
        <f>IF(ISBLANK(JP!BA257),"",JP!BA257)</f>
        <v/>
      </c>
      <c r="D253" t="str">
        <f>IF(ISBLANK(JP!BC257),"",JP!BC257)</f>
        <v/>
      </c>
      <c r="E253" t="str">
        <f>IF(ISBLANK(JP!BB257),"",JP!BB257)</f>
        <v/>
      </c>
      <c r="F253" t="str">
        <f>IF(ISBLANK(JP!D257),"","x")</f>
        <v/>
      </c>
      <c r="G253" t="str">
        <f>IF(ISBLANK(JP!E257),"","x")</f>
        <v/>
      </c>
      <c r="H253" t="str">
        <f>IF(ISBLANK(JP!F257),"","x")</f>
        <v/>
      </c>
      <c r="I253" t="str">
        <f>IF(ISBLANK(JP!G257),"","x")</f>
        <v/>
      </c>
      <c r="J253" t="str">
        <f>IF(ISBLANK(JP!H257),"","x")</f>
        <v/>
      </c>
      <c r="K253" t="str">
        <f>IF(ISBLANK(JP!I257),"","x")</f>
        <v/>
      </c>
      <c r="L253" t="str">
        <f>IF(ISBLANK(JP!J257),"","x")</f>
        <v/>
      </c>
      <c r="M253" t="str">
        <f>IF(ISBLANK(JP!L257),"","x")</f>
        <v/>
      </c>
      <c r="N253" t="str">
        <f>IF(ISBLANK(JP!M257),"","x")</f>
        <v/>
      </c>
      <c r="O253" t="str">
        <f>IF(ISBLANK(JP!N257),"","x")</f>
        <v/>
      </c>
      <c r="P253" t="str">
        <f>IF(ISBLANK(JP!O257),"","x")</f>
        <v/>
      </c>
      <c r="Q253" t="str">
        <f>IF(ISBLANK(JP!P257),"","x")</f>
        <v/>
      </c>
      <c r="R253" t="str">
        <f>IF(ISBLANK(JP!Q257),"","x")</f>
        <v/>
      </c>
      <c r="S253" t="str">
        <f>IF(ISBLANK(JP!R257),"","x")</f>
        <v/>
      </c>
      <c r="T253" t="str">
        <f>IF(ISBLANK(JP!T257),"","x")</f>
        <v/>
      </c>
      <c r="U253" t="str">
        <f>IF(ISBLANK(JP!U257),"","x")</f>
        <v/>
      </c>
      <c r="V253" t="str">
        <f>IF(ISBLANK(JP!V257),"","x")</f>
        <v/>
      </c>
      <c r="W253" t="str">
        <f>IF(ISBLANK(JP!W257),"","x")</f>
        <v/>
      </c>
      <c r="X253" t="str">
        <f>IF(ISBLANK(JP!X257),"","x")</f>
        <v/>
      </c>
      <c r="Y253" t="str">
        <f>IF(ISBLANK(JP!Y257),"","x")</f>
        <v/>
      </c>
      <c r="Z253" t="str">
        <f>IF(ISBLANK(JP!Z257),"","x")</f>
        <v/>
      </c>
      <c r="AA253" t="str">
        <f>IF(ISBLANK(JP!AB257),"","x")</f>
        <v/>
      </c>
      <c r="AB253" t="str">
        <f>IF(ISBLANK(JP!AC257),"","x")</f>
        <v/>
      </c>
      <c r="AC253" t="str">
        <f>IF(ISBLANK(JP!AD257),"","x")</f>
        <v/>
      </c>
      <c r="AD253" t="str">
        <f>IF(ISBLANK(JP!AE257),"","x")</f>
        <v/>
      </c>
      <c r="AE253" t="str">
        <f>IF(ISBLANK(JP!AF257),"","x")</f>
        <v/>
      </c>
      <c r="AF253" t="str">
        <f>IF(ISBLANK(JP!AG257),"","x")</f>
        <v/>
      </c>
      <c r="AG253" t="str">
        <f>IF(ISBLANK(JP!AH257),"","x")</f>
        <v/>
      </c>
      <c r="AH253" t="str">
        <f>IF(ISBLANK(JP!AJ257),"","x")</f>
        <v/>
      </c>
      <c r="AI253" t="str">
        <f>IF(ISBLANK(JP!AK257),"","x")</f>
        <v/>
      </c>
      <c r="AJ253" t="str">
        <f>IF(ISBLANK(JP!AL257),"","x")</f>
        <v/>
      </c>
      <c r="AK253" t="str">
        <f>IF(ISBLANK(JP!AM257),"","x")</f>
        <v/>
      </c>
      <c r="AL253" t="str">
        <f>IF(ISBLANK(JP!AN257),"","x")</f>
        <v/>
      </c>
      <c r="AM253" t="str">
        <f>IF(ISBLANK(JP!AO257),"","x")</f>
        <v/>
      </c>
      <c r="AN253" t="str">
        <f>IF(ISBLANK(JP!AP257),"","x")</f>
        <v/>
      </c>
      <c r="AO253" t="str">
        <f>IF(ISBLANK(JP!AR257),"","x")</f>
        <v/>
      </c>
      <c r="AP253" t="str">
        <f>IF(ISBLANK(JP!AS257),"","x")</f>
        <v/>
      </c>
      <c r="AQ253" t="str">
        <f>IF(ISBLANK(JP!AT257),"","x")</f>
        <v/>
      </c>
      <c r="AR253" t="str">
        <f>IF(ISBLANK(JP!AU257),"","x")</f>
        <v/>
      </c>
      <c r="AS253" t="str">
        <f>IF(ISBLANK(JP!AV257),"","x")</f>
        <v/>
      </c>
      <c r="AT253" t="str">
        <f>IF(ISBLANK(JP!AW257),"","x")</f>
        <v/>
      </c>
      <c r="AU253" t="str">
        <f>IF(ISBLANK(JP!AX257),"","x")</f>
        <v/>
      </c>
    </row>
    <row r="254" spans="2:47">
      <c r="B254" t="str">
        <f>IF(ISBLANK(JP!AZ258),"",JP!AZ258)</f>
        <v/>
      </c>
      <c r="C254" t="str">
        <f>IF(ISBLANK(JP!BA258),"",JP!BA258)</f>
        <v/>
      </c>
      <c r="D254" t="str">
        <f>IF(ISBLANK(JP!BC258),"",JP!BC258)</f>
        <v/>
      </c>
      <c r="E254" t="str">
        <f>IF(ISBLANK(JP!BB258),"",JP!BB258)</f>
        <v/>
      </c>
      <c r="F254" t="str">
        <f>IF(ISBLANK(JP!D258),"","x")</f>
        <v/>
      </c>
      <c r="G254" t="str">
        <f>IF(ISBLANK(JP!E258),"","x")</f>
        <v/>
      </c>
      <c r="H254" t="str">
        <f>IF(ISBLANK(JP!F258),"","x")</f>
        <v/>
      </c>
      <c r="I254" t="str">
        <f>IF(ISBLANK(JP!G258),"","x")</f>
        <v/>
      </c>
      <c r="J254" t="str">
        <f>IF(ISBLANK(JP!H258),"","x")</f>
        <v/>
      </c>
      <c r="K254" t="str">
        <f>IF(ISBLANK(JP!I258),"","x")</f>
        <v/>
      </c>
      <c r="L254" t="str">
        <f>IF(ISBLANK(JP!J258),"","x")</f>
        <v/>
      </c>
      <c r="M254" t="str">
        <f>IF(ISBLANK(JP!L258),"","x")</f>
        <v/>
      </c>
      <c r="N254" t="str">
        <f>IF(ISBLANK(JP!M258),"","x")</f>
        <v/>
      </c>
      <c r="O254" t="str">
        <f>IF(ISBLANK(JP!N258),"","x")</f>
        <v/>
      </c>
      <c r="P254" t="str">
        <f>IF(ISBLANK(JP!O258),"","x")</f>
        <v/>
      </c>
      <c r="Q254" t="str">
        <f>IF(ISBLANK(JP!P258),"","x")</f>
        <v/>
      </c>
      <c r="R254" t="str">
        <f>IF(ISBLANK(JP!Q258),"","x")</f>
        <v/>
      </c>
      <c r="S254" t="str">
        <f>IF(ISBLANK(JP!R258),"","x")</f>
        <v/>
      </c>
      <c r="T254" t="str">
        <f>IF(ISBLANK(JP!T258),"","x")</f>
        <v/>
      </c>
      <c r="U254" t="str">
        <f>IF(ISBLANK(JP!U258),"","x")</f>
        <v/>
      </c>
      <c r="V254" t="str">
        <f>IF(ISBLANK(JP!V258),"","x")</f>
        <v/>
      </c>
      <c r="W254" t="str">
        <f>IF(ISBLANK(JP!W258),"","x")</f>
        <v/>
      </c>
      <c r="X254" t="str">
        <f>IF(ISBLANK(JP!X258),"","x")</f>
        <v/>
      </c>
      <c r="Y254" t="str">
        <f>IF(ISBLANK(JP!Y258),"","x")</f>
        <v/>
      </c>
      <c r="Z254" t="str">
        <f>IF(ISBLANK(JP!Z258),"","x")</f>
        <v/>
      </c>
      <c r="AA254" t="str">
        <f>IF(ISBLANK(JP!AB258),"","x")</f>
        <v/>
      </c>
      <c r="AB254" t="str">
        <f>IF(ISBLANK(JP!AC258),"","x")</f>
        <v/>
      </c>
      <c r="AC254" t="str">
        <f>IF(ISBLANK(JP!AD258),"","x")</f>
        <v/>
      </c>
      <c r="AD254" t="str">
        <f>IF(ISBLANK(JP!AE258),"","x")</f>
        <v/>
      </c>
      <c r="AE254" t="str">
        <f>IF(ISBLANK(JP!AF258),"","x")</f>
        <v/>
      </c>
      <c r="AF254" t="str">
        <f>IF(ISBLANK(JP!AG258),"","x")</f>
        <v/>
      </c>
      <c r="AG254" t="str">
        <f>IF(ISBLANK(JP!AH258),"","x")</f>
        <v/>
      </c>
      <c r="AH254" t="str">
        <f>IF(ISBLANK(JP!AJ258),"","x")</f>
        <v/>
      </c>
      <c r="AI254" t="str">
        <f>IF(ISBLANK(JP!AK258),"","x")</f>
        <v/>
      </c>
      <c r="AJ254" t="str">
        <f>IF(ISBLANK(JP!AL258),"","x")</f>
        <v/>
      </c>
      <c r="AK254" t="str">
        <f>IF(ISBLANK(JP!AM258),"","x")</f>
        <v/>
      </c>
      <c r="AL254" t="str">
        <f>IF(ISBLANK(JP!AN258),"","x")</f>
        <v/>
      </c>
      <c r="AM254" t="str">
        <f>IF(ISBLANK(JP!AO258),"","x")</f>
        <v/>
      </c>
      <c r="AN254" t="str">
        <f>IF(ISBLANK(JP!AP258),"","x")</f>
        <v/>
      </c>
      <c r="AO254" t="str">
        <f>IF(ISBLANK(JP!AR258),"","x")</f>
        <v/>
      </c>
      <c r="AP254" t="str">
        <f>IF(ISBLANK(JP!AS258),"","x")</f>
        <v/>
      </c>
      <c r="AQ254" t="str">
        <f>IF(ISBLANK(JP!AT258),"","x")</f>
        <v/>
      </c>
      <c r="AR254" t="str">
        <f>IF(ISBLANK(JP!AU258),"","x")</f>
        <v/>
      </c>
      <c r="AS254" t="str">
        <f>IF(ISBLANK(JP!AV258),"","x")</f>
        <v/>
      </c>
      <c r="AT254" t="str">
        <f>IF(ISBLANK(JP!AW258),"","x")</f>
        <v/>
      </c>
      <c r="AU254" t="str">
        <f>IF(ISBLANK(JP!AX258),"","x")</f>
        <v/>
      </c>
    </row>
    <row r="255" spans="2:47">
      <c r="B255" t="str">
        <f>IF(ISBLANK(JP!AZ259),"",JP!AZ259)</f>
        <v/>
      </c>
      <c r="C255" t="str">
        <f>IF(ISBLANK(JP!BA259),"",JP!BA259)</f>
        <v/>
      </c>
      <c r="D255" t="str">
        <f>IF(ISBLANK(JP!BC259),"",JP!BC259)</f>
        <v/>
      </c>
      <c r="E255" t="str">
        <f>IF(ISBLANK(JP!BB259),"",JP!BB259)</f>
        <v/>
      </c>
      <c r="F255" t="str">
        <f>IF(ISBLANK(JP!D259),"","x")</f>
        <v/>
      </c>
      <c r="G255" t="str">
        <f>IF(ISBLANK(JP!E259),"","x")</f>
        <v/>
      </c>
      <c r="H255" t="str">
        <f>IF(ISBLANK(JP!F259),"","x")</f>
        <v/>
      </c>
      <c r="I255" t="str">
        <f>IF(ISBLANK(JP!G259),"","x")</f>
        <v/>
      </c>
      <c r="J255" t="str">
        <f>IF(ISBLANK(JP!H259),"","x")</f>
        <v/>
      </c>
      <c r="K255" t="str">
        <f>IF(ISBLANK(JP!I259),"","x")</f>
        <v/>
      </c>
      <c r="L255" t="str">
        <f>IF(ISBLANK(JP!J259),"","x")</f>
        <v/>
      </c>
      <c r="M255" t="str">
        <f>IF(ISBLANK(JP!L259),"","x")</f>
        <v/>
      </c>
      <c r="N255" t="str">
        <f>IF(ISBLANK(JP!M259),"","x")</f>
        <v/>
      </c>
      <c r="O255" t="str">
        <f>IF(ISBLANK(JP!N259),"","x")</f>
        <v/>
      </c>
      <c r="P255" t="str">
        <f>IF(ISBLANK(JP!O259),"","x")</f>
        <v/>
      </c>
      <c r="Q255" t="str">
        <f>IF(ISBLANK(JP!P259),"","x")</f>
        <v/>
      </c>
      <c r="R255" t="str">
        <f>IF(ISBLANK(JP!Q259),"","x")</f>
        <v/>
      </c>
      <c r="S255" t="str">
        <f>IF(ISBLANK(JP!R259),"","x")</f>
        <v/>
      </c>
      <c r="T255" t="str">
        <f>IF(ISBLANK(JP!T259),"","x")</f>
        <v/>
      </c>
      <c r="U255" t="str">
        <f>IF(ISBLANK(JP!U259),"","x")</f>
        <v/>
      </c>
      <c r="V255" t="str">
        <f>IF(ISBLANK(JP!V259),"","x")</f>
        <v/>
      </c>
      <c r="W255" t="str">
        <f>IF(ISBLANK(JP!W259),"","x")</f>
        <v/>
      </c>
      <c r="X255" t="str">
        <f>IF(ISBLANK(JP!X259),"","x")</f>
        <v/>
      </c>
      <c r="Y255" t="str">
        <f>IF(ISBLANK(JP!Y259),"","x")</f>
        <v/>
      </c>
      <c r="Z255" t="str">
        <f>IF(ISBLANK(JP!Z259),"","x")</f>
        <v/>
      </c>
      <c r="AA255" t="str">
        <f>IF(ISBLANK(JP!AB259),"","x")</f>
        <v/>
      </c>
      <c r="AB255" t="str">
        <f>IF(ISBLANK(JP!AC259),"","x")</f>
        <v/>
      </c>
      <c r="AC255" t="str">
        <f>IF(ISBLANK(JP!AD259),"","x")</f>
        <v/>
      </c>
      <c r="AD255" t="str">
        <f>IF(ISBLANK(JP!AE259),"","x")</f>
        <v/>
      </c>
      <c r="AE255" t="str">
        <f>IF(ISBLANK(JP!AF259),"","x")</f>
        <v/>
      </c>
      <c r="AF255" t="str">
        <f>IF(ISBLANK(JP!AG259),"","x")</f>
        <v/>
      </c>
      <c r="AG255" t="str">
        <f>IF(ISBLANK(JP!AH259),"","x")</f>
        <v/>
      </c>
      <c r="AH255" t="str">
        <f>IF(ISBLANK(JP!AJ259),"","x")</f>
        <v/>
      </c>
      <c r="AI255" t="str">
        <f>IF(ISBLANK(JP!AK259),"","x")</f>
        <v/>
      </c>
      <c r="AJ255" t="str">
        <f>IF(ISBLANK(JP!AL259),"","x")</f>
        <v/>
      </c>
      <c r="AK255" t="str">
        <f>IF(ISBLANK(JP!AM259),"","x")</f>
        <v/>
      </c>
      <c r="AL255" t="str">
        <f>IF(ISBLANK(JP!AN259),"","x")</f>
        <v/>
      </c>
      <c r="AM255" t="str">
        <f>IF(ISBLANK(JP!AO259),"","x")</f>
        <v/>
      </c>
      <c r="AN255" t="str">
        <f>IF(ISBLANK(JP!AP259),"","x")</f>
        <v/>
      </c>
      <c r="AO255" t="str">
        <f>IF(ISBLANK(JP!AR259),"","x")</f>
        <v/>
      </c>
      <c r="AP255" t="str">
        <f>IF(ISBLANK(JP!AS259),"","x")</f>
        <v/>
      </c>
      <c r="AQ255" t="str">
        <f>IF(ISBLANK(JP!AT259),"","x")</f>
        <v/>
      </c>
      <c r="AR255" t="str">
        <f>IF(ISBLANK(JP!AU259),"","x")</f>
        <v/>
      </c>
      <c r="AS255" t="str">
        <f>IF(ISBLANK(JP!AV259),"","x")</f>
        <v/>
      </c>
      <c r="AT255" t="str">
        <f>IF(ISBLANK(JP!AW259),"","x")</f>
        <v/>
      </c>
      <c r="AU255" t="str">
        <f>IF(ISBLANK(JP!AX259),"","x")</f>
        <v/>
      </c>
    </row>
    <row r="256" spans="2:47">
      <c r="B256" t="str">
        <f>IF(ISBLANK(JP!AZ260),"",JP!AZ260)</f>
        <v/>
      </c>
      <c r="C256" t="str">
        <f>IF(ISBLANK(JP!BA260),"",JP!BA260)</f>
        <v/>
      </c>
      <c r="D256" t="str">
        <f>IF(ISBLANK(JP!BC260),"",JP!BC260)</f>
        <v/>
      </c>
      <c r="E256" t="str">
        <f>IF(ISBLANK(JP!BB260),"",JP!BB260)</f>
        <v/>
      </c>
      <c r="F256" t="str">
        <f>IF(ISBLANK(JP!D260),"","x")</f>
        <v/>
      </c>
      <c r="G256" t="str">
        <f>IF(ISBLANK(JP!E260),"","x")</f>
        <v/>
      </c>
      <c r="H256" t="str">
        <f>IF(ISBLANK(JP!F260),"","x")</f>
        <v/>
      </c>
      <c r="I256" t="str">
        <f>IF(ISBLANK(JP!G260),"","x")</f>
        <v/>
      </c>
      <c r="J256" t="str">
        <f>IF(ISBLANK(JP!H260),"","x")</f>
        <v/>
      </c>
      <c r="K256" t="str">
        <f>IF(ISBLANK(JP!I260),"","x")</f>
        <v/>
      </c>
      <c r="L256" t="str">
        <f>IF(ISBLANK(JP!J260),"","x")</f>
        <v/>
      </c>
      <c r="M256" t="str">
        <f>IF(ISBLANK(JP!L260),"","x")</f>
        <v/>
      </c>
      <c r="N256" t="str">
        <f>IF(ISBLANK(JP!M260),"","x")</f>
        <v/>
      </c>
      <c r="O256" t="str">
        <f>IF(ISBLANK(JP!N260),"","x")</f>
        <v/>
      </c>
      <c r="P256" t="str">
        <f>IF(ISBLANK(JP!O260),"","x")</f>
        <v/>
      </c>
      <c r="Q256" t="str">
        <f>IF(ISBLANK(JP!P260),"","x")</f>
        <v/>
      </c>
      <c r="R256" t="str">
        <f>IF(ISBLANK(JP!Q260),"","x")</f>
        <v/>
      </c>
      <c r="S256" t="str">
        <f>IF(ISBLANK(JP!R260),"","x")</f>
        <v/>
      </c>
      <c r="T256" t="str">
        <f>IF(ISBLANK(JP!T260),"","x")</f>
        <v/>
      </c>
      <c r="U256" t="str">
        <f>IF(ISBLANK(JP!U260),"","x")</f>
        <v/>
      </c>
      <c r="V256" t="str">
        <f>IF(ISBLANK(JP!V260),"","x")</f>
        <v/>
      </c>
      <c r="W256" t="str">
        <f>IF(ISBLANK(JP!W260),"","x")</f>
        <v/>
      </c>
      <c r="X256" t="str">
        <f>IF(ISBLANK(JP!X260),"","x")</f>
        <v/>
      </c>
      <c r="Y256" t="str">
        <f>IF(ISBLANK(JP!Y260),"","x")</f>
        <v/>
      </c>
      <c r="Z256" t="str">
        <f>IF(ISBLANK(JP!Z260),"","x")</f>
        <v/>
      </c>
      <c r="AA256" t="str">
        <f>IF(ISBLANK(JP!AB260),"","x")</f>
        <v/>
      </c>
      <c r="AB256" t="str">
        <f>IF(ISBLANK(JP!AC260),"","x")</f>
        <v/>
      </c>
      <c r="AC256" t="str">
        <f>IF(ISBLANK(JP!AD260),"","x")</f>
        <v/>
      </c>
      <c r="AD256" t="str">
        <f>IF(ISBLANK(JP!AE260),"","x")</f>
        <v/>
      </c>
      <c r="AE256" t="str">
        <f>IF(ISBLANK(JP!AF260),"","x")</f>
        <v/>
      </c>
      <c r="AF256" t="str">
        <f>IF(ISBLANK(JP!AG260),"","x")</f>
        <v/>
      </c>
      <c r="AG256" t="str">
        <f>IF(ISBLANK(JP!AH260),"","x")</f>
        <v/>
      </c>
      <c r="AH256" t="str">
        <f>IF(ISBLANK(JP!AJ260),"","x")</f>
        <v/>
      </c>
      <c r="AI256" t="str">
        <f>IF(ISBLANK(JP!AK260),"","x")</f>
        <v/>
      </c>
      <c r="AJ256" t="str">
        <f>IF(ISBLANK(JP!AL260),"","x")</f>
        <v/>
      </c>
      <c r="AK256" t="str">
        <f>IF(ISBLANK(JP!AM260),"","x")</f>
        <v/>
      </c>
      <c r="AL256" t="str">
        <f>IF(ISBLANK(JP!AN260),"","x")</f>
        <v/>
      </c>
      <c r="AM256" t="str">
        <f>IF(ISBLANK(JP!AO260),"","x")</f>
        <v/>
      </c>
      <c r="AN256" t="str">
        <f>IF(ISBLANK(JP!AP260),"","x")</f>
        <v/>
      </c>
      <c r="AO256" t="str">
        <f>IF(ISBLANK(JP!AR260),"","x")</f>
        <v/>
      </c>
      <c r="AP256" t="str">
        <f>IF(ISBLANK(JP!AS260),"","x")</f>
        <v/>
      </c>
      <c r="AQ256" t="str">
        <f>IF(ISBLANK(JP!AT260),"","x")</f>
        <v/>
      </c>
      <c r="AR256" t="str">
        <f>IF(ISBLANK(JP!AU260),"","x")</f>
        <v/>
      </c>
      <c r="AS256" t="str">
        <f>IF(ISBLANK(JP!AV260),"","x")</f>
        <v/>
      </c>
      <c r="AT256" t="str">
        <f>IF(ISBLANK(JP!AW260),"","x")</f>
        <v/>
      </c>
      <c r="AU256" t="str">
        <f>IF(ISBLANK(JP!AX260),"","x")</f>
        <v/>
      </c>
    </row>
    <row r="257" spans="2:47">
      <c r="B257" t="str">
        <f>IF(ISBLANK(JP!AZ261),"",JP!AZ261)</f>
        <v/>
      </c>
      <c r="C257" t="str">
        <f>IF(ISBLANK(JP!BA261),"",JP!BA261)</f>
        <v/>
      </c>
      <c r="D257" t="str">
        <f>IF(ISBLANK(JP!BC261),"",JP!BC261)</f>
        <v/>
      </c>
      <c r="E257" t="str">
        <f>IF(ISBLANK(JP!BB261),"",JP!BB261)</f>
        <v/>
      </c>
      <c r="F257" t="str">
        <f>IF(ISBLANK(JP!D261),"","x")</f>
        <v/>
      </c>
      <c r="G257" t="str">
        <f>IF(ISBLANK(JP!E261),"","x")</f>
        <v/>
      </c>
      <c r="H257" t="str">
        <f>IF(ISBLANK(JP!F261),"","x")</f>
        <v/>
      </c>
      <c r="I257" t="str">
        <f>IF(ISBLANK(JP!G261),"","x")</f>
        <v/>
      </c>
      <c r="J257" t="str">
        <f>IF(ISBLANK(JP!H261),"","x")</f>
        <v/>
      </c>
      <c r="K257" t="str">
        <f>IF(ISBLANK(JP!I261),"","x")</f>
        <v/>
      </c>
      <c r="L257" t="str">
        <f>IF(ISBLANK(JP!J261),"","x")</f>
        <v/>
      </c>
      <c r="M257" t="str">
        <f>IF(ISBLANK(JP!L261),"","x")</f>
        <v/>
      </c>
      <c r="N257" t="str">
        <f>IF(ISBLANK(JP!M261),"","x")</f>
        <v/>
      </c>
      <c r="O257" t="str">
        <f>IF(ISBLANK(JP!N261),"","x")</f>
        <v/>
      </c>
      <c r="P257" t="str">
        <f>IF(ISBLANK(JP!O261),"","x")</f>
        <v/>
      </c>
      <c r="Q257" t="str">
        <f>IF(ISBLANK(JP!P261),"","x")</f>
        <v/>
      </c>
      <c r="R257" t="str">
        <f>IF(ISBLANK(JP!Q261),"","x")</f>
        <v/>
      </c>
      <c r="S257" t="str">
        <f>IF(ISBLANK(JP!R261),"","x")</f>
        <v/>
      </c>
      <c r="T257" t="str">
        <f>IF(ISBLANK(JP!T261),"","x")</f>
        <v/>
      </c>
      <c r="U257" t="str">
        <f>IF(ISBLANK(JP!U261),"","x")</f>
        <v/>
      </c>
      <c r="V257" t="str">
        <f>IF(ISBLANK(JP!V261),"","x")</f>
        <v/>
      </c>
      <c r="W257" t="str">
        <f>IF(ISBLANK(JP!W261),"","x")</f>
        <v/>
      </c>
      <c r="X257" t="str">
        <f>IF(ISBLANK(JP!X261),"","x")</f>
        <v/>
      </c>
      <c r="Y257" t="str">
        <f>IF(ISBLANK(JP!Y261),"","x")</f>
        <v/>
      </c>
      <c r="Z257" t="str">
        <f>IF(ISBLANK(JP!Z261),"","x")</f>
        <v/>
      </c>
      <c r="AA257" t="str">
        <f>IF(ISBLANK(JP!AB261),"","x")</f>
        <v/>
      </c>
      <c r="AB257" t="str">
        <f>IF(ISBLANK(JP!AC261),"","x")</f>
        <v/>
      </c>
      <c r="AC257" t="str">
        <f>IF(ISBLANK(JP!AD261),"","x")</f>
        <v/>
      </c>
      <c r="AD257" t="str">
        <f>IF(ISBLANK(JP!AE261),"","x")</f>
        <v/>
      </c>
      <c r="AE257" t="str">
        <f>IF(ISBLANK(JP!AF261),"","x")</f>
        <v/>
      </c>
      <c r="AF257" t="str">
        <f>IF(ISBLANK(JP!AG261),"","x")</f>
        <v/>
      </c>
      <c r="AG257" t="str">
        <f>IF(ISBLANK(JP!AH261),"","x")</f>
        <v/>
      </c>
      <c r="AH257" t="str">
        <f>IF(ISBLANK(JP!AJ261),"","x")</f>
        <v/>
      </c>
      <c r="AI257" t="str">
        <f>IF(ISBLANK(JP!AK261),"","x")</f>
        <v/>
      </c>
      <c r="AJ257" t="str">
        <f>IF(ISBLANK(JP!AL261),"","x")</f>
        <v/>
      </c>
      <c r="AK257" t="str">
        <f>IF(ISBLANK(JP!AM261),"","x")</f>
        <v/>
      </c>
      <c r="AL257" t="str">
        <f>IF(ISBLANK(JP!AN261),"","x")</f>
        <v/>
      </c>
      <c r="AM257" t="str">
        <f>IF(ISBLANK(JP!AO261),"","x")</f>
        <v/>
      </c>
      <c r="AN257" t="str">
        <f>IF(ISBLANK(JP!AP261),"","x")</f>
        <v/>
      </c>
      <c r="AO257" t="str">
        <f>IF(ISBLANK(JP!AR261),"","x")</f>
        <v/>
      </c>
      <c r="AP257" t="str">
        <f>IF(ISBLANK(JP!AS261),"","x")</f>
        <v/>
      </c>
      <c r="AQ257" t="str">
        <f>IF(ISBLANK(JP!AT261),"","x")</f>
        <v/>
      </c>
      <c r="AR257" t="str">
        <f>IF(ISBLANK(JP!AU261),"","x")</f>
        <v/>
      </c>
      <c r="AS257" t="str">
        <f>IF(ISBLANK(JP!AV261),"","x")</f>
        <v/>
      </c>
      <c r="AT257" t="str">
        <f>IF(ISBLANK(JP!AW261),"","x")</f>
        <v/>
      </c>
      <c r="AU257" t="str">
        <f>IF(ISBLANK(JP!AX261),"","x")</f>
        <v/>
      </c>
    </row>
    <row r="258" spans="2:47">
      <c r="B258" t="str">
        <f>IF(ISBLANK(JP!AZ262),"",JP!AZ262)</f>
        <v/>
      </c>
      <c r="C258" t="str">
        <f>IF(ISBLANK(JP!BA262),"",JP!BA262)</f>
        <v/>
      </c>
      <c r="D258" t="str">
        <f>IF(ISBLANK(JP!BC262),"",JP!BC262)</f>
        <v/>
      </c>
      <c r="E258" t="str">
        <f>IF(ISBLANK(JP!BB262),"",JP!BB262)</f>
        <v/>
      </c>
      <c r="F258" t="str">
        <f>IF(ISBLANK(JP!D262),"","x")</f>
        <v/>
      </c>
      <c r="G258" t="str">
        <f>IF(ISBLANK(JP!E262),"","x")</f>
        <v/>
      </c>
      <c r="H258" t="str">
        <f>IF(ISBLANK(JP!F262),"","x")</f>
        <v/>
      </c>
      <c r="I258" t="str">
        <f>IF(ISBLANK(JP!G262),"","x")</f>
        <v/>
      </c>
      <c r="J258" t="str">
        <f>IF(ISBLANK(JP!H262),"","x")</f>
        <v/>
      </c>
      <c r="K258" t="str">
        <f>IF(ISBLANK(JP!I262),"","x")</f>
        <v/>
      </c>
      <c r="L258" t="str">
        <f>IF(ISBLANK(JP!J262),"","x")</f>
        <v/>
      </c>
      <c r="M258" t="str">
        <f>IF(ISBLANK(JP!L262),"","x")</f>
        <v/>
      </c>
      <c r="N258" t="str">
        <f>IF(ISBLANK(JP!M262),"","x")</f>
        <v/>
      </c>
      <c r="O258" t="str">
        <f>IF(ISBLANK(JP!N262),"","x")</f>
        <v/>
      </c>
      <c r="P258" t="str">
        <f>IF(ISBLANK(JP!O262),"","x")</f>
        <v/>
      </c>
      <c r="Q258" t="str">
        <f>IF(ISBLANK(JP!P262),"","x")</f>
        <v/>
      </c>
      <c r="R258" t="str">
        <f>IF(ISBLANK(JP!Q262),"","x")</f>
        <v/>
      </c>
      <c r="S258" t="str">
        <f>IF(ISBLANK(JP!R262),"","x")</f>
        <v/>
      </c>
      <c r="T258" t="str">
        <f>IF(ISBLANK(JP!T262),"","x")</f>
        <v/>
      </c>
      <c r="U258" t="str">
        <f>IF(ISBLANK(JP!U262),"","x")</f>
        <v/>
      </c>
      <c r="V258" t="str">
        <f>IF(ISBLANK(JP!V262),"","x")</f>
        <v/>
      </c>
      <c r="W258" t="str">
        <f>IF(ISBLANK(JP!W262),"","x")</f>
        <v/>
      </c>
      <c r="X258" t="str">
        <f>IF(ISBLANK(JP!X262),"","x")</f>
        <v/>
      </c>
      <c r="Y258" t="str">
        <f>IF(ISBLANK(JP!Y262),"","x")</f>
        <v/>
      </c>
      <c r="Z258" t="str">
        <f>IF(ISBLANK(JP!Z262),"","x")</f>
        <v/>
      </c>
      <c r="AA258" t="str">
        <f>IF(ISBLANK(JP!AB262),"","x")</f>
        <v/>
      </c>
      <c r="AB258" t="str">
        <f>IF(ISBLANK(JP!AC262),"","x")</f>
        <v/>
      </c>
      <c r="AC258" t="str">
        <f>IF(ISBLANK(JP!AD262),"","x")</f>
        <v/>
      </c>
      <c r="AD258" t="str">
        <f>IF(ISBLANK(JP!AE262),"","x")</f>
        <v/>
      </c>
      <c r="AE258" t="str">
        <f>IF(ISBLANK(JP!AF262),"","x")</f>
        <v/>
      </c>
      <c r="AF258" t="str">
        <f>IF(ISBLANK(JP!AG262),"","x")</f>
        <v/>
      </c>
      <c r="AG258" t="str">
        <f>IF(ISBLANK(JP!AH262),"","x")</f>
        <v/>
      </c>
      <c r="AH258" t="str">
        <f>IF(ISBLANK(JP!AJ262),"","x")</f>
        <v/>
      </c>
      <c r="AI258" t="str">
        <f>IF(ISBLANK(JP!AK262),"","x")</f>
        <v/>
      </c>
      <c r="AJ258" t="str">
        <f>IF(ISBLANK(JP!AL262),"","x")</f>
        <v/>
      </c>
      <c r="AK258" t="str">
        <f>IF(ISBLANK(JP!AM262),"","x")</f>
        <v/>
      </c>
      <c r="AL258" t="str">
        <f>IF(ISBLANK(JP!AN262),"","x")</f>
        <v/>
      </c>
      <c r="AM258" t="str">
        <f>IF(ISBLANK(JP!AO262),"","x")</f>
        <v/>
      </c>
      <c r="AN258" t="str">
        <f>IF(ISBLANK(JP!AP262),"","x")</f>
        <v/>
      </c>
      <c r="AO258" t="str">
        <f>IF(ISBLANK(JP!AR262),"","x")</f>
        <v/>
      </c>
      <c r="AP258" t="str">
        <f>IF(ISBLANK(JP!AS262),"","x")</f>
        <v/>
      </c>
      <c r="AQ258" t="str">
        <f>IF(ISBLANK(JP!AT262),"","x")</f>
        <v/>
      </c>
      <c r="AR258" t="str">
        <f>IF(ISBLANK(JP!AU262),"","x")</f>
        <v/>
      </c>
      <c r="AS258" t="str">
        <f>IF(ISBLANK(JP!AV262),"","x")</f>
        <v/>
      </c>
      <c r="AT258" t="str">
        <f>IF(ISBLANK(JP!AW262),"","x")</f>
        <v/>
      </c>
      <c r="AU258" t="str">
        <f>IF(ISBLANK(JP!AX262),"","x")</f>
        <v/>
      </c>
    </row>
    <row r="259" spans="2:47">
      <c r="B259" t="str">
        <f>IF(ISBLANK(JP!AZ263),"",JP!AZ263)</f>
        <v/>
      </c>
      <c r="C259" t="str">
        <f>IF(ISBLANK(JP!BA263),"",JP!BA263)</f>
        <v/>
      </c>
      <c r="D259" t="str">
        <f>IF(ISBLANK(JP!BC263),"",JP!BC263)</f>
        <v/>
      </c>
      <c r="E259" t="str">
        <f>IF(ISBLANK(JP!BB263),"",JP!BB263)</f>
        <v/>
      </c>
      <c r="F259" t="str">
        <f>IF(ISBLANK(JP!D263),"","x")</f>
        <v/>
      </c>
      <c r="G259" t="str">
        <f>IF(ISBLANK(JP!E263),"","x")</f>
        <v/>
      </c>
      <c r="H259" t="str">
        <f>IF(ISBLANK(JP!F263),"","x")</f>
        <v/>
      </c>
      <c r="I259" t="str">
        <f>IF(ISBLANK(JP!G263),"","x")</f>
        <v/>
      </c>
      <c r="J259" t="str">
        <f>IF(ISBLANK(JP!H263),"","x")</f>
        <v/>
      </c>
      <c r="K259" t="str">
        <f>IF(ISBLANK(JP!I263),"","x")</f>
        <v/>
      </c>
      <c r="L259" t="str">
        <f>IF(ISBLANK(JP!J263),"","x")</f>
        <v/>
      </c>
      <c r="M259" t="str">
        <f>IF(ISBLANK(JP!L263),"","x")</f>
        <v/>
      </c>
      <c r="N259" t="str">
        <f>IF(ISBLANK(JP!M263),"","x")</f>
        <v/>
      </c>
      <c r="O259" t="str">
        <f>IF(ISBLANK(JP!N263),"","x")</f>
        <v/>
      </c>
      <c r="P259" t="str">
        <f>IF(ISBLANK(JP!O263),"","x")</f>
        <v/>
      </c>
      <c r="Q259" t="str">
        <f>IF(ISBLANK(JP!P263),"","x")</f>
        <v/>
      </c>
      <c r="R259" t="str">
        <f>IF(ISBLANK(JP!Q263),"","x")</f>
        <v/>
      </c>
      <c r="S259" t="str">
        <f>IF(ISBLANK(JP!R263),"","x")</f>
        <v/>
      </c>
      <c r="T259" t="str">
        <f>IF(ISBLANK(JP!T263),"","x")</f>
        <v/>
      </c>
      <c r="U259" t="str">
        <f>IF(ISBLANK(JP!U263),"","x")</f>
        <v/>
      </c>
      <c r="V259" t="str">
        <f>IF(ISBLANK(JP!V263),"","x")</f>
        <v/>
      </c>
      <c r="W259" t="str">
        <f>IF(ISBLANK(JP!W263),"","x")</f>
        <v/>
      </c>
      <c r="X259" t="str">
        <f>IF(ISBLANK(JP!X263),"","x")</f>
        <v/>
      </c>
      <c r="Y259" t="str">
        <f>IF(ISBLANK(JP!Y263),"","x")</f>
        <v/>
      </c>
      <c r="Z259" t="str">
        <f>IF(ISBLANK(JP!Z263),"","x")</f>
        <v/>
      </c>
      <c r="AA259" t="str">
        <f>IF(ISBLANK(JP!AB263),"","x")</f>
        <v/>
      </c>
      <c r="AB259" t="str">
        <f>IF(ISBLANK(JP!AC263),"","x")</f>
        <v/>
      </c>
      <c r="AC259" t="str">
        <f>IF(ISBLANK(JP!AD263),"","x")</f>
        <v/>
      </c>
      <c r="AD259" t="str">
        <f>IF(ISBLANK(JP!AE263),"","x")</f>
        <v/>
      </c>
      <c r="AE259" t="str">
        <f>IF(ISBLANK(JP!AF263),"","x")</f>
        <v/>
      </c>
      <c r="AF259" t="str">
        <f>IF(ISBLANK(JP!AG263),"","x")</f>
        <v/>
      </c>
      <c r="AG259" t="str">
        <f>IF(ISBLANK(JP!AH263),"","x")</f>
        <v/>
      </c>
      <c r="AH259" t="str">
        <f>IF(ISBLANK(JP!AJ263),"","x")</f>
        <v/>
      </c>
      <c r="AI259" t="str">
        <f>IF(ISBLANK(JP!AK263),"","x")</f>
        <v/>
      </c>
      <c r="AJ259" t="str">
        <f>IF(ISBLANK(JP!AL263),"","x")</f>
        <v/>
      </c>
      <c r="AK259" t="str">
        <f>IF(ISBLANK(JP!AM263),"","x")</f>
        <v/>
      </c>
      <c r="AL259" t="str">
        <f>IF(ISBLANK(JP!AN263),"","x")</f>
        <v/>
      </c>
      <c r="AM259" t="str">
        <f>IF(ISBLANK(JP!AO263),"","x")</f>
        <v/>
      </c>
      <c r="AN259" t="str">
        <f>IF(ISBLANK(JP!AP263),"","x")</f>
        <v/>
      </c>
      <c r="AO259" t="str">
        <f>IF(ISBLANK(JP!AR263),"","x")</f>
        <v/>
      </c>
      <c r="AP259" t="str">
        <f>IF(ISBLANK(JP!AS263),"","x")</f>
        <v/>
      </c>
      <c r="AQ259" t="str">
        <f>IF(ISBLANK(JP!AT263),"","x")</f>
        <v/>
      </c>
      <c r="AR259" t="str">
        <f>IF(ISBLANK(JP!AU263),"","x")</f>
        <v/>
      </c>
      <c r="AS259" t="str">
        <f>IF(ISBLANK(JP!AV263),"","x")</f>
        <v/>
      </c>
      <c r="AT259" t="str">
        <f>IF(ISBLANK(JP!AW263),"","x")</f>
        <v/>
      </c>
      <c r="AU259" t="str">
        <f>IF(ISBLANK(JP!AX263),"","x")</f>
        <v/>
      </c>
    </row>
    <row r="260" spans="2:47">
      <c r="B260" t="str">
        <f>IF(ISBLANK(JP!AZ264),"",JP!AZ264)</f>
        <v/>
      </c>
      <c r="C260" t="str">
        <f>IF(ISBLANK(JP!BA264),"",JP!BA264)</f>
        <v/>
      </c>
      <c r="D260" t="str">
        <f>IF(ISBLANK(JP!BC264),"",JP!BC264)</f>
        <v/>
      </c>
      <c r="E260" t="str">
        <f>IF(ISBLANK(JP!BB264),"",JP!BB264)</f>
        <v/>
      </c>
      <c r="F260" t="str">
        <f>IF(ISBLANK(JP!D264),"","x")</f>
        <v/>
      </c>
      <c r="G260" t="str">
        <f>IF(ISBLANK(JP!E264),"","x")</f>
        <v/>
      </c>
      <c r="H260" t="str">
        <f>IF(ISBLANK(JP!F264),"","x")</f>
        <v/>
      </c>
      <c r="I260" t="str">
        <f>IF(ISBLANK(JP!G264),"","x")</f>
        <v/>
      </c>
      <c r="J260" t="str">
        <f>IF(ISBLANK(JP!H264),"","x")</f>
        <v/>
      </c>
      <c r="K260" t="str">
        <f>IF(ISBLANK(JP!I264),"","x")</f>
        <v/>
      </c>
      <c r="L260" t="str">
        <f>IF(ISBLANK(JP!J264),"","x")</f>
        <v/>
      </c>
      <c r="M260" t="str">
        <f>IF(ISBLANK(JP!L264),"","x")</f>
        <v/>
      </c>
      <c r="N260" t="str">
        <f>IF(ISBLANK(JP!M264),"","x")</f>
        <v/>
      </c>
      <c r="O260" t="str">
        <f>IF(ISBLANK(JP!N264),"","x")</f>
        <v/>
      </c>
      <c r="P260" t="str">
        <f>IF(ISBLANK(JP!O264),"","x")</f>
        <v/>
      </c>
      <c r="Q260" t="str">
        <f>IF(ISBLANK(JP!P264),"","x")</f>
        <v/>
      </c>
      <c r="R260" t="str">
        <f>IF(ISBLANK(JP!Q264),"","x")</f>
        <v/>
      </c>
      <c r="S260" t="str">
        <f>IF(ISBLANK(JP!R264),"","x")</f>
        <v/>
      </c>
      <c r="T260" t="str">
        <f>IF(ISBLANK(JP!T264),"","x")</f>
        <v/>
      </c>
      <c r="U260" t="str">
        <f>IF(ISBLANK(JP!U264),"","x")</f>
        <v/>
      </c>
      <c r="V260" t="str">
        <f>IF(ISBLANK(JP!V264),"","x")</f>
        <v/>
      </c>
      <c r="W260" t="str">
        <f>IF(ISBLANK(JP!W264),"","x")</f>
        <v/>
      </c>
      <c r="X260" t="str">
        <f>IF(ISBLANK(JP!X264),"","x")</f>
        <v/>
      </c>
      <c r="Y260" t="str">
        <f>IF(ISBLANK(JP!Y264),"","x")</f>
        <v/>
      </c>
      <c r="Z260" t="str">
        <f>IF(ISBLANK(JP!Z264),"","x")</f>
        <v/>
      </c>
      <c r="AA260" t="str">
        <f>IF(ISBLANK(JP!AB264),"","x")</f>
        <v/>
      </c>
      <c r="AB260" t="str">
        <f>IF(ISBLANK(JP!AC264),"","x")</f>
        <v/>
      </c>
      <c r="AC260" t="str">
        <f>IF(ISBLANK(JP!AD264),"","x")</f>
        <v/>
      </c>
      <c r="AD260" t="str">
        <f>IF(ISBLANK(JP!AE264),"","x")</f>
        <v/>
      </c>
      <c r="AE260" t="str">
        <f>IF(ISBLANK(JP!AF264),"","x")</f>
        <v/>
      </c>
      <c r="AF260" t="str">
        <f>IF(ISBLANK(JP!AG264),"","x")</f>
        <v/>
      </c>
      <c r="AG260" t="str">
        <f>IF(ISBLANK(JP!AH264),"","x")</f>
        <v/>
      </c>
      <c r="AH260" t="str">
        <f>IF(ISBLANK(JP!AJ264),"","x")</f>
        <v/>
      </c>
      <c r="AI260" t="str">
        <f>IF(ISBLANK(JP!AK264),"","x")</f>
        <v/>
      </c>
      <c r="AJ260" t="str">
        <f>IF(ISBLANK(JP!AL264),"","x")</f>
        <v/>
      </c>
      <c r="AK260" t="str">
        <f>IF(ISBLANK(JP!AM264),"","x")</f>
        <v/>
      </c>
      <c r="AL260" t="str">
        <f>IF(ISBLANK(JP!AN264),"","x")</f>
        <v/>
      </c>
      <c r="AM260" t="str">
        <f>IF(ISBLANK(JP!AO264),"","x")</f>
        <v/>
      </c>
      <c r="AN260" t="str">
        <f>IF(ISBLANK(JP!AP264),"","x")</f>
        <v/>
      </c>
      <c r="AO260" t="str">
        <f>IF(ISBLANK(JP!AR264),"","x")</f>
        <v/>
      </c>
      <c r="AP260" t="str">
        <f>IF(ISBLANK(JP!AS264),"","x")</f>
        <v/>
      </c>
      <c r="AQ260" t="str">
        <f>IF(ISBLANK(JP!AT264),"","x")</f>
        <v/>
      </c>
      <c r="AR260" t="str">
        <f>IF(ISBLANK(JP!AU264),"","x")</f>
        <v/>
      </c>
      <c r="AS260" t="str">
        <f>IF(ISBLANK(JP!AV264),"","x")</f>
        <v/>
      </c>
      <c r="AT260" t="str">
        <f>IF(ISBLANK(JP!AW264),"","x")</f>
        <v/>
      </c>
      <c r="AU260" t="str">
        <f>IF(ISBLANK(JP!AX264),"","x")</f>
        <v/>
      </c>
    </row>
    <row r="261" spans="2:47">
      <c r="B261" t="str">
        <f>IF(ISBLANK(JP!AZ265),"",JP!AZ265)</f>
        <v/>
      </c>
      <c r="C261" t="str">
        <f>IF(ISBLANK(JP!BA265),"",JP!BA265)</f>
        <v/>
      </c>
      <c r="D261" t="str">
        <f>IF(ISBLANK(JP!BC265),"",JP!BC265)</f>
        <v/>
      </c>
      <c r="E261" t="str">
        <f>IF(ISBLANK(JP!BB265),"",JP!BB265)</f>
        <v/>
      </c>
      <c r="F261" t="str">
        <f>IF(ISBLANK(JP!D265),"","x")</f>
        <v/>
      </c>
      <c r="G261" t="str">
        <f>IF(ISBLANK(JP!E265),"","x")</f>
        <v/>
      </c>
      <c r="H261" t="str">
        <f>IF(ISBLANK(JP!F265),"","x")</f>
        <v/>
      </c>
      <c r="I261" t="str">
        <f>IF(ISBLANK(JP!G265),"","x")</f>
        <v/>
      </c>
      <c r="J261" t="str">
        <f>IF(ISBLANK(JP!H265),"","x")</f>
        <v/>
      </c>
      <c r="K261" t="str">
        <f>IF(ISBLANK(JP!I265),"","x")</f>
        <v/>
      </c>
      <c r="L261" t="str">
        <f>IF(ISBLANK(JP!J265),"","x")</f>
        <v/>
      </c>
      <c r="M261" t="str">
        <f>IF(ISBLANK(JP!L265),"","x")</f>
        <v/>
      </c>
      <c r="N261" t="str">
        <f>IF(ISBLANK(JP!M265),"","x")</f>
        <v/>
      </c>
      <c r="O261" t="str">
        <f>IF(ISBLANK(JP!N265),"","x")</f>
        <v/>
      </c>
      <c r="P261" t="str">
        <f>IF(ISBLANK(JP!O265),"","x")</f>
        <v/>
      </c>
      <c r="Q261" t="str">
        <f>IF(ISBLANK(JP!P265),"","x")</f>
        <v/>
      </c>
      <c r="R261" t="str">
        <f>IF(ISBLANK(JP!Q265),"","x")</f>
        <v/>
      </c>
      <c r="S261" t="str">
        <f>IF(ISBLANK(JP!R265),"","x")</f>
        <v/>
      </c>
      <c r="T261" t="str">
        <f>IF(ISBLANK(JP!T265),"","x")</f>
        <v/>
      </c>
      <c r="U261" t="str">
        <f>IF(ISBLANK(JP!U265),"","x")</f>
        <v/>
      </c>
      <c r="V261" t="str">
        <f>IF(ISBLANK(JP!V265),"","x")</f>
        <v/>
      </c>
      <c r="W261" t="str">
        <f>IF(ISBLANK(JP!W265),"","x")</f>
        <v/>
      </c>
      <c r="X261" t="str">
        <f>IF(ISBLANK(JP!X265),"","x")</f>
        <v/>
      </c>
      <c r="Y261" t="str">
        <f>IF(ISBLANK(JP!Y265),"","x")</f>
        <v/>
      </c>
      <c r="Z261" t="str">
        <f>IF(ISBLANK(JP!Z265),"","x")</f>
        <v/>
      </c>
      <c r="AA261" t="str">
        <f>IF(ISBLANK(JP!AB265),"","x")</f>
        <v/>
      </c>
      <c r="AB261" t="str">
        <f>IF(ISBLANK(JP!AC265),"","x")</f>
        <v/>
      </c>
      <c r="AC261" t="str">
        <f>IF(ISBLANK(JP!AD265),"","x")</f>
        <v/>
      </c>
      <c r="AD261" t="str">
        <f>IF(ISBLANK(JP!AE265),"","x")</f>
        <v/>
      </c>
      <c r="AE261" t="str">
        <f>IF(ISBLANK(JP!AF265),"","x")</f>
        <v/>
      </c>
      <c r="AF261" t="str">
        <f>IF(ISBLANK(JP!AG265),"","x")</f>
        <v/>
      </c>
      <c r="AG261" t="str">
        <f>IF(ISBLANK(JP!AH265),"","x")</f>
        <v/>
      </c>
      <c r="AH261" t="str">
        <f>IF(ISBLANK(JP!AJ265),"","x")</f>
        <v/>
      </c>
      <c r="AI261" t="str">
        <f>IF(ISBLANK(JP!AK265),"","x")</f>
        <v/>
      </c>
      <c r="AJ261" t="str">
        <f>IF(ISBLANK(JP!AL265),"","x")</f>
        <v/>
      </c>
      <c r="AK261" t="str">
        <f>IF(ISBLANK(JP!AM265),"","x")</f>
        <v/>
      </c>
      <c r="AL261" t="str">
        <f>IF(ISBLANK(JP!AN265),"","x")</f>
        <v/>
      </c>
      <c r="AM261" t="str">
        <f>IF(ISBLANK(JP!AO265),"","x")</f>
        <v/>
      </c>
      <c r="AN261" t="str">
        <f>IF(ISBLANK(JP!AP265),"","x")</f>
        <v/>
      </c>
      <c r="AO261" t="str">
        <f>IF(ISBLANK(JP!AR265),"","x")</f>
        <v/>
      </c>
      <c r="AP261" t="str">
        <f>IF(ISBLANK(JP!AS265),"","x")</f>
        <v/>
      </c>
      <c r="AQ261" t="str">
        <f>IF(ISBLANK(JP!AT265),"","x")</f>
        <v/>
      </c>
      <c r="AR261" t="str">
        <f>IF(ISBLANK(JP!AU265),"","x")</f>
        <v/>
      </c>
      <c r="AS261" t="str">
        <f>IF(ISBLANK(JP!AV265),"","x")</f>
        <v/>
      </c>
      <c r="AT261" t="str">
        <f>IF(ISBLANK(JP!AW265),"","x")</f>
        <v/>
      </c>
      <c r="AU261" t="str">
        <f>IF(ISBLANK(JP!AX265),"","x")</f>
        <v/>
      </c>
    </row>
    <row r="262" spans="2:47">
      <c r="B262" t="str">
        <f>IF(ISBLANK(JP!AZ266),"",JP!AZ266)</f>
        <v/>
      </c>
      <c r="C262" t="str">
        <f>IF(ISBLANK(JP!BA266),"",JP!BA266)</f>
        <v/>
      </c>
      <c r="D262" t="str">
        <f>IF(ISBLANK(JP!BC266),"",JP!BC266)</f>
        <v/>
      </c>
      <c r="E262" t="str">
        <f>IF(ISBLANK(JP!BB266),"",JP!BB266)</f>
        <v/>
      </c>
      <c r="F262" t="str">
        <f>IF(ISBLANK(JP!D266),"","x")</f>
        <v/>
      </c>
      <c r="G262" t="str">
        <f>IF(ISBLANK(JP!E266),"","x")</f>
        <v/>
      </c>
      <c r="H262" t="str">
        <f>IF(ISBLANK(JP!F266),"","x")</f>
        <v/>
      </c>
      <c r="I262" t="str">
        <f>IF(ISBLANK(JP!G266),"","x")</f>
        <v/>
      </c>
      <c r="J262" t="str">
        <f>IF(ISBLANK(JP!H266),"","x")</f>
        <v/>
      </c>
      <c r="K262" t="str">
        <f>IF(ISBLANK(JP!I266),"","x")</f>
        <v/>
      </c>
      <c r="L262" t="str">
        <f>IF(ISBLANK(JP!J266),"","x")</f>
        <v/>
      </c>
      <c r="M262" t="str">
        <f>IF(ISBLANK(JP!L266),"","x")</f>
        <v/>
      </c>
      <c r="N262" t="str">
        <f>IF(ISBLANK(JP!M266),"","x")</f>
        <v/>
      </c>
      <c r="O262" t="str">
        <f>IF(ISBLANK(JP!N266),"","x")</f>
        <v/>
      </c>
      <c r="P262" t="str">
        <f>IF(ISBLANK(JP!O266),"","x")</f>
        <v/>
      </c>
      <c r="Q262" t="str">
        <f>IF(ISBLANK(JP!P266),"","x")</f>
        <v/>
      </c>
      <c r="R262" t="str">
        <f>IF(ISBLANK(JP!Q266),"","x")</f>
        <v/>
      </c>
      <c r="S262" t="str">
        <f>IF(ISBLANK(JP!R266),"","x")</f>
        <v/>
      </c>
      <c r="T262" t="str">
        <f>IF(ISBLANK(JP!T266),"","x")</f>
        <v/>
      </c>
      <c r="U262" t="str">
        <f>IF(ISBLANK(JP!U266),"","x")</f>
        <v/>
      </c>
      <c r="V262" t="str">
        <f>IF(ISBLANK(JP!V266),"","x")</f>
        <v/>
      </c>
      <c r="W262" t="str">
        <f>IF(ISBLANK(JP!W266),"","x")</f>
        <v/>
      </c>
      <c r="X262" t="str">
        <f>IF(ISBLANK(JP!X266),"","x")</f>
        <v/>
      </c>
      <c r="Y262" t="str">
        <f>IF(ISBLANK(JP!Y266),"","x")</f>
        <v/>
      </c>
      <c r="Z262" t="str">
        <f>IF(ISBLANK(JP!Z266),"","x")</f>
        <v/>
      </c>
      <c r="AA262" t="str">
        <f>IF(ISBLANK(JP!AB266),"","x")</f>
        <v/>
      </c>
      <c r="AB262" t="str">
        <f>IF(ISBLANK(JP!AC266),"","x")</f>
        <v/>
      </c>
      <c r="AC262" t="str">
        <f>IF(ISBLANK(JP!AD266),"","x")</f>
        <v/>
      </c>
      <c r="AD262" t="str">
        <f>IF(ISBLANK(JP!AE266),"","x")</f>
        <v/>
      </c>
      <c r="AE262" t="str">
        <f>IF(ISBLANK(JP!AF266),"","x")</f>
        <v/>
      </c>
      <c r="AF262" t="str">
        <f>IF(ISBLANK(JP!AG266),"","x")</f>
        <v/>
      </c>
      <c r="AG262" t="str">
        <f>IF(ISBLANK(JP!AH266),"","x")</f>
        <v/>
      </c>
      <c r="AH262" t="str">
        <f>IF(ISBLANK(JP!AJ266),"","x")</f>
        <v/>
      </c>
      <c r="AI262" t="str">
        <f>IF(ISBLANK(JP!AK266),"","x")</f>
        <v/>
      </c>
      <c r="AJ262" t="str">
        <f>IF(ISBLANK(JP!AL266),"","x")</f>
        <v/>
      </c>
      <c r="AK262" t="str">
        <f>IF(ISBLANK(JP!AM266),"","x")</f>
        <v/>
      </c>
      <c r="AL262" t="str">
        <f>IF(ISBLANK(JP!AN266),"","x")</f>
        <v/>
      </c>
      <c r="AM262" t="str">
        <f>IF(ISBLANK(JP!AO266),"","x")</f>
        <v/>
      </c>
      <c r="AN262" t="str">
        <f>IF(ISBLANK(JP!AP266),"","x")</f>
        <v/>
      </c>
      <c r="AO262" t="str">
        <f>IF(ISBLANK(JP!AR266),"","x")</f>
        <v/>
      </c>
      <c r="AP262" t="str">
        <f>IF(ISBLANK(JP!AS266),"","x")</f>
        <v/>
      </c>
      <c r="AQ262" t="str">
        <f>IF(ISBLANK(JP!AT266),"","x")</f>
        <v/>
      </c>
      <c r="AR262" t="str">
        <f>IF(ISBLANK(JP!AU266),"","x")</f>
        <v/>
      </c>
      <c r="AS262" t="str">
        <f>IF(ISBLANK(JP!AV266),"","x")</f>
        <v/>
      </c>
      <c r="AT262" t="str">
        <f>IF(ISBLANK(JP!AW266),"","x")</f>
        <v/>
      </c>
      <c r="AU262" t="str">
        <f>IF(ISBLANK(JP!AX266),"","x")</f>
        <v/>
      </c>
    </row>
    <row r="263" spans="2:47">
      <c r="B263" t="str">
        <f>IF(ISBLANK(JP!AZ267),"",JP!AZ267)</f>
        <v/>
      </c>
      <c r="C263" t="str">
        <f>IF(ISBLANK(JP!BA267),"",JP!BA267)</f>
        <v/>
      </c>
      <c r="D263" t="str">
        <f>IF(ISBLANK(JP!BC267),"",JP!BC267)</f>
        <v/>
      </c>
      <c r="E263" t="str">
        <f>IF(ISBLANK(JP!BB267),"",JP!BB267)</f>
        <v/>
      </c>
      <c r="F263" t="str">
        <f>IF(ISBLANK(JP!D267),"","x")</f>
        <v/>
      </c>
      <c r="G263" t="str">
        <f>IF(ISBLANK(JP!E267),"","x")</f>
        <v/>
      </c>
      <c r="H263" t="str">
        <f>IF(ISBLANK(JP!F267),"","x")</f>
        <v/>
      </c>
      <c r="I263" t="str">
        <f>IF(ISBLANK(JP!G267),"","x")</f>
        <v/>
      </c>
      <c r="J263" t="str">
        <f>IF(ISBLANK(JP!H267),"","x")</f>
        <v/>
      </c>
      <c r="K263" t="str">
        <f>IF(ISBLANK(JP!I267),"","x")</f>
        <v/>
      </c>
      <c r="L263" t="str">
        <f>IF(ISBLANK(JP!J267),"","x")</f>
        <v/>
      </c>
      <c r="M263" t="str">
        <f>IF(ISBLANK(JP!L267),"","x")</f>
        <v/>
      </c>
      <c r="N263" t="str">
        <f>IF(ISBLANK(JP!M267),"","x")</f>
        <v/>
      </c>
      <c r="O263" t="str">
        <f>IF(ISBLANK(JP!N267),"","x")</f>
        <v/>
      </c>
      <c r="P263" t="str">
        <f>IF(ISBLANK(JP!O267),"","x")</f>
        <v/>
      </c>
      <c r="Q263" t="str">
        <f>IF(ISBLANK(JP!P267),"","x")</f>
        <v/>
      </c>
      <c r="R263" t="str">
        <f>IF(ISBLANK(JP!Q267),"","x")</f>
        <v/>
      </c>
      <c r="S263" t="str">
        <f>IF(ISBLANK(JP!R267),"","x")</f>
        <v/>
      </c>
      <c r="T263" t="str">
        <f>IF(ISBLANK(JP!T267),"","x")</f>
        <v/>
      </c>
      <c r="U263" t="str">
        <f>IF(ISBLANK(JP!U267),"","x")</f>
        <v/>
      </c>
      <c r="V263" t="str">
        <f>IF(ISBLANK(JP!V267),"","x")</f>
        <v/>
      </c>
      <c r="W263" t="str">
        <f>IF(ISBLANK(JP!W267),"","x")</f>
        <v/>
      </c>
      <c r="X263" t="str">
        <f>IF(ISBLANK(JP!X267),"","x")</f>
        <v/>
      </c>
      <c r="Y263" t="str">
        <f>IF(ISBLANK(JP!Y267),"","x")</f>
        <v/>
      </c>
      <c r="Z263" t="str">
        <f>IF(ISBLANK(JP!Z267),"","x")</f>
        <v/>
      </c>
      <c r="AA263" t="str">
        <f>IF(ISBLANK(JP!AB267),"","x")</f>
        <v/>
      </c>
      <c r="AB263" t="str">
        <f>IF(ISBLANK(JP!AC267),"","x")</f>
        <v/>
      </c>
      <c r="AC263" t="str">
        <f>IF(ISBLANK(JP!AD267),"","x")</f>
        <v/>
      </c>
      <c r="AD263" t="str">
        <f>IF(ISBLANK(JP!AE267),"","x")</f>
        <v/>
      </c>
      <c r="AE263" t="str">
        <f>IF(ISBLANK(JP!AF267),"","x")</f>
        <v/>
      </c>
      <c r="AF263" t="str">
        <f>IF(ISBLANK(JP!AG267),"","x")</f>
        <v/>
      </c>
      <c r="AG263" t="str">
        <f>IF(ISBLANK(JP!AH267),"","x")</f>
        <v/>
      </c>
      <c r="AH263" t="str">
        <f>IF(ISBLANK(JP!AJ267),"","x")</f>
        <v/>
      </c>
      <c r="AI263" t="str">
        <f>IF(ISBLANK(JP!AK267),"","x")</f>
        <v/>
      </c>
      <c r="AJ263" t="str">
        <f>IF(ISBLANK(JP!AL267),"","x")</f>
        <v/>
      </c>
      <c r="AK263" t="str">
        <f>IF(ISBLANK(JP!AM267),"","x")</f>
        <v/>
      </c>
      <c r="AL263" t="str">
        <f>IF(ISBLANK(JP!AN267),"","x")</f>
        <v/>
      </c>
      <c r="AM263" t="str">
        <f>IF(ISBLANK(JP!AO267),"","x")</f>
        <v/>
      </c>
      <c r="AN263" t="str">
        <f>IF(ISBLANK(JP!AP267),"","x")</f>
        <v/>
      </c>
      <c r="AO263" t="str">
        <f>IF(ISBLANK(JP!AR267),"","x")</f>
        <v/>
      </c>
      <c r="AP263" t="str">
        <f>IF(ISBLANK(JP!AS267),"","x")</f>
        <v/>
      </c>
      <c r="AQ263" t="str">
        <f>IF(ISBLANK(JP!AT267),"","x")</f>
        <v/>
      </c>
      <c r="AR263" t="str">
        <f>IF(ISBLANK(JP!AU267),"","x")</f>
        <v/>
      </c>
      <c r="AS263" t="str">
        <f>IF(ISBLANK(JP!AV267),"","x")</f>
        <v/>
      </c>
      <c r="AT263" t="str">
        <f>IF(ISBLANK(JP!AW267),"","x")</f>
        <v/>
      </c>
      <c r="AU263" t="str">
        <f>IF(ISBLANK(JP!AX267),"","x")</f>
        <v/>
      </c>
    </row>
    <row r="264" spans="2:47">
      <c r="B264" t="str">
        <f>IF(ISBLANK(JP!AZ268),"",JP!AZ268)</f>
        <v/>
      </c>
      <c r="C264" t="str">
        <f>IF(ISBLANK(JP!BA268),"",JP!BA268)</f>
        <v/>
      </c>
      <c r="D264" t="str">
        <f>IF(ISBLANK(JP!BC268),"",JP!BC268)</f>
        <v/>
      </c>
      <c r="E264" t="str">
        <f>IF(ISBLANK(JP!BB268),"",JP!BB268)</f>
        <v/>
      </c>
      <c r="F264" t="str">
        <f>IF(ISBLANK(JP!D268),"","x")</f>
        <v/>
      </c>
      <c r="G264" t="str">
        <f>IF(ISBLANK(JP!E268),"","x")</f>
        <v/>
      </c>
      <c r="H264" t="str">
        <f>IF(ISBLANK(JP!F268),"","x")</f>
        <v/>
      </c>
      <c r="I264" t="str">
        <f>IF(ISBLANK(JP!G268),"","x")</f>
        <v/>
      </c>
      <c r="J264" t="str">
        <f>IF(ISBLANK(JP!H268),"","x")</f>
        <v/>
      </c>
      <c r="K264" t="str">
        <f>IF(ISBLANK(JP!I268),"","x")</f>
        <v/>
      </c>
      <c r="L264" t="str">
        <f>IF(ISBLANK(JP!J268),"","x")</f>
        <v/>
      </c>
      <c r="M264" t="str">
        <f>IF(ISBLANK(JP!L268),"","x")</f>
        <v/>
      </c>
      <c r="N264" t="str">
        <f>IF(ISBLANK(JP!M268),"","x")</f>
        <v/>
      </c>
      <c r="O264" t="str">
        <f>IF(ISBLANK(JP!N268),"","x")</f>
        <v/>
      </c>
      <c r="P264" t="str">
        <f>IF(ISBLANK(JP!O268),"","x")</f>
        <v/>
      </c>
      <c r="Q264" t="str">
        <f>IF(ISBLANK(JP!P268),"","x")</f>
        <v/>
      </c>
      <c r="R264" t="str">
        <f>IF(ISBLANK(JP!Q268),"","x")</f>
        <v/>
      </c>
      <c r="S264" t="str">
        <f>IF(ISBLANK(JP!R268),"","x")</f>
        <v/>
      </c>
      <c r="T264" t="str">
        <f>IF(ISBLANK(JP!T268),"","x")</f>
        <v/>
      </c>
      <c r="U264" t="str">
        <f>IF(ISBLANK(JP!U268),"","x")</f>
        <v/>
      </c>
      <c r="V264" t="str">
        <f>IF(ISBLANK(JP!V268),"","x")</f>
        <v/>
      </c>
      <c r="W264" t="str">
        <f>IF(ISBLANK(JP!W268),"","x")</f>
        <v/>
      </c>
      <c r="X264" t="str">
        <f>IF(ISBLANK(JP!X268),"","x")</f>
        <v/>
      </c>
      <c r="Y264" t="str">
        <f>IF(ISBLANK(JP!Y268),"","x")</f>
        <v/>
      </c>
      <c r="Z264" t="str">
        <f>IF(ISBLANK(JP!Z268),"","x")</f>
        <v/>
      </c>
      <c r="AA264" t="str">
        <f>IF(ISBLANK(JP!AB268),"","x")</f>
        <v/>
      </c>
      <c r="AB264" t="str">
        <f>IF(ISBLANK(JP!AC268),"","x")</f>
        <v/>
      </c>
      <c r="AC264" t="str">
        <f>IF(ISBLANK(JP!AD268),"","x")</f>
        <v/>
      </c>
      <c r="AD264" t="str">
        <f>IF(ISBLANK(JP!AE268),"","x")</f>
        <v/>
      </c>
      <c r="AE264" t="str">
        <f>IF(ISBLANK(JP!AF268),"","x")</f>
        <v/>
      </c>
      <c r="AF264" t="str">
        <f>IF(ISBLANK(JP!AG268),"","x")</f>
        <v/>
      </c>
      <c r="AG264" t="str">
        <f>IF(ISBLANK(JP!AH268),"","x")</f>
        <v/>
      </c>
      <c r="AH264" t="str">
        <f>IF(ISBLANK(JP!AJ268),"","x")</f>
        <v/>
      </c>
      <c r="AI264" t="str">
        <f>IF(ISBLANK(JP!AK268),"","x")</f>
        <v/>
      </c>
      <c r="AJ264" t="str">
        <f>IF(ISBLANK(JP!AL268),"","x")</f>
        <v/>
      </c>
      <c r="AK264" t="str">
        <f>IF(ISBLANK(JP!AM268),"","x")</f>
        <v/>
      </c>
      <c r="AL264" t="str">
        <f>IF(ISBLANK(JP!AN268),"","x")</f>
        <v/>
      </c>
      <c r="AM264" t="str">
        <f>IF(ISBLANK(JP!AO268),"","x")</f>
        <v/>
      </c>
      <c r="AN264" t="str">
        <f>IF(ISBLANK(JP!AP268),"","x")</f>
        <v/>
      </c>
      <c r="AO264" t="str">
        <f>IF(ISBLANK(JP!AR268),"","x")</f>
        <v/>
      </c>
      <c r="AP264" t="str">
        <f>IF(ISBLANK(JP!AS268),"","x")</f>
        <v/>
      </c>
      <c r="AQ264" t="str">
        <f>IF(ISBLANK(JP!AT268),"","x")</f>
        <v/>
      </c>
      <c r="AR264" t="str">
        <f>IF(ISBLANK(JP!AU268),"","x")</f>
        <v/>
      </c>
      <c r="AS264" t="str">
        <f>IF(ISBLANK(JP!AV268),"","x")</f>
        <v/>
      </c>
      <c r="AT264" t="str">
        <f>IF(ISBLANK(JP!AW268),"","x")</f>
        <v/>
      </c>
      <c r="AU264" t="str">
        <f>IF(ISBLANK(JP!AX268),"","x")</f>
        <v/>
      </c>
    </row>
    <row r="265" spans="2:47">
      <c r="B265" t="str">
        <f>IF(ISBLANK(JP!AZ269),"",JP!AZ269)</f>
        <v/>
      </c>
      <c r="C265" t="str">
        <f>IF(ISBLANK(JP!BA269),"",JP!BA269)</f>
        <v/>
      </c>
      <c r="D265" t="str">
        <f>IF(ISBLANK(JP!BC269),"",JP!BC269)</f>
        <v/>
      </c>
      <c r="E265" t="str">
        <f>IF(ISBLANK(JP!BB269),"",JP!BB269)</f>
        <v/>
      </c>
      <c r="F265" t="str">
        <f>IF(ISBLANK(JP!D269),"","x")</f>
        <v/>
      </c>
      <c r="G265" t="str">
        <f>IF(ISBLANK(JP!E269),"","x")</f>
        <v/>
      </c>
      <c r="H265" t="str">
        <f>IF(ISBLANK(JP!F269),"","x")</f>
        <v/>
      </c>
      <c r="I265" t="str">
        <f>IF(ISBLANK(JP!G269),"","x")</f>
        <v/>
      </c>
      <c r="J265" t="str">
        <f>IF(ISBLANK(JP!H269),"","x")</f>
        <v/>
      </c>
      <c r="K265" t="str">
        <f>IF(ISBLANK(JP!I269),"","x")</f>
        <v/>
      </c>
      <c r="L265" t="str">
        <f>IF(ISBLANK(JP!J269),"","x")</f>
        <v/>
      </c>
      <c r="M265" t="str">
        <f>IF(ISBLANK(JP!L269),"","x")</f>
        <v/>
      </c>
      <c r="N265" t="str">
        <f>IF(ISBLANK(JP!M269),"","x")</f>
        <v/>
      </c>
      <c r="O265" t="str">
        <f>IF(ISBLANK(JP!N269),"","x")</f>
        <v/>
      </c>
      <c r="P265" t="str">
        <f>IF(ISBLANK(JP!O269),"","x")</f>
        <v/>
      </c>
      <c r="Q265" t="str">
        <f>IF(ISBLANK(JP!P269),"","x")</f>
        <v/>
      </c>
      <c r="R265" t="str">
        <f>IF(ISBLANK(JP!Q269),"","x")</f>
        <v/>
      </c>
      <c r="S265" t="str">
        <f>IF(ISBLANK(JP!R269),"","x")</f>
        <v/>
      </c>
      <c r="T265" t="str">
        <f>IF(ISBLANK(JP!T269),"","x")</f>
        <v/>
      </c>
      <c r="U265" t="str">
        <f>IF(ISBLANK(JP!U269),"","x")</f>
        <v/>
      </c>
      <c r="V265" t="str">
        <f>IF(ISBLANK(JP!V269),"","x")</f>
        <v/>
      </c>
      <c r="W265" t="str">
        <f>IF(ISBLANK(JP!W269),"","x")</f>
        <v/>
      </c>
      <c r="X265" t="str">
        <f>IF(ISBLANK(JP!X269),"","x")</f>
        <v/>
      </c>
      <c r="Y265" t="str">
        <f>IF(ISBLANK(JP!Y269),"","x")</f>
        <v/>
      </c>
      <c r="Z265" t="str">
        <f>IF(ISBLANK(JP!Z269),"","x")</f>
        <v/>
      </c>
      <c r="AA265" t="str">
        <f>IF(ISBLANK(JP!AB269),"","x")</f>
        <v/>
      </c>
      <c r="AB265" t="str">
        <f>IF(ISBLANK(JP!AC269),"","x")</f>
        <v/>
      </c>
      <c r="AC265" t="str">
        <f>IF(ISBLANK(JP!AD269),"","x")</f>
        <v/>
      </c>
      <c r="AD265" t="str">
        <f>IF(ISBLANK(JP!AE269),"","x")</f>
        <v/>
      </c>
      <c r="AE265" t="str">
        <f>IF(ISBLANK(JP!AF269),"","x")</f>
        <v/>
      </c>
      <c r="AF265" t="str">
        <f>IF(ISBLANK(JP!AG269),"","x")</f>
        <v/>
      </c>
      <c r="AG265" t="str">
        <f>IF(ISBLANK(JP!AH269),"","x")</f>
        <v/>
      </c>
      <c r="AH265" t="str">
        <f>IF(ISBLANK(JP!AJ269),"","x")</f>
        <v/>
      </c>
      <c r="AI265" t="str">
        <f>IF(ISBLANK(JP!AK269),"","x")</f>
        <v/>
      </c>
      <c r="AJ265" t="str">
        <f>IF(ISBLANK(JP!AL269),"","x")</f>
        <v/>
      </c>
      <c r="AK265" t="str">
        <f>IF(ISBLANK(JP!AM269),"","x")</f>
        <v/>
      </c>
      <c r="AL265" t="str">
        <f>IF(ISBLANK(JP!AN269),"","x")</f>
        <v/>
      </c>
      <c r="AM265" t="str">
        <f>IF(ISBLANK(JP!AO269),"","x")</f>
        <v/>
      </c>
      <c r="AN265" t="str">
        <f>IF(ISBLANK(JP!AP269),"","x")</f>
        <v/>
      </c>
      <c r="AO265" t="str">
        <f>IF(ISBLANK(JP!AR269),"","x")</f>
        <v/>
      </c>
      <c r="AP265" t="str">
        <f>IF(ISBLANK(JP!AS269),"","x")</f>
        <v/>
      </c>
      <c r="AQ265" t="str">
        <f>IF(ISBLANK(JP!AT269),"","x")</f>
        <v/>
      </c>
      <c r="AR265" t="str">
        <f>IF(ISBLANK(JP!AU269),"","x")</f>
        <v/>
      </c>
      <c r="AS265" t="str">
        <f>IF(ISBLANK(JP!AV269),"","x")</f>
        <v/>
      </c>
      <c r="AT265" t="str">
        <f>IF(ISBLANK(JP!AW269),"","x")</f>
        <v/>
      </c>
      <c r="AU265" t="str">
        <f>IF(ISBLANK(JP!AX269),"","x")</f>
        <v/>
      </c>
    </row>
    <row r="266" spans="2:47">
      <c r="B266" t="str">
        <f>IF(ISBLANK(JP!AZ270),"",JP!AZ270)</f>
        <v/>
      </c>
      <c r="C266" t="str">
        <f>IF(ISBLANK(JP!BA270),"",JP!BA270)</f>
        <v/>
      </c>
      <c r="D266" t="str">
        <f>IF(ISBLANK(JP!BC270),"",JP!BC270)</f>
        <v/>
      </c>
      <c r="E266" t="str">
        <f>IF(ISBLANK(JP!BB270),"",JP!BB270)</f>
        <v/>
      </c>
      <c r="F266" t="str">
        <f>IF(ISBLANK(JP!D270),"","x")</f>
        <v/>
      </c>
      <c r="G266" t="str">
        <f>IF(ISBLANK(JP!E270),"","x")</f>
        <v/>
      </c>
      <c r="H266" t="str">
        <f>IF(ISBLANK(JP!F270),"","x")</f>
        <v/>
      </c>
      <c r="I266" t="str">
        <f>IF(ISBLANK(JP!G270),"","x")</f>
        <v/>
      </c>
      <c r="J266" t="str">
        <f>IF(ISBLANK(JP!H270),"","x")</f>
        <v/>
      </c>
      <c r="K266" t="str">
        <f>IF(ISBLANK(JP!I270),"","x")</f>
        <v/>
      </c>
      <c r="L266" t="str">
        <f>IF(ISBLANK(JP!J270),"","x")</f>
        <v/>
      </c>
      <c r="M266" t="str">
        <f>IF(ISBLANK(JP!L270),"","x")</f>
        <v/>
      </c>
      <c r="N266" t="str">
        <f>IF(ISBLANK(JP!M270),"","x")</f>
        <v/>
      </c>
      <c r="O266" t="str">
        <f>IF(ISBLANK(JP!N270),"","x")</f>
        <v/>
      </c>
      <c r="P266" t="str">
        <f>IF(ISBLANK(JP!O270),"","x")</f>
        <v/>
      </c>
      <c r="Q266" t="str">
        <f>IF(ISBLANK(JP!P270),"","x")</f>
        <v/>
      </c>
      <c r="R266" t="str">
        <f>IF(ISBLANK(JP!Q270),"","x")</f>
        <v/>
      </c>
      <c r="S266" t="str">
        <f>IF(ISBLANK(JP!R270),"","x")</f>
        <v/>
      </c>
      <c r="T266" t="str">
        <f>IF(ISBLANK(JP!T270),"","x")</f>
        <v/>
      </c>
      <c r="U266" t="str">
        <f>IF(ISBLANK(JP!U270),"","x")</f>
        <v/>
      </c>
      <c r="V266" t="str">
        <f>IF(ISBLANK(JP!V270),"","x")</f>
        <v/>
      </c>
      <c r="W266" t="str">
        <f>IF(ISBLANK(JP!W270),"","x")</f>
        <v/>
      </c>
      <c r="X266" t="str">
        <f>IF(ISBLANK(JP!X270),"","x")</f>
        <v/>
      </c>
      <c r="Y266" t="str">
        <f>IF(ISBLANK(JP!Y270),"","x")</f>
        <v/>
      </c>
      <c r="Z266" t="str">
        <f>IF(ISBLANK(JP!Z270),"","x")</f>
        <v/>
      </c>
      <c r="AA266" t="str">
        <f>IF(ISBLANK(JP!AB270),"","x")</f>
        <v/>
      </c>
      <c r="AB266" t="str">
        <f>IF(ISBLANK(JP!AC270),"","x")</f>
        <v/>
      </c>
      <c r="AC266" t="str">
        <f>IF(ISBLANK(JP!AD270),"","x")</f>
        <v/>
      </c>
      <c r="AD266" t="str">
        <f>IF(ISBLANK(JP!AE270),"","x")</f>
        <v/>
      </c>
      <c r="AE266" t="str">
        <f>IF(ISBLANK(JP!AF270),"","x")</f>
        <v/>
      </c>
      <c r="AF266" t="str">
        <f>IF(ISBLANK(JP!AG270),"","x")</f>
        <v/>
      </c>
      <c r="AG266" t="str">
        <f>IF(ISBLANK(JP!AH270),"","x")</f>
        <v/>
      </c>
      <c r="AH266" t="str">
        <f>IF(ISBLANK(JP!AJ270),"","x")</f>
        <v/>
      </c>
      <c r="AI266" t="str">
        <f>IF(ISBLANK(JP!AK270),"","x")</f>
        <v/>
      </c>
      <c r="AJ266" t="str">
        <f>IF(ISBLANK(JP!AL270),"","x")</f>
        <v/>
      </c>
      <c r="AK266" t="str">
        <f>IF(ISBLANK(JP!AM270),"","x")</f>
        <v/>
      </c>
      <c r="AL266" t="str">
        <f>IF(ISBLANK(JP!AN270),"","x")</f>
        <v/>
      </c>
      <c r="AM266" t="str">
        <f>IF(ISBLANK(JP!AO270),"","x")</f>
        <v/>
      </c>
      <c r="AN266" t="str">
        <f>IF(ISBLANK(JP!AP270),"","x")</f>
        <v/>
      </c>
      <c r="AO266" t="str">
        <f>IF(ISBLANK(JP!AR270),"","x")</f>
        <v/>
      </c>
      <c r="AP266" t="str">
        <f>IF(ISBLANK(JP!AS270),"","x")</f>
        <v/>
      </c>
      <c r="AQ266" t="str">
        <f>IF(ISBLANK(JP!AT270),"","x")</f>
        <v/>
      </c>
      <c r="AR266" t="str">
        <f>IF(ISBLANK(JP!AU270),"","x")</f>
        <v/>
      </c>
      <c r="AS266" t="str">
        <f>IF(ISBLANK(JP!AV270),"","x")</f>
        <v/>
      </c>
      <c r="AT266" t="str">
        <f>IF(ISBLANK(JP!AW270),"","x")</f>
        <v/>
      </c>
      <c r="AU266" t="str">
        <f>IF(ISBLANK(JP!AX270),"","x")</f>
        <v/>
      </c>
    </row>
    <row r="267" spans="2:47">
      <c r="B267" t="str">
        <f>IF(ISBLANK(JP!AZ271),"",JP!AZ271)</f>
        <v/>
      </c>
      <c r="C267" t="str">
        <f>IF(ISBLANK(JP!BA271),"",JP!BA271)</f>
        <v/>
      </c>
      <c r="D267" t="str">
        <f>IF(ISBLANK(JP!BC271),"",JP!BC271)</f>
        <v/>
      </c>
      <c r="E267" t="str">
        <f>IF(ISBLANK(JP!BB271),"",JP!BB271)</f>
        <v/>
      </c>
      <c r="F267" t="str">
        <f>IF(ISBLANK(JP!D271),"","x")</f>
        <v/>
      </c>
      <c r="G267" t="str">
        <f>IF(ISBLANK(JP!E271),"","x")</f>
        <v/>
      </c>
      <c r="H267" t="str">
        <f>IF(ISBLANK(JP!F271),"","x")</f>
        <v/>
      </c>
      <c r="I267" t="str">
        <f>IF(ISBLANK(JP!G271),"","x")</f>
        <v/>
      </c>
      <c r="J267" t="str">
        <f>IF(ISBLANK(JP!H271),"","x")</f>
        <v/>
      </c>
      <c r="K267" t="str">
        <f>IF(ISBLANK(JP!I271),"","x")</f>
        <v/>
      </c>
      <c r="L267" t="str">
        <f>IF(ISBLANK(JP!J271),"","x")</f>
        <v/>
      </c>
      <c r="M267" t="str">
        <f>IF(ISBLANK(JP!L271),"","x")</f>
        <v/>
      </c>
      <c r="N267" t="str">
        <f>IF(ISBLANK(JP!M271),"","x")</f>
        <v/>
      </c>
      <c r="O267" t="str">
        <f>IF(ISBLANK(JP!N271),"","x")</f>
        <v/>
      </c>
      <c r="P267" t="str">
        <f>IF(ISBLANK(JP!O271),"","x")</f>
        <v/>
      </c>
      <c r="Q267" t="str">
        <f>IF(ISBLANK(JP!P271),"","x")</f>
        <v/>
      </c>
      <c r="R267" t="str">
        <f>IF(ISBLANK(JP!Q271),"","x")</f>
        <v/>
      </c>
      <c r="S267" t="str">
        <f>IF(ISBLANK(JP!R271),"","x")</f>
        <v/>
      </c>
      <c r="T267" t="str">
        <f>IF(ISBLANK(JP!T271),"","x")</f>
        <v/>
      </c>
      <c r="U267" t="str">
        <f>IF(ISBLANK(JP!U271),"","x")</f>
        <v/>
      </c>
      <c r="V267" t="str">
        <f>IF(ISBLANK(JP!V271),"","x")</f>
        <v/>
      </c>
      <c r="W267" t="str">
        <f>IF(ISBLANK(JP!W271),"","x")</f>
        <v/>
      </c>
      <c r="X267" t="str">
        <f>IF(ISBLANK(JP!X271),"","x")</f>
        <v/>
      </c>
      <c r="Y267" t="str">
        <f>IF(ISBLANK(JP!Y271),"","x")</f>
        <v/>
      </c>
      <c r="Z267" t="str">
        <f>IF(ISBLANK(JP!Z271),"","x")</f>
        <v/>
      </c>
      <c r="AA267" t="str">
        <f>IF(ISBLANK(JP!AB271),"","x")</f>
        <v/>
      </c>
      <c r="AB267" t="str">
        <f>IF(ISBLANK(JP!AC271),"","x")</f>
        <v/>
      </c>
      <c r="AC267" t="str">
        <f>IF(ISBLANK(JP!AD271),"","x")</f>
        <v/>
      </c>
      <c r="AD267" t="str">
        <f>IF(ISBLANK(JP!AE271),"","x")</f>
        <v/>
      </c>
      <c r="AE267" t="str">
        <f>IF(ISBLANK(JP!AF271),"","x")</f>
        <v/>
      </c>
      <c r="AF267" t="str">
        <f>IF(ISBLANK(JP!AG271),"","x")</f>
        <v/>
      </c>
      <c r="AG267" t="str">
        <f>IF(ISBLANK(JP!AH271),"","x")</f>
        <v/>
      </c>
      <c r="AH267" t="str">
        <f>IF(ISBLANK(JP!AJ271),"","x")</f>
        <v/>
      </c>
      <c r="AI267" t="str">
        <f>IF(ISBLANK(JP!AK271),"","x")</f>
        <v/>
      </c>
      <c r="AJ267" t="str">
        <f>IF(ISBLANK(JP!AL271),"","x")</f>
        <v/>
      </c>
      <c r="AK267" t="str">
        <f>IF(ISBLANK(JP!AM271),"","x")</f>
        <v/>
      </c>
      <c r="AL267" t="str">
        <f>IF(ISBLANK(JP!AN271),"","x")</f>
        <v/>
      </c>
      <c r="AM267" t="str">
        <f>IF(ISBLANK(JP!AO271),"","x")</f>
        <v/>
      </c>
      <c r="AN267" t="str">
        <f>IF(ISBLANK(JP!AP271),"","x")</f>
        <v/>
      </c>
      <c r="AO267" t="str">
        <f>IF(ISBLANK(JP!AR271),"","x")</f>
        <v/>
      </c>
      <c r="AP267" t="str">
        <f>IF(ISBLANK(JP!AS271),"","x")</f>
        <v/>
      </c>
      <c r="AQ267" t="str">
        <f>IF(ISBLANK(JP!AT271),"","x")</f>
        <v/>
      </c>
      <c r="AR267" t="str">
        <f>IF(ISBLANK(JP!AU271),"","x")</f>
        <v/>
      </c>
      <c r="AS267" t="str">
        <f>IF(ISBLANK(JP!AV271),"","x")</f>
        <v/>
      </c>
      <c r="AT267" t="str">
        <f>IF(ISBLANK(JP!AW271),"","x")</f>
        <v/>
      </c>
      <c r="AU267" t="str">
        <f>IF(ISBLANK(JP!AX271),"","x")</f>
        <v/>
      </c>
    </row>
    <row r="268" spans="2:47">
      <c r="B268" t="str">
        <f>IF(ISBLANK(JP!AZ272),"",JP!AZ272)</f>
        <v/>
      </c>
      <c r="C268" t="str">
        <f>IF(ISBLANK(JP!BA272),"",JP!BA272)</f>
        <v/>
      </c>
      <c r="D268" t="str">
        <f>IF(ISBLANK(JP!BC272),"",JP!BC272)</f>
        <v/>
      </c>
      <c r="E268" t="str">
        <f>IF(ISBLANK(JP!BB272),"",JP!BB272)</f>
        <v/>
      </c>
      <c r="F268" t="str">
        <f>IF(ISBLANK(JP!D272),"","x")</f>
        <v/>
      </c>
      <c r="G268" t="str">
        <f>IF(ISBLANK(JP!E272),"","x")</f>
        <v/>
      </c>
      <c r="H268" t="str">
        <f>IF(ISBLANK(JP!F272),"","x")</f>
        <v/>
      </c>
      <c r="I268" t="str">
        <f>IF(ISBLANK(JP!G272),"","x")</f>
        <v/>
      </c>
      <c r="J268" t="str">
        <f>IF(ISBLANK(JP!H272),"","x")</f>
        <v/>
      </c>
      <c r="K268" t="str">
        <f>IF(ISBLANK(JP!I272),"","x")</f>
        <v/>
      </c>
      <c r="L268" t="str">
        <f>IF(ISBLANK(JP!J272),"","x")</f>
        <v/>
      </c>
      <c r="M268" t="str">
        <f>IF(ISBLANK(JP!L272),"","x")</f>
        <v/>
      </c>
      <c r="N268" t="str">
        <f>IF(ISBLANK(JP!M272),"","x")</f>
        <v/>
      </c>
      <c r="O268" t="str">
        <f>IF(ISBLANK(JP!N272),"","x")</f>
        <v/>
      </c>
      <c r="P268" t="str">
        <f>IF(ISBLANK(JP!O272),"","x")</f>
        <v/>
      </c>
      <c r="Q268" t="str">
        <f>IF(ISBLANK(JP!P272),"","x")</f>
        <v/>
      </c>
      <c r="R268" t="str">
        <f>IF(ISBLANK(JP!Q272),"","x")</f>
        <v/>
      </c>
      <c r="S268" t="str">
        <f>IF(ISBLANK(JP!R272),"","x")</f>
        <v/>
      </c>
      <c r="T268" t="str">
        <f>IF(ISBLANK(JP!T272),"","x")</f>
        <v/>
      </c>
      <c r="U268" t="str">
        <f>IF(ISBLANK(JP!U272),"","x")</f>
        <v/>
      </c>
      <c r="V268" t="str">
        <f>IF(ISBLANK(JP!V272),"","x")</f>
        <v/>
      </c>
      <c r="W268" t="str">
        <f>IF(ISBLANK(JP!W272),"","x")</f>
        <v/>
      </c>
      <c r="X268" t="str">
        <f>IF(ISBLANK(JP!X272),"","x")</f>
        <v/>
      </c>
      <c r="Y268" t="str">
        <f>IF(ISBLANK(JP!Y272),"","x")</f>
        <v/>
      </c>
      <c r="Z268" t="str">
        <f>IF(ISBLANK(JP!Z272),"","x")</f>
        <v/>
      </c>
      <c r="AA268" t="str">
        <f>IF(ISBLANK(JP!AB272),"","x")</f>
        <v/>
      </c>
      <c r="AB268" t="str">
        <f>IF(ISBLANK(JP!AC272),"","x")</f>
        <v/>
      </c>
      <c r="AC268" t="str">
        <f>IF(ISBLANK(JP!AD272),"","x")</f>
        <v/>
      </c>
      <c r="AD268" t="str">
        <f>IF(ISBLANK(JP!AE272),"","x")</f>
        <v/>
      </c>
      <c r="AE268" t="str">
        <f>IF(ISBLANK(JP!AF272),"","x")</f>
        <v/>
      </c>
      <c r="AF268" t="str">
        <f>IF(ISBLANK(JP!AG272),"","x")</f>
        <v/>
      </c>
      <c r="AG268" t="str">
        <f>IF(ISBLANK(JP!AH272),"","x")</f>
        <v/>
      </c>
      <c r="AH268" t="str">
        <f>IF(ISBLANK(JP!AJ272),"","x")</f>
        <v/>
      </c>
      <c r="AI268" t="str">
        <f>IF(ISBLANK(JP!AK272),"","x")</f>
        <v/>
      </c>
      <c r="AJ268" t="str">
        <f>IF(ISBLANK(JP!AL272),"","x")</f>
        <v/>
      </c>
      <c r="AK268" t="str">
        <f>IF(ISBLANK(JP!AM272),"","x")</f>
        <v/>
      </c>
      <c r="AL268" t="str">
        <f>IF(ISBLANK(JP!AN272),"","x")</f>
        <v/>
      </c>
      <c r="AM268" t="str">
        <f>IF(ISBLANK(JP!AO272),"","x")</f>
        <v/>
      </c>
      <c r="AN268" t="str">
        <f>IF(ISBLANK(JP!AP272),"","x")</f>
        <v/>
      </c>
      <c r="AO268" t="str">
        <f>IF(ISBLANK(JP!AR272),"","x")</f>
        <v/>
      </c>
      <c r="AP268" t="str">
        <f>IF(ISBLANK(JP!AS272),"","x")</f>
        <v/>
      </c>
      <c r="AQ268" t="str">
        <f>IF(ISBLANK(JP!AT272),"","x")</f>
        <v/>
      </c>
      <c r="AR268" t="str">
        <f>IF(ISBLANK(JP!AU272),"","x")</f>
        <v/>
      </c>
      <c r="AS268" t="str">
        <f>IF(ISBLANK(JP!AV272),"","x")</f>
        <v/>
      </c>
      <c r="AT268" t="str">
        <f>IF(ISBLANK(JP!AW272),"","x")</f>
        <v/>
      </c>
      <c r="AU268" t="str">
        <f>IF(ISBLANK(JP!AX272),"","x")</f>
        <v/>
      </c>
    </row>
    <row r="269" spans="2:47">
      <c r="B269" t="str">
        <f>IF(ISBLANK(JP!AZ273),"",JP!AZ273)</f>
        <v/>
      </c>
      <c r="C269" t="str">
        <f>IF(ISBLANK(JP!BA273),"",JP!BA273)</f>
        <v/>
      </c>
      <c r="D269" t="str">
        <f>IF(ISBLANK(JP!BC273),"",JP!BC273)</f>
        <v/>
      </c>
      <c r="E269" t="str">
        <f>IF(ISBLANK(JP!BB273),"",JP!BB273)</f>
        <v/>
      </c>
      <c r="F269" t="str">
        <f>IF(ISBLANK(JP!D273),"","x")</f>
        <v/>
      </c>
      <c r="G269" t="str">
        <f>IF(ISBLANK(JP!E273),"","x")</f>
        <v/>
      </c>
      <c r="H269" t="str">
        <f>IF(ISBLANK(JP!F273),"","x")</f>
        <v/>
      </c>
      <c r="I269" t="str">
        <f>IF(ISBLANK(JP!G273),"","x")</f>
        <v/>
      </c>
      <c r="J269" t="str">
        <f>IF(ISBLANK(JP!H273),"","x")</f>
        <v/>
      </c>
      <c r="K269" t="str">
        <f>IF(ISBLANK(JP!I273),"","x")</f>
        <v/>
      </c>
      <c r="L269" t="str">
        <f>IF(ISBLANK(JP!J273),"","x")</f>
        <v/>
      </c>
      <c r="M269" t="str">
        <f>IF(ISBLANK(JP!L273),"","x")</f>
        <v/>
      </c>
      <c r="N269" t="str">
        <f>IF(ISBLANK(JP!M273),"","x")</f>
        <v/>
      </c>
      <c r="O269" t="str">
        <f>IF(ISBLANK(JP!N273),"","x")</f>
        <v/>
      </c>
      <c r="P269" t="str">
        <f>IF(ISBLANK(JP!O273),"","x")</f>
        <v/>
      </c>
      <c r="Q269" t="str">
        <f>IF(ISBLANK(JP!P273),"","x")</f>
        <v/>
      </c>
      <c r="R269" t="str">
        <f>IF(ISBLANK(JP!Q273),"","x")</f>
        <v/>
      </c>
      <c r="S269" t="str">
        <f>IF(ISBLANK(JP!R273),"","x")</f>
        <v/>
      </c>
      <c r="T269" t="str">
        <f>IF(ISBLANK(JP!T273),"","x")</f>
        <v/>
      </c>
      <c r="U269" t="str">
        <f>IF(ISBLANK(JP!U273),"","x")</f>
        <v/>
      </c>
      <c r="V269" t="str">
        <f>IF(ISBLANK(JP!V273),"","x")</f>
        <v/>
      </c>
      <c r="W269" t="str">
        <f>IF(ISBLANK(JP!W273),"","x")</f>
        <v/>
      </c>
      <c r="X269" t="str">
        <f>IF(ISBLANK(JP!X273),"","x")</f>
        <v/>
      </c>
      <c r="Y269" t="str">
        <f>IF(ISBLANK(JP!Y273),"","x")</f>
        <v/>
      </c>
      <c r="Z269" t="str">
        <f>IF(ISBLANK(JP!Z273),"","x")</f>
        <v/>
      </c>
      <c r="AA269" t="str">
        <f>IF(ISBLANK(JP!AB273),"","x")</f>
        <v/>
      </c>
      <c r="AB269" t="str">
        <f>IF(ISBLANK(JP!AC273),"","x")</f>
        <v/>
      </c>
      <c r="AC269" t="str">
        <f>IF(ISBLANK(JP!AD273),"","x")</f>
        <v/>
      </c>
      <c r="AD269" t="str">
        <f>IF(ISBLANK(JP!AE273),"","x")</f>
        <v/>
      </c>
      <c r="AE269" t="str">
        <f>IF(ISBLANK(JP!AF273),"","x")</f>
        <v/>
      </c>
      <c r="AF269" t="str">
        <f>IF(ISBLANK(JP!AG273),"","x")</f>
        <v/>
      </c>
      <c r="AG269" t="str">
        <f>IF(ISBLANK(JP!AH273),"","x")</f>
        <v/>
      </c>
      <c r="AH269" t="str">
        <f>IF(ISBLANK(JP!AJ273),"","x")</f>
        <v/>
      </c>
      <c r="AI269" t="str">
        <f>IF(ISBLANK(JP!AK273),"","x")</f>
        <v/>
      </c>
      <c r="AJ269" t="str">
        <f>IF(ISBLANK(JP!AL273),"","x")</f>
        <v/>
      </c>
      <c r="AK269" t="str">
        <f>IF(ISBLANK(JP!AM273),"","x")</f>
        <v/>
      </c>
      <c r="AL269" t="str">
        <f>IF(ISBLANK(JP!AN273),"","x")</f>
        <v/>
      </c>
      <c r="AM269" t="str">
        <f>IF(ISBLANK(JP!AO273),"","x")</f>
        <v/>
      </c>
      <c r="AN269" t="str">
        <f>IF(ISBLANK(JP!AP273),"","x")</f>
        <v/>
      </c>
      <c r="AO269" t="str">
        <f>IF(ISBLANK(JP!AR273),"","x")</f>
        <v/>
      </c>
      <c r="AP269" t="str">
        <f>IF(ISBLANK(JP!AS273),"","x")</f>
        <v/>
      </c>
      <c r="AQ269" t="str">
        <f>IF(ISBLANK(JP!AT273),"","x")</f>
        <v/>
      </c>
      <c r="AR269" t="str">
        <f>IF(ISBLANK(JP!AU273),"","x")</f>
        <v/>
      </c>
      <c r="AS269" t="str">
        <f>IF(ISBLANK(JP!AV273),"","x")</f>
        <v/>
      </c>
      <c r="AT269" t="str">
        <f>IF(ISBLANK(JP!AW273),"","x")</f>
        <v/>
      </c>
      <c r="AU269" t="str">
        <f>IF(ISBLANK(JP!AX273),"","x")</f>
        <v/>
      </c>
    </row>
    <row r="270" spans="2:47">
      <c r="B270" t="str">
        <f>IF(ISBLANK(JP!AZ274),"",JP!AZ274)</f>
        <v/>
      </c>
      <c r="C270" t="str">
        <f>IF(ISBLANK(JP!BA274),"",JP!BA274)</f>
        <v/>
      </c>
      <c r="D270" t="str">
        <f>IF(ISBLANK(JP!BC274),"",JP!BC274)</f>
        <v/>
      </c>
      <c r="E270" t="str">
        <f>IF(ISBLANK(JP!BB274),"",JP!BB274)</f>
        <v/>
      </c>
      <c r="F270" t="str">
        <f>IF(ISBLANK(JP!D274),"","x")</f>
        <v/>
      </c>
      <c r="G270" t="str">
        <f>IF(ISBLANK(JP!E274),"","x")</f>
        <v/>
      </c>
      <c r="H270" t="str">
        <f>IF(ISBLANK(JP!F274),"","x")</f>
        <v/>
      </c>
      <c r="I270" t="str">
        <f>IF(ISBLANK(JP!G274),"","x")</f>
        <v/>
      </c>
      <c r="J270" t="str">
        <f>IF(ISBLANK(JP!H274),"","x")</f>
        <v/>
      </c>
      <c r="K270" t="str">
        <f>IF(ISBLANK(JP!I274),"","x")</f>
        <v/>
      </c>
      <c r="L270" t="str">
        <f>IF(ISBLANK(JP!J274),"","x")</f>
        <v/>
      </c>
      <c r="M270" t="str">
        <f>IF(ISBLANK(JP!L274),"","x")</f>
        <v/>
      </c>
      <c r="N270" t="str">
        <f>IF(ISBLANK(JP!M274),"","x")</f>
        <v/>
      </c>
      <c r="O270" t="str">
        <f>IF(ISBLANK(JP!N274),"","x")</f>
        <v/>
      </c>
      <c r="P270" t="str">
        <f>IF(ISBLANK(JP!O274),"","x")</f>
        <v/>
      </c>
      <c r="Q270" t="str">
        <f>IF(ISBLANK(JP!P274),"","x")</f>
        <v/>
      </c>
      <c r="R270" t="str">
        <f>IF(ISBLANK(JP!Q274),"","x")</f>
        <v/>
      </c>
      <c r="S270" t="str">
        <f>IF(ISBLANK(JP!R274),"","x")</f>
        <v/>
      </c>
      <c r="T270" t="str">
        <f>IF(ISBLANK(JP!T274),"","x")</f>
        <v/>
      </c>
      <c r="U270" t="str">
        <f>IF(ISBLANK(JP!U274),"","x")</f>
        <v/>
      </c>
      <c r="V270" t="str">
        <f>IF(ISBLANK(JP!V274),"","x")</f>
        <v/>
      </c>
      <c r="W270" t="str">
        <f>IF(ISBLANK(JP!W274),"","x")</f>
        <v/>
      </c>
      <c r="X270" t="str">
        <f>IF(ISBLANK(JP!X274),"","x")</f>
        <v/>
      </c>
      <c r="Y270" t="str">
        <f>IF(ISBLANK(JP!Y274),"","x")</f>
        <v/>
      </c>
      <c r="Z270" t="str">
        <f>IF(ISBLANK(JP!Z274),"","x")</f>
        <v/>
      </c>
      <c r="AA270" t="str">
        <f>IF(ISBLANK(JP!AB274),"","x")</f>
        <v/>
      </c>
      <c r="AB270" t="str">
        <f>IF(ISBLANK(JP!AC274),"","x")</f>
        <v/>
      </c>
      <c r="AC270" t="str">
        <f>IF(ISBLANK(JP!AD274),"","x")</f>
        <v/>
      </c>
      <c r="AD270" t="str">
        <f>IF(ISBLANK(JP!AE274),"","x")</f>
        <v/>
      </c>
      <c r="AE270" t="str">
        <f>IF(ISBLANK(JP!AF274),"","x")</f>
        <v/>
      </c>
      <c r="AF270" t="str">
        <f>IF(ISBLANK(JP!AG274),"","x")</f>
        <v/>
      </c>
      <c r="AG270" t="str">
        <f>IF(ISBLANK(JP!AH274),"","x")</f>
        <v/>
      </c>
      <c r="AH270" t="str">
        <f>IF(ISBLANK(JP!AJ274),"","x")</f>
        <v/>
      </c>
      <c r="AI270" t="str">
        <f>IF(ISBLANK(JP!AK274),"","x")</f>
        <v/>
      </c>
      <c r="AJ270" t="str">
        <f>IF(ISBLANK(JP!AL274),"","x")</f>
        <v/>
      </c>
      <c r="AK270" t="str">
        <f>IF(ISBLANK(JP!AM274),"","x")</f>
        <v/>
      </c>
      <c r="AL270" t="str">
        <f>IF(ISBLANK(JP!AN274),"","x")</f>
        <v/>
      </c>
      <c r="AM270" t="str">
        <f>IF(ISBLANK(JP!AO274),"","x")</f>
        <v/>
      </c>
      <c r="AN270" t="str">
        <f>IF(ISBLANK(JP!AP274),"","x")</f>
        <v/>
      </c>
      <c r="AO270" t="str">
        <f>IF(ISBLANK(JP!AR274),"","x")</f>
        <v/>
      </c>
      <c r="AP270" t="str">
        <f>IF(ISBLANK(JP!AS274),"","x")</f>
        <v/>
      </c>
      <c r="AQ270" t="str">
        <f>IF(ISBLANK(JP!AT274),"","x")</f>
        <v/>
      </c>
      <c r="AR270" t="str">
        <f>IF(ISBLANK(JP!AU274),"","x")</f>
        <v/>
      </c>
      <c r="AS270" t="str">
        <f>IF(ISBLANK(JP!AV274),"","x")</f>
        <v/>
      </c>
      <c r="AT270" t="str">
        <f>IF(ISBLANK(JP!AW274),"","x")</f>
        <v/>
      </c>
      <c r="AU270" t="str">
        <f>IF(ISBLANK(JP!AX274),"","x")</f>
        <v/>
      </c>
    </row>
    <row r="271" spans="2:47">
      <c r="B271" t="str">
        <f>IF(ISBLANK(JP!AZ275),"",JP!AZ275)</f>
        <v/>
      </c>
      <c r="C271" t="str">
        <f>IF(ISBLANK(JP!BA275),"",JP!BA275)</f>
        <v/>
      </c>
      <c r="D271" t="str">
        <f>IF(ISBLANK(JP!BC275),"",JP!BC275)</f>
        <v/>
      </c>
      <c r="E271" t="str">
        <f>IF(ISBLANK(JP!BB275),"",JP!BB275)</f>
        <v/>
      </c>
      <c r="F271" t="str">
        <f>IF(ISBLANK(JP!D275),"","x")</f>
        <v/>
      </c>
      <c r="G271" t="str">
        <f>IF(ISBLANK(JP!E275),"","x")</f>
        <v/>
      </c>
      <c r="H271" t="str">
        <f>IF(ISBLANK(JP!F275),"","x")</f>
        <v/>
      </c>
      <c r="I271" t="str">
        <f>IF(ISBLANK(JP!G275),"","x")</f>
        <v/>
      </c>
      <c r="J271" t="str">
        <f>IF(ISBLANK(JP!H275),"","x")</f>
        <v/>
      </c>
      <c r="K271" t="str">
        <f>IF(ISBLANK(JP!I275),"","x")</f>
        <v/>
      </c>
      <c r="L271" t="str">
        <f>IF(ISBLANK(JP!J275),"","x")</f>
        <v/>
      </c>
      <c r="M271" t="str">
        <f>IF(ISBLANK(JP!L275),"","x")</f>
        <v/>
      </c>
      <c r="N271" t="str">
        <f>IF(ISBLANK(JP!M275),"","x")</f>
        <v/>
      </c>
      <c r="O271" t="str">
        <f>IF(ISBLANK(JP!N275),"","x")</f>
        <v/>
      </c>
      <c r="P271" t="str">
        <f>IF(ISBLANK(JP!O275),"","x")</f>
        <v/>
      </c>
      <c r="Q271" t="str">
        <f>IF(ISBLANK(JP!P275),"","x")</f>
        <v/>
      </c>
      <c r="R271" t="str">
        <f>IF(ISBLANK(JP!Q275),"","x")</f>
        <v/>
      </c>
      <c r="S271" t="str">
        <f>IF(ISBLANK(JP!R275),"","x")</f>
        <v/>
      </c>
      <c r="T271" t="str">
        <f>IF(ISBLANK(JP!T275),"","x")</f>
        <v/>
      </c>
      <c r="U271" t="str">
        <f>IF(ISBLANK(JP!U275),"","x")</f>
        <v/>
      </c>
      <c r="V271" t="str">
        <f>IF(ISBLANK(JP!V275),"","x")</f>
        <v/>
      </c>
      <c r="W271" t="str">
        <f>IF(ISBLANK(JP!W275),"","x")</f>
        <v/>
      </c>
      <c r="X271" t="str">
        <f>IF(ISBLANK(JP!X275),"","x")</f>
        <v/>
      </c>
      <c r="Y271" t="str">
        <f>IF(ISBLANK(JP!Y275),"","x")</f>
        <v/>
      </c>
      <c r="Z271" t="str">
        <f>IF(ISBLANK(JP!Z275),"","x")</f>
        <v/>
      </c>
      <c r="AA271" t="str">
        <f>IF(ISBLANK(JP!AB275),"","x")</f>
        <v/>
      </c>
      <c r="AB271" t="str">
        <f>IF(ISBLANK(JP!AC275),"","x")</f>
        <v/>
      </c>
      <c r="AC271" t="str">
        <f>IF(ISBLANK(JP!AD275),"","x")</f>
        <v/>
      </c>
      <c r="AD271" t="str">
        <f>IF(ISBLANK(JP!AE275),"","x")</f>
        <v/>
      </c>
      <c r="AE271" t="str">
        <f>IF(ISBLANK(JP!AF275),"","x")</f>
        <v/>
      </c>
      <c r="AF271" t="str">
        <f>IF(ISBLANK(JP!AG275),"","x")</f>
        <v/>
      </c>
      <c r="AG271" t="str">
        <f>IF(ISBLANK(JP!AH275),"","x")</f>
        <v/>
      </c>
      <c r="AH271" t="str">
        <f>IF(ISBLANK(JP!AJ275),"","x")</f>
        <v/>
      </c>
      <c r="AI271" t="str">
        <f>IF(ISBLANK(JP!AK275),"","x")</f>
        <v/>
      </c>
      <c r="AJ271" t="str">
        <f>IF(ISBLANK(JP!AL275),"","x")</f>
        <v/>
      </c>
      <c r="AK271" t="str">
        <f>IF(ISBLANK(JP!AM275),"","x")</f>
        <v/>
      </c>
      <c r="AL271" t="str">
        <f>IF(ISBLANK(JP!AN275),"","x")</f>
        <v/>
      </c>
      <c r="AM271" t="str">
        <f>IF(ISBLANK(JP!AO275),"","x")</f>
        <v/>
      </c>
      <c r="AN271" t="str">
        <f>IF(ISBLANK(JP!AP275),"","x")</f>
        <v/>
      </c>
      <c r="AO271" t="str">
        <f>IF(ISBLANK(JP!AR275),"","x")</f>
        <v/>
      </c>
      <c r="AP271" t="str">
        <f>IF(ISBLANK(JP!AS275),"","x")</f>
        <v/>
      </c>
      <c r="AQ271" t="str">
        <f>IF(ISBLANK(JP!AT275),"","x")</f>
        <v/>
      </c>
      <c r="AR271" t="str">
        <f>IF(ISBLANK(JP!AU275),"","x")</f>
        <v/>
      </c>
      <c r="AS271" t="str">
        <f>IF(ISBLANK(JP!AV275),"","x")</f>
        <v/>
      </c>
      <c r="AT271" t="str">
        <f>IF(ISBLANK(JP!AW275),"","x")</f>
        <v/>
      </c>
      <c r="AU271" t="str">
        <f>IF(ISBLANK(JP!AX275),"","x")</f>
        <v/>
      </c>
    </row>
    <row r="272" spans="2:47">
      <c r="B272" t="str">
        <f>IF(ISBLANK(JP!AZ276),"",JP!AZ276)</f>
        <v/>
      </c>
      <c r="C272" t="str">
        <f>IF(ISBLANK(JP!BA276),"",JP!BA276)</f>
        <v/>
      </c>
      <c r="D272" t="str">
        <f>IF(ISBLANK(JP!BC276),"",JP!BC276)</f>
        <v/>
      </c>
      <c r="E272" t="str">
        <f>IF(ISBLANK(JP!BB276),"",JP!BB276)</f>
        <v/>
      </c>
      <c r="F272" t="str">
        <f>IF(ISBLANK(JP!D276),"","x")</f>
        <v/>
      </c>
      <c r="G272" t="str">
        <f>IF(ISBLANK(JP!E276),"","x")</f>
        <v/>
      </c>
      <c r="H272" t="str">
        <f>IF(ISBLANK(JP!F276),"","x")</f>
        <v/>
      </c>
      <c r="I272" t="str">
        <f>IF(ISBLANK(JP!G276),"","x")</f>
        <v/>
      </c>
      <c r="J272" t="str">
        <f>IF(ISBLANK(JP!H276),"","x")</f>
        <v/>
      </c>
      <c r="K272" t="str">
        <f>IF(ISBLANK(JP!I276),"","x")</f>
        <v/>
      </c>
      <c r="L272" t="str">
        <f>IF(ISBLANK(JP!J276),"","x")</f>
        <v/>
      </c>
      <c r="M272" t="str">
        <f>IF(ISBLANK(JP!L276),"","x")</f>
        <v/>
      </c>
      <c r="N272" t="str">
        <f>IF(ISBLANK(JP!M276),"","x")</f>
        <v/>
      </c>
      <c r="O272" t="str">
        <f>IF(ISBLANK(JP!N276),"","x")</f>
        <v/>
      </c>
      <c r="P272" t="str">
        <f>IF(ISBLANK(JP!O276),"","x")</f>
        <v/>
      </c>
      <c r="Q272" t="str">
        <f>IF(ISBLANK(JP!P276),"","x")</f>
        <v/>
      </c>
      <c r="R272" t="str">
        <f>IF(ISBLANK(JP!Q276),"","x")</f>
        <v/>
      </c>
      <c r="S272" t="str">
        <f>IF(ISBLANK(JP!R276),"","x")</f>
        <v/>
      </c>
      <c r="T272" t="str">
        <f>IF(ISBLANK(JP!T276),"","x")</f>
        <v/>
      </c>
      <c r="U272" t="str">
        <f>IF(ISBLANK(JP!U276),"","x")</f>
        <v/>
      </c>
      <c r="V272" t="str">
        <f>IF(ISBLANK(JP!V276),"","x")</f>
        <v/>
      </c>
      <c r="W272" t="str">
        <f>IF(ISBLANK(JP!W276),"","x")</f>
        <v/>
      </c>
      <c r="X272" t="str">
        <f>IF(ISBLANK(JP!X276),"","x")</f>
        <v/>
      </c>
      <c r="Y272" t="str">
        <f>IF(ISBLANK(JP!Y276),"","x")</f>
        <v/>
      </c>
      <c r="Z272" t="str">
        <f>IF(ISBLANK(JP!Z276),"","x")</f>
        <v/>
      </c>
      <c r="AA272" t="str">
        <f>IF(ISBLANK(JP!AB276),"","x")</f>
        <v/>
      </c>
      <c r="AB272" t="str">
        <f>IF(ISBLANK(JP!AC276),"","x")</f>
        <v/>
      </c>
      <c r="AC272" t="str">
        <f>IF(ISBLANK(JP!AD276),"","x")</f>
        <v/>
      </c>
      <c r="AD272" t="str">
        <f>IF(ISBLANK(JP!AE276),"","x")</f>
        <v/>
      </c>
      <c r="AE272" t="str">
        <f>IF(ISBLANK(JP!AF276),"","x")</f>
        <v/>
      </c>
      <c r="AF272" t="str">
        <f>IF(ISBLANK(JP!AG276),"","x")</f>
        <v/>
      </c>
      <c r="AG272" t="str">
        <f>IF(ISBLANK(JP!AH276),"","x")</f>
        <v/>
      </c>
      <c r="AH272" t="str">
        <f>IF(ISBLANK(JP!AJ276),"","x")</f>
        <v/>
      </c>
      <c r="AI272" t="str">
        <f>IF(ISBLANK(JP!AK276),"","x")</f>
        <v/>
      </c>
      <c r="AJ272" t="str">
        <f>IF(ISBLANK(JP!AL276),"","x")</f>
        <v/>
      </c>
      <c r="AK272" t="str">
        <f>IF(ISBLANK(JP!AM276),"","x")</f>
        <v/>
      </c>
      <c r="AL272" t="str">
        <f>IF(ISBLANK(JP!AN276),"","x")</f>
        <v/>
      </c>
      <c r="AM272" t="str">
        <f>IF(ISBLANK(JP!AO276),"","x")</f>
        <v/>
      </c>
      <c r="AN272" t="str">
        <f>IF(ISBLANK(JP!AP276),"","x")</f>
        <v/>
      </c>
      <c r="AO272" t="str">
        <f>IF(ISBLANK(JP!AR276),"","x")</f>
        <v/>
      </c>
      <c r="AP272" t="str">
        <f>IF(ISBLANK(JP!AS276),"","x")</f>
        <v/>
      </c>
      <c r="AQ272" t="str">
        <f>IF(ISBLANK(JP!AT276),"","x")</f>
        <v/>
      </c>
      <c r="AR272" t="str">
        <f>IF(ISBLANK(JP!AU276),"","x")</f>
        <v/>
      </c>
      <c r="AS272" t="str">
        <f>IF(ISBLANK(JP!AV276),"","x")</f>
        <v/>
      </c>
      <c r="AT272" t="str">
        <f>IF(ISBLANK(JP!AW276),"","x")</f>
        <v/>
      </c>
      <c r="AU272" t="str">
        <f>IF(ISBLANK(JP!AX276),"","x")</f>
        <v/>
      </c>
    </row>
    <row r="273" spans="2:47">
      <c r="B273" t="str">
        <f>IF(ISBLANK(JP!AZ277),"",JP!AZ277)</f>
        <v/>
      </c>
      <c r="C273" t="str">
        <f>IF(ISBLANK(JP!BA277),"",JP!BA277)</f>
        <v/>
      </c>
      <c r="D273" t="str">
        <f>IF(ISBLANK(JP!BC277),"",JP!BC277)</f>
        <v/>
      </c>
      <c r="E273" t="str">
        <f>IF(ISBLANK(JP!BB277),"",JP!BB277)</f>
        <v/>
      </c>
      <c r="F273" t="str">
        <f>IF(ISBLANK(JP!D277),"","x")</f>
        <v/>
      </c>
      <c r="G273" t="str">
        <f>IF(ISBLANK(JP!E277),"","x")</f>
        <v/>
      </c>
      <c r="H273" t="str">
        <f>IF(ISBLANK(JP!F277),"","x")</f>
        <v/>
      </c>
      <c r="I273" t="str">
        <f>IF(ISBLANK(JP!G277),"","x")</f>
        <v/>
      </c>
      <c r="J273" t="str">
        <f>IF(ISBLANK(JP!H277),"","x")</f>
        <v/>
      </c>
      <c r="K273" t="str">
        <f>IF(ISBLANK(JP!I277),"","x")</f>
        <v/>
      </c>
      <c r="L273" t="str">
        <f>IF(ISBLANK(JP!J277),"","x")</f>
        <v/>
      </c>
      <c r="M273" t="str">
        <f>IF(ISBLANK(JP!L277),"","x")</f>
        <v/>
      </c>
      <c r="N273" t="str">
        <f>IF(ISBLANK(JP!M277),"","x")</f>
        <v/>
      </c>
      <c r="O273" t="str">
        <f>IF(ISBLANK(JP!N277),"","x")</f>
        <v/>
      </c>
      <c r="P273" t="str">
        <f>IF(ISBLANK(JP!O277),"","x")</f>
        <v/>
      </c>
      <c r="Q273" t="str">
        <f>IF(ISBLANK(JP!P277),"","x")</f>
        <v/>
      </c>
      <c r="R273" t="str">
        <f>IF(ISBLANK(JP!Q277),"","x")</f>
        <v/>
      </c>
      <c r="S273" t="str">
        <f>IF(ISBLANK(JP!R277),"","x")</f>
        <v/>
      </c>
      <c r="T273" t="str">
        <f>IF(ISBLANK(JP!T277),"","x")</f>
        <v/>
      </c>
      <c r="U273" t="str">
        <f>IF(ISBLANK(JP!U277),"","x")</f>
        <v/>
      </c>
      <c r="V273" t="str">
        <f>IF(ISBLANK(JP!V277),"","x")</f>
        <v/>
      </c>
      <c r="W273" t="str">
        <f>IF(ISBLANK(JP!W277),"","x")</f>
        <v/>
      </c>
      <c r="X273" t="str">
        <f>IF(ISBLANK(JP!X277),"","x")</f>
        <v/>
      </c>
      <c r="Y273" t="str">
        <f>IF(ISBLANK(JP!Y277),"","x")</f>
        <v/>
      </c>
      <c r="Z273" t="str">
        <f>IF(ISBLANK(JP!Z277),"","x")</f>
        <v/>
      </c>
      <c r="AA273" t="str">
        <f>IF(ISBLANK(JP!AB277),"","x")</f>
        <v/>
      </c>
      <c r="AB273" t="str">
        <f>IF(ISBLANK(JP!AC277),"","x")</f>
        <v/>
      </c>
      <c r="AC273" t="str">
        <f>IF(ISBLANK(JP!AD277),"","x")</f>
        <v/>
      </c>
      <c r="AD273" t="str">
        <f>IF(ISBLANK(JP!AE277),"","x")</f>
        <v/>
      </c>
      <c r="AE273" t="str">
        <f>IF(ISBLANK(JP!AF277),"","x")</f>
        <v/>
      </c>
      <c r="AF273" t="str">
        <f>IF(ISBLANK(JP!AG277),"","x")</f>
        <v/>
      </c>
      <c r="AG273" t="str">
        <f>IF(ISBLANK(JP!AH277),"","x")</f>
        <v/>
      </c>
      <c r="AH273" t="str">
        <f>IF(ISBLANK(JP!AJ277),"","x")</f>
        <v/>
      </c>
      <c r="AI273" t="str">
        <f>IF(ISBLANK(JP!AK277),"","x")</f>
        <v/>
      </c>
      <c r="AJ273" t="str">
        <f>IF(ISBLANK(JP!AL277),"","x")</f>
        <v/>
      </c>
      <c r="AK273" t="str">
        <f>IF(ISBLANK(JP!AM277),"","x")</f>
        <v/>
      </c>
      <c r="AL273" t="str">
        <f>IF(ISBLANK(JP!AN277),"","x")</f>
        <v/>
      </c>
      <c r="AM273" t="str">
        <f>IF(ISBLANK(JP!AO277),"","x")</f>
        <v/>
      </c>
      <c r="AN273" t="str">
        <f>IF(ISBLANK(JP!AP277),"","x")</f>
        <v/>
      </c>
      <c r="AO273" t="str">
        <f>IF(ISBLANK(JP!AR277),"","x")</f>
        <v/>
      </c>
      <c r="AP273" t="str">
        <f>IF(ISBLANK(JP!AS277),"","x")</f>
        <v/>
      </c>
      <c r="AQ273" t="str">
        <f>IF(ISBLANK(JP!AT277),"","x")</f>
        <v/>
      </c>
      <c r="AR273" t="str">
        <f>IF(ISBLANK(JP!AU277),"","x")</f>
        <v/>
      </c>
      <c r="AS273" t="str">
        <f>IF(ISBLANK(JP!AV277),"","x")</f>
        <v/>
      </c>
      <c r="AT273" t="str">
        <f>IF(ISBLANK(JP!AW277),"","x")</f>
        <v/>
      </c>
      <c r="AU273" t="str">
        <f>IF(ISBLANK(JP!AX277),"","x")</f>
        <v/>
      </c>
    </row>
    <row r="274" spans="2:47">
      <c r="B274" t="str">
        <f>IF(ISBLANK(JP!AZ278),"",JP!AZ278)</f>
        <v/>
      </c>
      <c r="C274" t="str">
        <f>IF(ISBLANK(JP!BA278),"",JP!BA278)</f>
        <v/>
      </c>
      <c r="D274" t="str">
        <f>IF(ISBLANK(JP!BC278),"",JP!BC278)</f>
        <v/>
      </c>
      <c r="E274" t="str">
        <f>IF(ISBLANK(JP!BB278),"",JP!BB278)</f>
        <v/>
      </c>
      <c r="F274" t="str">
        <f>IF(ISBLANK(JP!D278),"","x")</f>
        <v/>
      </c>
      <c r="G274" t="str">
        <f>IF(ISBLANK(JP!E278),"","x")</f>
        <v/>
      </c>
      <c r="H274" t="str">
        <f>IF(ISBLANK(JP!F278),"","x")</f>
        <v/>
      </c>
      <c r="I274" t="str">
        <f>IF(ISBLANK(JP!G278),"","x")</f>
        <v/>
      </c>
      <c r="J274" t="str">
        <f>IF(ISBLANK(JP!H278),"","x")</f>
        <v/>
      </c>
      <c r="K274" t="str">
        <f>IF(ISBLANK(JP!I278),"","x")</f>
        <v/>
      </c>
      <c r="L274" t="str">
        <f>IF(ISBLANK(JP!J278),"","x")</f>
        <v/>
      </c>
      <c r="M274" t="str">
        <f>IF(ISBLANK(JP!L278),"","x")</f>
        <v/>
      </c>
      <c r="N274" t="str">
        <f>IF(ISBLANK(JP!M278),"","x")</f>
        <v/>
      </c>
      <c r="O274" t="str">
        <f>IF(ISBLANK(JP!N278),"","x")</f>
        <v/>
      </c>
      <c r="P274" t="str">
        <f>IF(ISBLANK(JP!O278),"","x")</f>
        <v/>
      </c>
      <c r="Q274" t="str">
        <f>IF(ISBLANK(JP!P278),"","x")</f>
        <v/>
      </c>
      <c r="R274" t="str">
        <f>IF(ISBLANK(JP!Q278),"","x")</f>
        <v/>
      </c>
      <c r="S274" t="str">
        <f>IF(ISBLANK(JP!R278),"","x")</f>
        <v/>
      </c>
      <c r="T274" t="str">
        <f>IF(ISBLANK(JP!T278),"","x")</f>
        <v/>
      </c>
      <c r="U274" t="str">
        <f>IF(ISBLANK(JP!U278),"","x")</f>
        <v/>
      </c>
      <c r="V274" t="str">
        <f>IF(ISBLANK(JP!V278),"","x")</f>
        <v/>
      </c>
      <c r="W274" t="str">
        <f>IF(ISBLANK(JP!W278),"","x")</f>
        <v/>
      </c>
      <c r="X274" t="str">
        <f>IF(ISBLANK(JP!X278),"","x")</f>
        <v/>
      </c>
      <c r="Y274" t="str">
        <f>IF(ISBLANK(JP!Y278),"","x")</f>
        <v/>
      </c>
      <c r="Z274" t="str">
        <f>IF(ISBLANK(JP!Z278),"","x")</f>
        <v/>
      </c>
      <c r="AA274" t="str">
        <f>IF(ISBLANK(JP!AB278),"","x")</f>
        <v/>
      </c>
      <c r="AB274" t="str">
        <f>IF(ISBLANK(JP!AC278),"","x")</f>
        <v/>
      </c>
      <c r="AC274" t="str">
        <f>IF(ISBLANK(JP!AD278),"","x")</f>
        <v/>
      </c>
      <c r="AD274" t="str">
        <f>IF(ISBLANK(JP!AE278),"","x")</f>
        <v/>
      </c>
      <c r="AE274" t="str">
        <f>IF(ISBLANK(JP!AF278),"","x")</f>
        <v/>
      </c>
      <c r="AF274" t="str">
        <f>IF(ISBLANK(JP!AG278),"","x")</f>
        <v/>
      </c>
      <c r="AG274" t="str">
        <f>IF(ISBLANK(JP!AH278),"","x")</f>
        <v/>
      </c>
      <c r="AH274" t="str">
        <f>IF(ISBLANK(JP!AJ278),"","x")</f>
        <v/>
      </c>
      <c r="AI274" t="str">
        <f>IF(ISBLANK(JP!AK278),"","x")</f>
        <v/>
      </c>
      <c r="AJ274" t="str">
        <f>IF(ISBLANK(JP!AL278),"","x")</f>
        <v/>
      </c>
      <c r="AK274" t="str">
        <f>IF(ISBLANK(JP!AM278),"","x")</f>
        <v/>
      </c>
      <c r="AL274" t="str">
        <f>IF(ISBLANK(JP!AN278),"","x")</f>
        <v/>
      </c>
      <c r="AM274" t="str">
        <f>IF(ISBLANK(JP!AO278),"","x")</f>
        <v/>
      </c>
      <c r="AN274" t="str">
        <f>IF(ISBLANK(JP!AP278),"","x")</f>
        <v/>
      </c>
      <c r="AO274" t="str">
        <f>IF(ISBLANK(JP!AR278),"","x")</f>
        <v/>
      </c>
      <c r="AP274" t="str">
        <f>IF(ISBLANK(JP!AS278),"","x")</f>
        <v/>
      </c>
      <c r="AQ274" t="str">
        <f>IF(ISBLANK(JP!AT278),"","x")</f>
        <v/>
      </c>
      <c r="AR274" t="str">
        <f>IF(ISBLANK(JP!AU278),"","x")</f>
        <v/>
      </c>
      <c r="AS274" t="str">
        <f>IF(ISBLANK(JP!AV278),"","x")</f>
        <v/>
      </c>
      <c r="AT274" t="str">
        <f>IF(ISBLANK(JP!AW278),"","x")</f>
        <v/>
      </c>
      <c r="AU274" t="str">
        <f>IF(ISBLANK(JP!AX278),"","x")</f>
        <v/>
      </c>
    </row>
    <row r="275" spans="2:47">
      <c r="B275" t="str">
        <f>IF(ISBLANK(JP!AZ279),"",JP!AZ279)</f>
        <v/>
      </c>
      <c r="C275" t="str">
        <f>IF(ISBLANK(JP!BA279),"",JP!BA279)</f>
        <v/>
      </c>
      <c r="D275" t="str">
        <f>IF(ISBLANK(JP!BC279),"",JP!BC279)</f>
        <v/>
      </c>
      <c r="E275" t="str">
        <f>IF(ISBLANK(JP!BB279),"",JP!BB279)</f>
        <v/>
      </c>
      <c r="F275" t="str">
        <f>IF(ISBLANK(JP!D279),"","x")</f>
        <v/>
      </c>
      <c r="G275" t="str">
        <f>IF(ISBLANK(JP!E279),"","x")</f>
        <v/>
      </c>
      <c r="H275" t="str">
        <f>IF(ISBLANK(JP!F279),"","x")</f>
        <v/>
      </c>
      <c r="I275" t="str">
        <f>IF(ISBLANK(JP!G279),"","x")</f>
        <v/>
      </c>
      <c r="J275" t="str">
        <f>IF(ISBLANK(JP!H279),"","x")</f>
        <v/>
      </c>
      <c r="K275" t="str">
        <f>IF(ISBLANK(JP!I279),"","x")</f>
        <v/>
      </c>
      <c r="L275" t="str">
        <f>IF(ISBLANK(JP!J279),"","x")</f>
        <v/>
      </c>
      <c r="M275" t="str">
        <f>IF(ISBLANK(JP!L279),"","x")</f>
        <v/>
      </c>
      <c r="N275" t="str">
        <f>IF(ISBLANK(JP!M279),"","x")</f>
        <v/>
      </c>
      <c r="O275" t="str">
        <f>IF(ISBLANK(JP!N279),"","x")</f>
        <v/>
      </c>
      <c r="P275" t="str">
        <f>IF(ISBLANK(JP!O279),"","x")</f>
        <v/>
      </c>
      <c r="Q275" t="str">
        <f>IF(ISBLANK(JP!P279),"","x")</f>
        <v/>
      </c>
      <c r="R275" t="str">
        <f>IF(ISBLANK(JP!Q279),"","x")</f>
        <v/>
      </c>
      <c r="S275" t="str">
        <f>IF(ISBLANK(JP!R279),"","x")</f>
        <v/>
      </c>
      <c r="T275" t="str">
        <f>IF(ISBLANK(JP!T279),"","x")</f>
        <v/>
      </c>
      <c r="U275" t="str">
        <f>IF(ISBLANK(JP!U279),"","x")</f>
        <v/>
      </c>
      <c r="V275" t="str">
        <f>IF(ISBLANK(JP!V279),"","x")</f>
        <v/>
      </c>
      <c r="W275" t="str">
        <f>IF(ISBLANK(JP!W279),"","x")</f>
        <v/>
      </c>
      <c r="X275" t="str">
        <f>IF(ISBLANK(JP!X279),"","x")</f>
        <v/>
      </c>
      <c r="Y275" t="str">
        <f>IF(ISBLANK(JP!Y279),"","x")</f>
        <v/>
      </c>
      <c r="Z275" t="str">
        <f>IF(ISBLANK(JP!Z279),"","x")</f>
        <v/>
      </c>
      <c r="AA275" t="str">
        <f>IF(ISBLANK(JP!AB279),"","x")</f>
        <v/>
      </c>
      <c r="AB275" t="str">
        <f>IF(ISBLANK(JP!AC279),"","x")</f>
        <v/>
      </c>
      <c r="AC275" t="str">
        <f>IF(ISBLANK(JP!AD279),"","x")</f>
        <v/>
      </c>
      <c r="AD275" t="str">
        <f>IF(ISBLANK(JP!AE279),"","x")</f>
        <v/>
      </c>
      <c r="AE275" t="str">
        <f>IF(ISBLANK(JP!AF279),"","x")</f>
        <v/>
      </c>
      <c r="AF275" t="str">
        <f>IF(ISBLANK(JP!AG279),"","x")</f>
        <v/>
      </c>
      <c r="AG275" t="str">
        <f>IF(ISBLANK(JP!AH279),"","x")</f>
        <v/>
      </c>
      <c r="AH275" t="str">
        <f>IF(ISBLANK(JP!AJ279),"","x")</f>
        <v/>
      </c>
      <c r="AI275" t="str">
        <f>IF(ISBLANK(JP!AK279),"","x")</f>
        <v/>
      </c>
      <c r="AJ275" t="str">
        <f>IF(ISBLANK(JP!AL279),"","x")</f>
        <v/>
      </c>
      <c r="AK275" t="str">
        <f>IF(ISBLANK(JP!AM279),"","x")</f>
        <v/>
      </c>
      <c r="AL275" t="str">
        <f>IF(ISBLANK(JP!AN279),"","x")</f>
        <v/>
      </c>
      <c r="AM275" t="str">
        <f>IF(ISBLANK(JP!AO279),"","x")</f>
        <v/>
      </c>
      <c r="AN275" t="str">
        <f>IF(ISBLANK(JP!AP279),"","x")</f>
        <v/>
      </c>
      <c r="AO275" t="str">
        <f>IF(ISBLANK(JP!AR279),"","x")</f>
        <v/>
      </c>
      <c r="AP275" t="str">
        <f>IF(ISBLANK(JP!AS279),"","x")</f>
        <v/>
      </c>
      <c r="AQ275" t="str">
        <f>IF(ISBLANK(JP!AT279),"","x")</f>
        <v/>
      </c>
      <c r="AR275" t="str">
        <f>IF(ISBLANK(JP!AU279),"","x")</f>
        <v/>
      </c>
      <c r="AS275" t="str">
        <f>IF(ISBLANK(JP!AV279),"","x")</f>
        <v/>
      </c>
      <c r="AT275" t="str">
        <f>IF(ISBLANK(JP!AW279),"","x")</f>
        <v/>
      </c>
      <c r="AU275" t="str">
        <f>IF(ISBLANK(JP!AX279),"","x")</f>
        <v/>
      </c>
    </row>
    <row r="276" spans="2:47">
      <c r="B276" t="str">
        <f>IF(ISBLANK(JP!AZ280),"",JP!AZ280)</f>
        <v/>
      </c>
      <c r="C276" t="str">
        <f>IF(ISBLANK(JP!BA280),"",JP!BA280)</f>
        <v/>
      </c>
      <c r="D276" t="str">
        <f>IF(ISBLANK(JP!BC280),"",JP!BC280)</f>
        <v/>
      </c>
      <c r="E276" t="str">
        <f>IF(ISBLANK(JP!BB280),"",JP!BB280)</f>
        <v/>
      </c>
      <c r="F276" t="str">
        <f>IF(ISBLANK(JP!D280),"","x")</f>
        <v/>
      </c>
      <c r="G276" t="str">
        <f>IF(ISBLANK(JP!E280),"","x")</f>
        <v/>
      </c>
      <c r="H276" t="str">
        <f>IF(ISBLANK(JP!F280),"","x")</f>
        <v/>
      </c>
      <c r="I276" t="str">
        <f>IF(ISBLANK(JP!G280),"","x")</f>
        <v/>
      </c>
      <c r="J276" t="str">
        <f>IF(ISBLANK(JP!H280),"","x")</f>
        <v/>
      </c>
      <c r="K276" t="str">
        <f>IF(ISBLANK(JP!I280),"","x")</f>
        <v/>
      </c>
      <c r="L276" t="str">
        <f>IF(ISBLANK(JP!J280),"","x")</f>
        <v/>
      </c>
      <c r="M276" t="str">
        <f>IF(ISBLANK(JP!L280),"","x")</f>
        <v/>
      </c>
      <c r="N276" t="str">
        <f>IF(ISBLANK(JP!M280),"","x")</f>
        <v/>
      </c>
      <c r="O276" t="str">
        <f>IF(ISBLANK(JP!N280),"","x")</f>
        <v/>
      </c>
      <c r="P276" t="str">
        <f>IF(ISBLANK(JP!O280),"","x")</f>
        <v/>
      </c>
      <c r="Q276" t="str">
        <f>IF(ISBLANK(JP!P280),"","x")</f>
        <v/>
      </c>
      <c r="R276" t="str">
        <f>IF(ISBLANK(JP!Q280),"","x")</f>
        <v/>
      </c>
      <c r="S276" t="str">
        <f>IF(ISBLANK(JP!R280),"","x")</f>
        <v/>
      </c>
      <c r="T276" t="str">
        <f>IF(ISBLANK(JP!T280),"","x")</f>
        <v/>
      </c>
      <c r="U276" t="str">
        <f>IF(ISBLANK(JP!U280),"","x")</f>
        <v/>
      </c>
      <c r="V276" t="str">
        <f>IF(ISBLANK(JP!V280),"","x")</f>
        <v/>
      </c>
      <c r="W276" t="str">
        <f>IF(ISBLANK(JP!W280),"","x")</f>
        <v/>
      </c>
      <c r="X276" t="str">
        <f>IF(ISBLANK(JP!X280),"","x")</f>
        <v/>
      </c>
      <c r="Y276" t="str">
        <f>IF(ISBLANK(JP!Y280),"","x")</f>
        <v/>
      </c>
      <c r="Z276" t="str">
        <f>IF(ISBLANK(JP!Z280),"","x")</f>
        <v/>
      </c>
      <c r="AA276" t="str">
        <f>IF(ISBLANK(JP!AB280),"","x")</f>
        <v/>
      </c>
      <c r="AB276" t="str">
        <f>IF(ISBLANK(JP!AC280),"","x")</f>
        <v/>
      </c>
      <c r="AC276" t="str">
        <f>IF(ISBLANK(JP!AD280),"","x")</f>
        <v/>
      </c>
      <c r="AD276" t="str">
        <f>IF(ISBLANK(JP!AE280),"","x")</f>
        <v/>
      </c>
      <c r="AE276" t="str">
        <f>IF(ISBLANK(JP!AF280),"","x")</f>
        <v/>
      </c>
      <c r="AF276" t="str">
        <f>IF(ISBLANK(JP!AG280),"","x")</f>
        <v/>
      </c>
      <c r="AG276" t="str">
        <f>IF(ISBLANK(JP!AH280),"","x")</f>
        <v/>
      </c>
      <c r="AH276" t="str">
        <f>IF(ISBLANK(JP!AJ280),"","x")</f>
        <v/>
      </c>
      <c r="AI276" t="str">
        <f>IF(ISBLANK(JP!AK280),"","x")</f>
        <v/>
      </c>
      <c r="AJ276" t="str">
        <f>IF(ISBLANK(JP!AL280),"","x")</f>
        <v/>
      </c>
      <c r="AK276" t="str">
        <f>IF(ISBLANK(JP!AM280),"","x")</f>
        <v/>
      </c>
      <c r="AL276" t="str">
        <f>IF(ISBLANK(JP!AN280),"","x")</f>
        <v/>
      </c>
      <c r="AM276" t="str">
        <f>IF(ISBLANK(JP!AO280),"","x")</f>
        <v/>
      </c>
      <c r="AN276" t="str">
        <f>IF(ISBLANK(JP!AP280),"","x")</f>
        <v/>
      </c>
      <c r="AO276" t="str">
        <f>IF(ISBLANK(JP!AR280),"","x")</f>
        <v/>
      </c>
      <c r="AP276" t="str">
        <f>IF(ISBLANK(JP!AS280),"","x")</f>
        <v/>
      </c>
      <c r="AQ276" t="str">
        <f>IF(ISBLANK(JP!AT280),"","x")</f>
        <v/>
      </c>
      <c r="AR276" t="str">
        <f>IF(ISBLANK(JP!AU280),"","x")</f>
        <v/>
      </c>
      <c r="AS276" t="str">
        <f>IF(ISBLANK(JP!AV280),"","x")</f>
        <v/>
      </c>
      <c r="AT276" t="str">
        <f>IF(ISBLANK(JP!AW280),"","x")</f>
        <v/>
      </c>
      <c r="AU276" t="str">
        <f>IF(ISBLANK(JP!AX280),"","x")</f>
        <v/>
      </c>
    </row>
    <row r="277" spans="2:47">
      <c r="B277" t="str">
        <f>IF(ISBLANK(JP!AZ281),"",JP!AZ281)</f>
        <v/>
      </c>
      <c r="C277" t="str">
        <f>IF(ISBLANK(JP!BA281),"",JP!BA281)</f>
        <v/>
      </c>
      <c r="D277" t="str">
        <f>IF(ISBLANK(JP!BC281),"",JP!BC281)</f>
        <v/>
      </c>
      <c r="E277" t="str">
        <f>IF(ISBLANK(JP!BB281),"",JP!BB281)</f>
        <v/>
      </c>
      <c r="F277" t="str">
        <f>IF(ISBLANK(JP!D281),"","x")</f>
        <v/>
      </c>
      <c r="G277" t="str">
        <f>IF(ISBLANK(JP!E281),"","x")</f>
        <v/>
      </c>
      <c r="H277" t="str">
        <f>IF(ISBLANK(JP!F281),"","x")</f>
        <v/>
      </c>
      <c r="I277" t="str">
        <f>IF(ISBLANK(JP!G281),"","x")</f>
        <v/>
      </c>
      <c r="J277" t="str">
        <f>IF(ISBLANK(JP!H281),"","x")</f>
        <v/>
      </c>
      <c r="K277" t="str">
        <f>IF(ISBLANK(JP!I281),"","x")</f>
        <v/>
      </c>
      <c r="L277" t="str">
        <f>IF(ISBLANK(JP!J281),"","x")</f>
        <v/>
      </c>
      <c r="M277" t="str">
        <f>IF(ISBLANK(JP!L281),"","x")</f>
        <v/>
      </c>
      <c r="N277" t="str">
        <f>IF(ISBLANK(JP!M281),"","x")</f>
        <v/>
      </c>
      <c r="O277" t="str">
        <f>IF(ISBLANK(JP!N281),"","x")</f>
        <v/>
      </c>
      <c r="P277" t="str">
        <f>IF(ISBLANK(JP!O281),"","x")</f>
        <v/>
      </c>
      <c r="Q277" t="str">
        <f>IF(ISBLANK(JP!P281),"","x")</f>
        <v/>
      </c>
      <c r="R277" t="str">
        <f>IF(ISBLANK(JP!Q281),"","x")</f>
        <v/>
      </c>
      <c r="S277" t="str">
        <f>IF(ISBLANK(JP!R281),"","x")</f>
        <v/>
      </c>
      <c r="T277" t="str">
        <f>IF(ISBLANK(JP!T281),"","x")</f>
        <v/>
      </c>
      <c r="U277" t="str">
        <f>IF(ISBLANK(JP!U281),"","x")</f>
        <v/>
      </c>
      <c r="V277" t="str">
        <f>IF(ISBLANK(JP!V281),"","x")</f>
        <v/>
      </c>
      <c r="W277" t="str">
        <f>IF(ISBLANK(JP!W281),"","x")</f>
        <v/>
      </c>
      <c r="X277" t="str">
        <f>IF(ISBLANK(JP!X281),"","x")</f>
        <v/>
      </c>
      <c r="Y277" t="str">
        <f>IF(ISBLANK(JP!Y281),"","x")</f>
        <v/>
      </c>
      <c r="Z277" t="str">
        <f>IF(ISBLANK(JP!Z281),"","x")</f>
        <v/>
      </c>
      <c r="AA277" t="str">
        <f>IF(ISBLANK(JP!AB281),"","x")</f>
        <v/>
      </c>
      <c r="AB277" t="str">
        <f>IF(ISBLANK(JP!AC281),"","x")</f>
        <v/>
      </c>
      <c r="AC277" t="str">
        <f>IF(ISBLANK(JP!AD281),"","x")</f>
        <v/>
      </c>
      <c r="AD277" t="str">
        <f>IF(ISBLANK(JP!AE281),"","x")</f>
        <v/>
      </c>
      <c r="AE277" t="str">
        <f>IF(ISBLANK(JP!AF281),"","x")</f>
        <v/>
      </c>
      <c r="AF277" t="str">
        <f>IF(ISBLANK(JP!AG281),"","x")</f>
        <v/>
      </c>
      <c r="AG277" t="str">
        <f>IF(ISBLANK(JP!AH281),"","x")</f>
        <v/>
      </c>
      <c r="AH277" t="str">
        <f>IF(ISBLANK(JP!AJ281),"","x")</f>
        <v/>
      </c>
      <c r="AI277" t="str">
        <f>IF(ISBLANK(JP!AK281),"","x")</f>
        <v/>
      </c>
      <c r="AJ277" t="str">
        <f>IF(ISBLANK(JP!AL281),"","x")</f>
        <v/>
      </c>
      <c r="AK277" t="str">
        <f>IF(ISBLANK(JP!AM281),"","x")</f>
        <v/>
      </c>
      <c r="AL277" t="str">
        <f>IF(ISBLANK(JP!AN281),"","x")</f>
        <v/>
      </c>
      <c r="AM277" t="str">
        <f>IF(ISBLANK(JP!AO281),"","x")</f>
        <v/>
      </c>
      <c r="AN277" t="str">
        <f>IF(ISBLANK(JP!AP281),"","x")</f>
        <v/>
      </c>
      <c r="AO277" t="str">
        <f>IF(ISBLANK(JP!AR281),"","x")</f>
        <v/>
      </c>
      <c r="AP277" t="str">
        <f>IF(ISBLANK(JP!AS281),"","x")</f>
        <v/>
      </c>
      <c r="AQ277" t="str">
        <f>IF(ISBLANK(JP!AT281),"","x")</f>
        <v/>
      </c>
      <c r="AR277" t="str">
        <f>IF(ISBLANK(JP!AU281),"","x")</f>
        <v/>
      </c>
      <c r="AS277" t="str">
        <f>IF(ISBLANK(JP!AV281),"","x")</f>
        <v/>
      </c>
      <c r="AT277" t="str">
        <f>IF(ISBLANK(JP!AW281),"","x")</f>
        <v/>
      </c>
      <c r="AU277" t="str">
        <f>IF(ISBLANK(JP!AX281),"","x")</f>
        <v/>
      </c>
    </row>
    <row r="278" spans="2:47">
      <c r="B278" t="str">
        <f>IF(ISBLANK(JP!AZ282),"",JP!AZ282)</f>
        <v/>
      </c>
      <c r="C278" t="str">
        <f>IF(ISBLANK(JP!BA282),"",JP!BA282)</f>
        <v/>
      </c>
      <c r="D278" t="str">
        <f>IF(ISBLANK(JP!BC282),"",JP!BC282)</f>
        <v/>
      </c>
      <c r="E278" t="str">
        <f>IF(ISBLANK(JP!BB282),"",JP!BB282)</f>
        <v/>
      </c>
      <c r="F278" t="str">
        <f>IF(ISBLANK(JP!D282),"","x")</f>
        <v/>
      </c>
      <c r="G278" t="str">
        <f>IF(ISBLANK(JP!E282),"","x")</f>
        <v/>
      </c>
      <c r="H278" t="str">
        <f>IF(ISBLANK(JP!F282),"","x")</f>
        <v/>
      </c>
      <c r="I278" t="str">
        <f>IF(ISBLANK(JP!G282),"","x")</f>
        <v/>
      </c>
      <c r="J278" t="str">
        <f>IF(ISBLANK(JP!H282),"","x")</f>
        <v/>
      </c>
      <c r="K278" t="str">
        <f>IF(ISBLANK(JP!I282),"","x")</f>
        <v/>
      </c>
      <c r="L278" t="str">
        <f>IF(ISBLANK(JP!J282),"","x")</f>
        <v/>
      </c>
      <c r="M278" t="str">
        <f>IF(ISBLANK(JP!L282),"","x")</f>
        <v/>
      </c>
      <c r="N278" t="str">
        <f>IF(ISBLANK(JP!M282),"","x")</f>
        <v/>
      </c>
      <c r="O278" t="str">
        <f>IF(ISBLANK(JP!N282),"","x")</f>
        <v/>
      </c>
      <c r="P278" t="str">
        <f>IF(ISBLANK(JP!O282),"","x")</f>
        <v/>
      </c>
      <c r="Q278" t="str">
        <f>IF(ISBLANK(JP!P282),"","x")</f>
        <v/>
      </c>
      <c r="R278" t="str">
        <f>IF(ISBLANK(JP!Q282),"","x")</f>
        <v/>
      </c>
      <c r="S278" t="str">
        <f>IF(ISBLANK(JP!R282),"","x")</f>
        <v/>
      </c>
      <c r="T278" t="str">
        <f>IF(ISBLANK(JP!T282),"","x")</f>
        <v/>
      </c>
      <c r="U278" t="str">
        <f>IF(ISBLANK(JP!U282),"","x")</f>
        <v/>
      </c>
      <c r="V278" t="str">
        <f>IF(ISBLANK(JP!V282),"","x")</f>
        <v/>
      </c>
      <c r="W278" t="str">
        <f>IF(ISBLANK(JP!W282),"","x")</f>
        <v/>
      </c>
      <c r="X278" t="str">
        <f>IF(ISBLANK(JP!X282),"","x")</f>
        <v/>
      </c>
      <c r="Y278" t="str">
        <f>IF(ISBLANK(JP!Y282),"","x")</f>
        <v/>
      </c>
      <c r="Z278" t="str">
        <f>IF(ISBLANK(JP!Z282),"","x")</f>
        <v/>
      </c>
      <c r="AA278" t="str">
        <f>IF(ISBLANK(JP!AB282),"","x")</f>
        <v/>
      </c>
      <c r="AB278" t="str">
        <f>IF(ISBLANK(JP!AC282),"","x")</f>
        <v/>
      </c>
      <c r="AC278" t="str">
        <f>IF(ISBLANK(JP!AD282),"","x")</f>
        <v/>
      </c>
      <c r="AD278" t="str">
        <f>IF(ISBLANK(JP!AE282),"","x")</f>
        <v/>
      </c>
      <c r="AE278" t="str">
        <f>IF(ISBLANK(JP!AF282),"","x")</f>
        <v/>
      </c>
      <c r="AF278" t="str">
        <f>IF(ISBLANK(JP!AG282),"","x")</f>
        <v/>
      </c>
      <c r="AG278" t="str">
        <f>IF(ISBLANK(JP!AH282),"","x")</f>
        <v/>
      </c>
      <c r="AH278" t="str">
        <f>IF(ISBLANK(JP!AJ282),"","x")</f>
        <v/>
      </c>
      <c r="AI278" t="str">
        <f>IF(ISBLANK(JP!AK282),"","x")</f>
        <v/>
      </c>
      <c r="AJ278" t="str">
        <f>IF(ISBLANK(JP!AL282),"","x")</f>
        <v/>
      </c>
      <c r="AK278" t="str">
        <f>IF(ISBLANK(JP!AM282),"","x")</f>
        <v/>
      </c>
      <c r="AL278" t="str">
        <f>IF(ISBLANK(JP!AN282),"","x")</f>
        <v/>
      </c>
      <c r="AM278" t="str">
        <f>IF(ISBLANK(JP!AO282),"","x")</f>
        <v/>
      </c>
      <c r="AN278" t="str">
        <f>IF(ISBLANK(JP!AP282),"","x")</f>
        <v/>
      </c>
      <c r="AO278" t="str">
        <f>IF(ISBLANK(JP!AR282),"","x")</f>
        <v/>
      </c>
      <c r="AP278" t="str">
        <f>IF(ISBLANK(JP!AS282),"","x")</f>
        <v/>
      </c>
      <c r="AQ278" t="str">
        <f>IF(ISBLANK(JP!AT282),"","x")</f>
        <v/>
      </c>
      <c r="AR278" t="str">
        <f>IF(ISBLANK(JP!AU282),"","x")</f>
        <v/>
      </c>
      <c r="AS278" t="str">
        <f>IF(ISBLANK(JP!AV282),"","x")</f>
        <v/>
      </c>
      <c r="AT278" t="str">
        <f>IF(ISBLANK(JP!AW282),"","x")</f>
        <v/>
      </c>
      <c r="AU278" t="str">
        <f>IF(ISBLANK(JP!AX282),"","x")</f>
        <v/>
      </c>
    </row>
    <row r="279" spans="2:47">
      <c r="B279" t="str">
        <f>IF(ISBLANK(JP!AZ283),"",JP!AZ283)</f>
        <v/>
      </c>
      <c r="C279" t="str">
        <f>IF(ISBLANK(JP!BA283),"",JP!BA283)</f>
        <v/>
      </c>
      <c r="D279" t="str">
        <f>IF(ISBLANK(JP!BC283),"",JP!BC283)</f>
        <v/>
      </c>
      <c r="E279" t="str">
        <f>IF(ISBLANK(JP!BB283),"",JP!BB283)</f>
        <v/>
      </c>
      <c r="F279" t="str">
        <f>IF(ISBLANK(JP!D283),"","x")</f>
        <v/>
      </c>
      <c r="G279" t="str">
        <f>IF(ISBLANK(JP!E283),"","x")</f>
        <v/>
      </c>
      <c r="H279" t="str">
        <f>IF(ISBLANK(JP!F283),"","x")</f>
        <v/>
      </c>
      <c r="I279" t="str">
        <f>IF(ISBLANK(JP!G283),"","x")</f>
        <v/>
      </c>
      <c r="J279" t="str">
        <f>IF(ISBLANK(JP!H283),"","x")</f>
        <v/>
      </c>
      <c r="K279" t="str">
        <f>IF(ISBLANK(JP!I283),"","x")</f>
        <v/>
      </c>
      <c r="L279" t="str">
        <f>IF(ISBLANK(JP!J283),"","x")</f>
        <v/>
      </c>
      <c r="M279" t="str">
        <f>IF(ISBLANK(JP!L283),"","x")</f>
        <v/>
      </c>
      <c r="N279" t="str">
        <f>IF(ISBLANK(JP!M283),"","x")</f>
        <v/>
      </c>
      <c r="O279" t="str">
        <f>IF(ISBLANK(JP!N283),"","x")</f>
        <v/>
      </c>
      <c r="P279" t="str">
        <f>IF(ISBLANK(JP!O283),"","x")</f>
        <v/>
      </c>
      <c r="Q279" t="str">
        <f>IF(ISBLANK(JP!P283),"","x")</f>
        <v/>
      </c>
      <c r="R279" t="str">
        <f>IF(ISBLANK(JP!Q283),"","x")</f>
        <v/>
      </c>
      <c r="S279" t="str">
        <f>IF(ISBLANK(JP!R283),"","x")</f>
        <v/>
      </c>
      <c r="T279" t="str">
        <f>IF(ISBLANK(JP!T283),"","x")</f>
        <v/>
      </c>
      <c r="U279" t="str">
        <f>IF(ISBLANK(JP!U283),"","x")</f>
        <v/>
      </c>
      <c r="V279" t="str">
        <f>IF(ISBLANK(JP!V283),"","x")</f>
        <v/>
      </c>
      <c r="W279" t="str">
        <f>IF(ISBLANK(JP!W283),"","x")</f>
        <v/>
      </c>
      <c r="X279" t="str">
        <f>IF(ISBLANK(JP!X283),"","x")</f>
        <v/>
      </c>
      <c r="Y279" t="str">
        <f>IF(ISBLANK(JP!Y283),"","x")</f>
        <v/>
      </c>
      <c r="Z279" t="str">
        <f>IF(ISBLANK(JP!Z283),"","x")</f>
        <v/>
      </c>
      <c r="AA279" t="str">
        <f>IF(ISBLANK(JP!AB283),"","x")</f>
        <v/>
      </c>
      <c r="AB279" t="str">
        <f>IF(ISBLANK(JP!AC283),"","x")</f>
        <v/>
      </c>
      <c r="AC279" t="str">
        <f>IF(ISBLANK(JP!AD283),"","x")</f>
        <v/>
      </c>
      <c r="AD279" t="str">
        <f>IF(ISBLANK(JP!AE283),"","x")</f>
        <v/>
      </c>
      <c r="AE279" t="str">
        <f>IF(ISBLANK(JP!AF283),"","x")</f>
        <v/>
      </c>
      <c r="AF279" t="str">
        <f>IF(ISBLANK(JP!AG283),"","x")</f>
        <v/>
      </c>
      <c r="AG279" t="str">
        <f>IF(ISBLANK(JP!AH283),"","x")</f>
        <v/>
      </c>
      <c r="AH279" t="str">
        <f>IF(ISBLANK(JP!AJ283),"","x")</f>
        <v/>
      </c>
      <c r="AI279" t="str">
        <f>IF(ISBLANK(JP!AK283),"","x")</f>
        <v/>
      </c>
      <c r="AJ279" t="str">
        <f>IF(ISBLANK(JP!AL283),"","x")</f>
        <v/>
      </c>
      <c r="AK279" t="str">
        <f>IF(ISBLANK(JP!AM283),"","x")</f>
        <v/>
      </c>
      <c r="AL279" t="str">
        <f>IF(ISBLANK(JP!AN283),"","x")</f>
        <v/>
      </c>
      <c r="AM279" t="str">
        <f>IF(ISBLANK(JP!AO283),"","x")</f>
        <v/>
      </c>
      <c r="AN279" t="str">
        <f>IF(ISBLANK(JP!AP283),"","x")</f>
        <v/>
      </c>
      <c r="AO279" t="str">
        <f>IF(ISBLANK(JP!AR283),"","x")</f>
        <v/>
      </c>
      <c r="AP279" t="str">
        <f>IF(ISBLANK(JP!AS283),"","x")</f>
        <v/>
      </c>
      <c r="AQ279" t="str">
        <f>IF(ISBLANK(JP!AT283),"","x")</f>
        <v/>
      </c>
      <c r="AR279" t="str">
        <f>IF(ISBLANK(JP!AU283),"","x")</f>
        <v/>
      </c>
      <c r="AS279" t="str">
        <f>IF(ISBLANK(JP!AV283),"","x")</f>
        <v/>
      </c>
      <c r="AT279" t="str">
        <f>IF(ISBLANK(JP!AW283),"","x")</f>
        <v/>
      </c>
      <c r="AU279" t="str">
        <f>IF(ISBLANK(JP!AX283),"","x")</f>
        <v/>
      </c>
    </row>
    <row r="280" spans="2:47">
      <c r="B280" t="str">
        <f>IF(ISBLANK(JP!AZ284),"",JP!AZ284)</f>
        <v/>
      </c>
      <c r="C280" t="str">
        <f>IF(ISBLANK(JP!BA284),"",JP!BA284)</f>
        <v/>
      </c>
      <c r="D280" t="str">
        <f>IF(ISBLANK(JP!BC284),"",JP!BC284)</f>
        <v/>
      </c>
      <c r="E280" t="str">
        <f>IF(ISBLANK(JP!BB284),"",JP!BB284)</f>
        <v/>
      </c>
      <c r="F280" t="str">
        <f>IF(ISBLANK(JP!D284),"","x")</f>
        <v/>
      </c>
      <c r="G280" t="str">
        <f>IF(ISBLANK(JP!E284),"","x")</f>
        <v/>
      </c>
      <c r="H280" t="str">
        <f>IF(ISBLANK(JP!F284),"","x")</f>
        <v/>
      </c>
      <c r="I280" t="str">
        <f>IF(ISBLANK(JP!G284),"","x")</f>
        <v/>
      </c>
      <c r="J280" t="str">
        <f>IF(ISBLANK(JP!H284),"","x")</f>
        <v/>
      </c>
      <c r="K280" t="str">
        <f>IF(ISBLANK(JP!I284),"","x")</f>
        <v/>
      </c>
      <c r="L280" t="str">
        <f>IF(ISBLANK(JP!J284),"","x")</f>
        <v/>
      </c>
      <c r="M280" t="str">
        <f>IF(ISBLANK(JP!L284),"","x")</f>
        <v/>
      </c>
      <c r="N280" t="str">
        <f>IF(ISBLANK(JP!M284),"","x")</f>
        <v/>
      </c>
      <c r="O280" t="str">
        <f>IF(ISBLANK(JP!N284),"","x")</f>
        <v/>
      </c>
      <c r="P280" t="str">
        <f>IF(ISBLANK(JP!O284),"","x")</f>
        <v/>
      </c>
      <c r="Q280" t="str">
        <f>IF(ISBLANK(JP!P284),"","x")</f>
        <v/>
      </c>
      <c r="R280" t="str">
        <f>IF(ISBLANK(JP!Q284),"","x")</f>
        <v/>
      </c>
      <c r="S280" t="str">
        <f>IF(ISBLANK(JP!R284),"","x")</f>
        <v/>
      </c>
      <c r="T280" t="str">
        <f>IF(ISBLANK(JP!T284),"","x")</f>
        <v/>
      </c>
      <c r="U280" t="str">
        <f>IF(ISBLANK(JP!U284),"","x")</f>
        <v/>
      </c>
      <c r="V280" t="str">
        <f>IF(ISBLANK(JP!V284),"","x")</f>
        <v/>
      </c>
      <c r="W280" t="str">
        <f>IF(ISBLANK(JP!W284),"","x")</f>
        <v/>
      </c>
      <c r="X280" t="str">
        <f>IF(ISBLANK(JP!X284),"","x")</f>
        <v/>
      </c>
      <c r="Y280" t="str">
        <f>IF(ISBLANK(JP!Y284),"","x")</f>
        <v/>
      </c>
      <c r="Z280" t="str">
        <f>IF(ISBLANK(JP!Z284),"","x")</f>
        <v/>
      </c>
      <c r="AA280" t="str">
        <f>IF(ISBLANK(JP!AB284),"","x")</f>
        <v/>
      </c>
      <c r="AB280" t="str">
        <f>IF(ISBLANK(JP!AC284),"","x")</f>
        <v/>
      </c>
      <c r="AC280" t="str">
        <f>IF(ISBLANK(JP!AD284),"","x")</f>
        <v/>
      </c>
      <c r="AD280" t="str">
        <f>IF(ISBLANK(JP!AE284),"","x")</f>
        <v/>
      </c>
      <c r="AE280" t="str">
        <f>IF(ISBLANK(JP!AF284),"","x")</f>
        <v/>
      </c>
      <c r="AF280" t="str">
        <f>IF(ISBLANK(JP!AG284),"","x")</f>
        <v/>
      </c>
      <c r="AG280" t="str">
        <f>IF(ISBLANK(JP!AH284),"","x")</f>
        <v/>
      </c>
      <c r="AH280" t="str">
        <f>IF(ISBLANK(JP!AJ284),"","x")</f>
        <v/>
      </c>
      <c r="AI280" t="str">
        <f>IF(ISBLANK(JP!AK284),"","x")</f>
        <v/>
      </c>
      <c r="AJ280" t="str">
        <f>IF(ISBLANK(JP!AL284),"","x")</f>
        <v/>
      </c>
      <c r="AK280" t="str">
        <f>IF(ISBLANK(JP!AM284),"","x")</f>
        <v/>
      </c>
      <c r="AL280" t="str">
        <f>IF(ISBLANK(JP!AN284),"","x")</f>
        <v/>
      </c>
      <c r="AM280" t="str">
        <f>IF(ISBLANK(JP!AO284),"","x")</f>
        <v/>
      </c>
      <c r="AN280" t="str">
        <f>IF(ISBLANK(JP!AP284),"","x")</f>
        <v/>
      </c>
      <c r="AO280" t="str">
        <f>IF(ISBLANK(JP!AR284),"","x")</f>
        <v/>
      </c>
      <c r="AP280" t="str">
        <f>IF(ISBLANK(JP!AS284),"","x")</f>
        <v/>
      </c>
      <c r="AQ280" t="str">
        <f>IF(ISBLANK(JP!AT284),"","x")</f>
        <v/>
      </c>
      <c r="AR280" t="str">
        <f>IF(ISBLANK(JP!AU284),"","x")</f>
        <v/>
      </c>
      <c r="AS280" t="str">
        <f>IF(ISBLANK(JP!AV284),"","x")</f>
        <v/>
      </c>
      <c r="AT280" t="str">
        <f>IF(ISBLANK(JP!AW284),"","x")</f>
        <v/>
      </c>
      <c r="AU280" t="str">
        <f>IF(ISBLANK(JP!AX284),"","x")</f>
        <v/>
      </c>
    </row>
    <row r="281" spans="2:47">
      <c r="B281" t="str">
        <f>IF(ISBLANK(JP!AZ285),"",JP!AZ285)</f>
        <v/>
      </c>
      <c r="C281" t="str">
        <f>IF(ISBLANK(JP!BA285),"",JP!BA285)</f>
        <v/>
      </c>
      <c r="D281" t="str">
        <f>IF(ISBLANK(JP!BC285),"",JP!BC285)</f>
        <v/>
      </c>
      <c r="E281" t="str">
        <f>IF(ISBLANK(JP!BB285),"",JP!BB285)</f>
        <v/>
      </c>
      <c r="F281" t="str">
        <f>IF(ISBLANK(JP!D285),"","x")</f>
        <v/>
      </c>
      <c r="G281" t="str">
        <f>IF(ISBLANK(JP!E285),"","x")</f>
        <v/>
      </c>
      <c r="H281" t="str">
        <f>IF(ISBLANK(JP!F285),"","x")</f>
        <v/>
      </c>
      <c r="I281" t="str">
        <f>IF(ISBLANK(JP!G285),"","x")</f>
        <v/>
      </c>
      <c r="J281" t="str">
        <f>IF(ISBLANK(JP!H285),"","x")</f>
        <v/>
      </c>
      <c r="K281" t="str">
        <f>IF(ISBLANK(JP!I285),"","x")</f>
        <v/>
      </c>
      <c r="L281" t="str">
        <f>IF(ISBLANK(JP!J285),"","x")</f>
        <v/>
      </c>
      <c r="M281" t="str">
        <f>IF(ISBLANK(JP!L285),"","x")</f>
        <v/>
      </c>
      <c r="N281" t="str">
        <f>IF(ISBLANK(JP!M285),"","x")</f>
        <v/>
      </c>
      <c r="O281" t="str">
        <f>IF(ISBLANK(JP!N285),"","x")</f>
        <v/>
      </c>
      <c r="P281" t="str">
        <f>IF(ISBLANK(JP!O285),"","x")</f>
        <v/>
      </c>
      <c r="Q281" t="str">
        <f>IF(ISBLANK(JP!P285),"","x")</f>
        <v/>
      </c>
      <c r="R281" t="str">
        <f>IF(ISBLANK(JP!Q285),"","x")</f>
        <v/>
      </c>
      <c r="S281" t="str">
        <f>IF(ISBLANK(JP!R285),"","x")</f>
        <v/>
      </c>
      <c r="T281" t="str">
        <f>IF(ISBLANK(JP!T285),"","x")</f>
        <v/>
      </c>
      <c r="U281" t="str">
        <f>IF(ISBLANK(JP!U285),"","x")</f>
        <v/>
      </c>
      <c r="V281" t="str">
        <f>IF(ISBLANK(JP!V285),"","x")</f>
        <v/>
      </c>
      <c r="W281" t="str">
        <f>IF(ISBLANK(JP!W285),"","x")</f>
        <v/>
      </c>
      <c r="X281" t="str">
        <f>IF(ISBLANK(JP!X285),"","x")</f>
        <v/>
      </c>
      <c r="Y281" t="str">
        <f>IF(ISBLANK(JP!Y285),"","x")</f>
        <v/>
      </c>
      <c r="Z281" t="str">
        <f>IF(ISBLANK(JP!Z285),"","x")</f>
        <v/>
      </c>
      <c r="AA281" t="str">
        <f>IF(ISBLANK(JP!AB285),"","x")</f>
        <v/>
      </c>
      <c r="AB281" t="str">
        <f>IF(ISBLANK(JP!AC285),"","x")</f>
        <v/>
      </c>
      <c r="AC281" t="str">
        <f>IF(ISBLANK(JP!AD285),"","x")</f>
        <v/>
      </c>
      <c r="AD281" t="str">
        <f>IF(ISBLANK(JP!AE285),"","x")</f>
        <v/>
      </c>
      <c r="AE281" t="str">
        <f>IF(ISBLANK(JP!AF285),"","x")</f>
        <v/>
      </c>
      <c r="AF281" t="str">
        <f>IF(ISBLANK(JP!AG285),"","x")</f>
        <v/>
      </c>
      <c r="AG281" t="str">
        <f>IF(ISBLANK(JP!AH285),"","x")</f>
        <v/>
      </c>
      <c r="AH281" t="str">
        <f>IF(ISBLANK(JP!AJ285),"","x")</f>
        <v/>
      </c>
      <c r="AI281" t="str">
        <f>IF(ISBLANK(JP!AK285),"","x")</f>
        <v/>
      </c>
      <c r="AJ281" t="str">
        <f>IF(ISBLANK(JP!AL285),"","x")</f>
        <v/>
      </c>
      <c r="AK281" t="str">
        <f>IF(ISBLANK(JP!AM285),"","x")</f>
        <v/>
      </c>
      <c r="AL281" t="str">
        <f>IF(ISBLANK(JP!AN285),"","x")</f>
        <v/>
      </c>
      <c r="AM281" t="str">
        <f>IF(ISBLANK(JP!AO285),"","x")</f>
        <v/>
      </c>
      <c r="AN281" t="str">
        <f>IF(ISBLANK(JP!AP285),"","x")</f>
        <v/>
      </c>
      <c r="AO281" t="str">
        <f>IF(ISBLANK(JP!AR285),"","x")</f>
        <v/>
      </c>
      <c r="AP281" t="str">
        <f>IF(ISBLANK(JP!AS285),"","x")</f>
        <v/>
      </c>
      <c r="AQ281" t="str">
        <f>IF(ISBLANK(JP!AT285),"","x")</f>
        <v/>
      </c>
      <c r="AR281" t="str">
        <f>IF(ISBLANK(JP!AU285),"","x")</f>
        <v/>
      </c>
      <c r="AS281" t="str">
        <f>IF(ISBLANK(JP!AV285),"","x")</f>
        <v/>
      </c>
      <c r="AT281" t="str">
        <f>IF(ISBLANK(JP!AW285),"","x")</f>
        <v/>
      </c>
      <c r="AU281" t="str">
        <f>IF(ISBLANK(JP!AX285),"","x")</f>
        <v/>
      </c>
    </row>
    <row r="282" spans="2:47">
      <c r="B282" t="str">
        <f>IF(ISBLANK(JP!AZ286),"",JP!AZ286)</f>
        <v/>
      </c>
      <c r="C282" t="str">
        <f>IF(ISBLANK(JP!BA286),"",JP!BA286)</f>
        <v/>
      </c>
      <c r="D282" t="str">
        <f>IF(ISBLANK(JP!BC286),"",JP!BC286)</f>
        <v/>
      </c>
      <c r="E282" t="str">
        <f>IF(ISBLANK(JP!BB286),"",JP!BB286)</f>
        <v/>
      </c>
      <c r="F282" t="str">
        <f>IF(ISBLANK(JP!D286),"","x")</f>
        <v/>
      </c>
      <c r="G282" t="str">
        <f>IF(ISBLANK(JP!E286),"","x")</f>
        <v/>
      </c>
      <c r="H282" t="str">
        <f>IF(ISBLANK(JP!F286),"","x")</f>
        <v/>
      </c>
      <c r="I282" t="str">
        <f>IF(ISBLANK(JP!G286),"","x")</f>
        <v/>
      </c>
      <c r="J282" t="str">
        <f>IF(ISBLANK(JP!H286),"","x")</f>
        <v/>
      </c>
      <c r="K282" t="str">
        <f>IF(ISBLANK(JP!I286),"","x")</f>
        <v/>
      </c>
      <c r="L282" t="str">
        <f>IF(ISBLANK(JP!J286),"","x")</f>
        <v/>
      </c>
      <c r="M282" t="str">
        <f>IF(ISBLANK(JP!L286),"","x")</f>
        <v/>
      </c>
      <c r="N282" t="str">
        <f>IF(ISBLANK(JP!M286),"","x")</f>
        <v/>
      </c>
      <c r="O282" t="str">
        <f>IF(ISBLANK(JP!N286),"","x")</f>
        <v/>
      </c>
      <c r="P282" t="str">
        <f>IF(ISBLANK(JP!O286),"","x")</f>
        <v/>
      </c>
      <c r="Q282" t="str">
        <f>IF(ISBLANK(JP!P286),"","x")</f>
        <v/>
      </c>
      <c r="R282" t="str">
        <f>IF(ISBLANK(JP!Q286),"","x")</f>
        <v/>
      </c>
      <c r="S282" t="str">
        <f>IF(ISBLANK(JP!R286),"","x")</f>
        <v/>
      </c>
      <c r="T282" t="str">
        <f>IF(ISBLANK(JP!T286),"","x")</f>
        <v/>
      </c>
      <c r="U282" t="str">
        <f>IF(ISBLANK(JP!U286),"","x")</f>
        <v/>
      </c>
      <c r="V282" t="str">
        <f>IF(ISBLANK(JP!V286),"","x")</f>
        <v/>
      </c>
      <c r="W282" t="str">
        <f>IF(ISBLANK(JP!W286),"","x")</f>
        <v/>
      </c>
      <c r="X282" t="str">
        <f>IF(ISBLANK(JP!X286),"","x")</f>
        <v/>
      </c>
      <c r="Y282" t="str">
        <f>IF(ISBLANK(JP!Y286),"","x")</f>
        <v/>
      </c>
      <c r="Z282" t="str">
        <f>IF(ISBLANK(JP!Z286),"","x")</f>
        <v/>
      </c>
      <c r="AA282" t="str">
        <f>IF(ISBLANK(JP!AB286),"","x")</f>
        <v/>
      </c>
      <c r="AB282" t="str">
        <f>IF(ISBLANK(JP!AC286),"","x")</f>
        <v/>
      </c>
      <c r="AC282" t="str">
        <f>IF(ISBLANK(JP!AD286),"","x")</f>
        <v/>
      </c>
      <c r="AD282" t="str">
        <f>IF(ISBLANK(JP!AE286),"","x")</f>
        <v/>
      </c>
      <c r="AE282" t="str">
        <f>IF(ISBLANK(JP!AF286),"","x")</f>
        <v/>
      </c>
      <c r="AF282" t="str">
        <f>IF(ISBLANK(JP!AG286),"","x")</f>
        <v/>
      </c>
      <c r="AG282" t="str">
        <f>IF(ISBLANK(JP!AH286),"","x")</f>
        <v/>
      </c>
      <c r="AH282" t="str">
        <f>IF(ISBLANK(JP!AJ286),"","x")</f>
        <v/>
      </c>
      <c r="AI282" t="str">
        <f>IF(ISBLANK(JP!AK286),"","x")</f>
        <v/>
      </c>
      <c r="AJ282" t="str">
        <f>IF(ISBLANK(JP!AL286),"","x")</f>
        <v/>
      </c>
      <c r="AK282" t="str">
        <f>IF(ISBLANK(JP!AM286),"","x")</f>
        <v/>
      </c>
      <c r="AL282" t="str">
        <f>IF(ISBLANK(JP!AN286),"","x")</f>
        <v/>
      </c>
      <c r="AM282" t="str">
        <f>IF(ISBLANK(JP!AO286),"","x")</f>
        <v/>
      </c>
      <c r="AN282" t="str">
        <f>IF(ISBLANK(JP!AP286),"","x")</f>
        <v/>
      </c>
      <c r="AO282" t="str">
        <f>IF(ISBLANK(JP!AR286),"","x")</f>
        <v/>
      </c>
      <c r="AP282" t="str">
        <f>IF(ISBLANK(JP!AS286),"","x")</f>
        <v/>
      </c>
      <c r="AQ282" t="str">
        <f>IF(ISBLANK(JP!AT286),"","x")</f>
        <v/>
      </c>
      <c r="AR282" t="str">
        <f>IF(ISBLANK(JP!AU286),"","x")</f>
        <v/>
      </c>
      <c r="AS282" t="str">
        <f>IF(ISBLANK(JP!AV286),"","x")</f>
        <v/>
      </c>
      <c r="AT282" t="str">
        <f>IF(ISBLANK(JP!AW286),"","x")</f>
        <v/>
      </c>
      <c r="AU282" t="str">
        <f>IF(ISBLANK(JP!AX286),"","x")</f>
        <v/>
      </c>
    </row>
    <row r="283" spans="2:47">
      <c r="B283" t="str">
        <f>IF(ISBLANK(JP!AZ287),"",JP!AZ287)</f>
        <v/>
      </c>
      <c r="C283" t="str">
        <f>IF(ISBLANK(JP!BA287),"",JP!BA287)</f>
        <v/>
      </c>
      <c r="D283" t="str">
        <f>IF(ISBLANK(JP!BC287),"",JP!BC287)</f>
        <v/>
      </c>
      <c r="E283" t="str">
        <f>IF(ISBLANK(JP!BB287),"",JP!BB287)</f>
        <v/>
      </c>
      <c r="F283" t="str">
        <f>IF(ISBLANK(JP!D287),"","x")</f>
        <v/>
      </c>
      <c r="G283" t="str">
        <f>IF(ISBLANK(JP!E287),"","x")</f>
        <v/>
      </c>
      <c r="H283" t="str">
        <f>IF(ISBLANK(JP!F287),"","x")</f>
        <v/>
      </c>
      <c r="I283" t="str">
        <f>IF(ISBLANK(JP!G287),"","x")</f>
        <v/>
      </c>
      <c r="J283" t="str">
        <f>IF(ISBLANK(JP!H287),"","x")</f>
        <v/>
      </c>
      <c r="K283" t="str">
        <f>IF(ISBLANK(JP!I287),"","x")</f>
        <v/>
      </c>
      <c r="L283" t="str">
        <f>IF(ISBLANK(JP!J287),"","x")</f>
        <v/>
      </c>
      <c r="M283" t="str">
        <f>IF(ISBLANK(JP!L287),"","x")</f>
        <v/>
      </c>
      <c r="N283" t="str">
        <f>IF(ISBLANK(JP!M287),"","x")</f>
        <v/>
      </c>
      <c r="O283" t="str">
        <f>IF(ISBLANK(JP!N287),"","x")</f>
        <v/>
      </c>
      <c r="P283" t="str">
        <f>IF(ISBLANK(JP!O287),"","x")</f>
        <v/>
      </c>
      <c r="Q283" t="str">
        <f>IF(ISBLANK(JP!P287),"","x")</f>
        <v/>
      </c>
      <c r="R283" t="str">
        <f>IF(ISBLANK(JP!Q287),"","x")</f>
        <v/>
      </c>
      <c r="S283" t="str">
        <f>IF(ISBLANK(JP!R287),"","x")</f>
        <v/>
      </c>
      <c r="T283" t="str">
        <f>IF(ISBLANK(JP!T287),"","x")</f>
        <v/>
      </c>
      <c r="U283" t="str">
        <f>IF(ISBLANK(JP!U287),"","x")</f>
        <v/>
      </c>
      <c r="V283" t="str">
        <f>IF(ISBLANK(JP!V287),"","x")</f>
        <v/>
      </c>
      <c r="W283" t="str">
        <f>IF(ISBLANK(JP!W287),"","x")</f>
        <v/>
      </c>
      <c r="X283" t="str">
        <f>IF(ISBLANK(JP!X287),"","x")</f>
        <v/>
      </c>
      <c r="Y283" t="str">
        <f>IF(ISBLANK(JP!Y287),"","x")</f>
        <v/>
      </c>
      <c r="Z283" t="str">
        <f>IF(ISBLANK(JP!Z287),"","x")</f>
        <v/>
      </c>
      <c r="AA283" t="str">
        <f>IF(ISBLANK(JP!AB287),"","x")</f>
        <v/>
      </c>
      <c r="AB283" t="str">
        <f>IF(ISBLANK(JP!AC287),"","x")</f>
        <v/>
      </c>
      <c r="AC283" t="str">
        <f>IF(ISBLANK(JP!AD287),"","x")</f>
        <v/>
      </c>
      <c r="AD283" t="str">
        <f>IF(ISBLANK(JP!AE287),"","x")</f>
        <v/>
      </c>
      <c r="AE283" t="str">
        <f>IF(ISBLANK(JP!AF287),"","x")</f>
        <v/>
      </c>
      <c r="AF283" t="str">
        <f>IF(ISBLANK(JP!AG287),"","x")</f>
        <v/>
      </c>
      <c r="AG283" t="str">
        <f>IF(ISBLANK(JP!AH287),"","x")</f>
        <v/>
      </c>
      <c r="AH283" t="str">
        <f>IF(ISBLANK(JP!AJ287),"","x")</f>
        <v/>
      </c>
      <c r="AI283" t="str">
        <f>IF(ISBLANK(JP!AK287),"","x")</f>
        <v/>
      </c>
      <c r="AJ283" t="str">
        <f>IF(ISBLANK(JP!AL287),"","x")</f>
        <v/>
      </c>
      <c r="AK283" t="str">
        <f>IF(ISBLANK(JP!AM287),"","x")</f>
        <v/>
      </c>
      <c r="AL283" t="str">
        <f>IF(ISBLANK(JP!AN287),"","x")</f>
        <v/>
      </c>
      <c r="AM283" t="str">
        <f>IF(ISBLANK(JP!AO287),"","x")</f>
        <v/>
      </c>
      <c r="AN283" t="str">
        <f>IF(ISBLANK(JP!AP287),"","x")</f>
        <v/>
      </c>
      <c r="AO283" t="str">
        <f>IF(ISBLANK(JP!AR287),"","x")</f>
        <v/>
      </c>
      <c r="AP283" t="str">
        <f>IF(ISBLANK(JP!AS287),"","x")</f>
        <v/>
      </c>
      <c r="AQ283" t="str">
        <f>IF(ISBLANK(JP!AT287),"","x")</f>
        <v/>
      </c>
      <c r="AR283" t="str">
        <f>IF(ISBLANK(JP!AU287),"","x")</f>
        <v/>
      </c>
      <c r="AS283" t="str">
        <f>IF(ISBLANK(JP!AV287),"","x")</f>
        <v/>
      </c>
      <c r="AT283" t="str">
        <f>IF(ISBLANK(JP!AW287),"","x")</f>
        <v/>
      </c>
      <c r="AU283" t="str">
        <f>IF(ISBLANK(JP!AX287),"","x")</f>
        <v/>
      </c>
    </row>
    <row r="284" spans="2:47">
      <c r="B284" t="str">
        <f>IF(ISBLANK(JP!AZ288),"",JP!AZ288)</f>
        <v/>
      </c>
      <c r="C284" t="str">
        <f>IF(ISBLANK(JP!BA288),"",JP!BA288)</f>
        <v/>
      </c>
      <c r="D284" t="str">
        <f>IF(ISBLANK(JP!BC288),"",JP!BC288)</f>
        <v/>
      </c>
      <c r="E284" t="str">
        <f>IF(ISBLANK(JP!BB288),"",JP!BB288)</f>
        <v/>
      </c>
      <c r="F284" t="str">
        <f>IF(ISBLANK(JP!D288),"","x")</f>
        <v/>
      </c>
      <c r="G284" t="str">
        <f>IF(ISBLANK(JP!E288),"","x")</f>
        <v/>
      </c>
      <c r="H284" t="str">
        <f>IF(ISBLANK(JP!F288),"","x")</f>
        <v/>
      </c>
      <c r="I284" t="str">
        <f>IF(ISBLANK(JP!G288),"","x")</f>
        <v/>
      </c>
      <c r="J284" t="str">
        <f>IF(ISBLANK(JP!H288),"","x")</f>
        <v/>
      </c>
      <c r="K284" t="str">
        <f>IF(ISBLANK(JP!I288),"","x")</f>
        <v/>
      </c>
      <c r="L284" t="str">
        <f>IF(ISBLANK(JP!J288),"","x")</f>
        <v/>
      </c>
      <c r="M284" t="str">
        <f>IF(ISBLANK(JP!L288),"","x")</f>
        <v/>
      </c>
      <c r="N284" t="str">
        <f>IF(ISBLANK(JP!M288),"","x")</f>
        <v/>
      </c>
      <c r="O284" t="str">
        <f>IF(ISBLANK(JP!N288),"","x")</f>
        <v/>
      </c>
      <c r="P284" t="str">
        <f>IF(ISBLANK(JP!O288),"","x")</f>
        <v/>
      </c>
      <c r="Q284" t="str">
        <f>IF(ISBLANK(JP!P288),"","x")</f>
        <v/>
      </c>
      <c r="R284" t="str">
        <f>IF(ISBLANK(JP!Q288),"","x")</f>
        <v/>
      </c>
      <c r="S284" t="str">
        <f>IF(ISBLANK(JP!R288),"","x")</f>
        <v/>
      </c>
      <c r="T284" t="str">
        <f>IF(ISBLANK(JP!T288),"","x")</f>
        <v/>
      </c>
      <c r="U284" t="str">
        <f>IF(ISBLANK(JP!U288),"","x")</f>
        <v/>
      </c>
      <c r="V284" t="str">
        <f>IF(ISBLANK(JP!V288),"","x")</f>
        <v/>
      </c>
      <c r="W284" t="str">
        <f>IF(ISBLANK(JP!W288),"","x")</f>
        <v/>
      </c>
      <c r="X284" t="str">
        <f>IF(ISBLANK(JP!X288),"","x")</f>
        <v/>
      </c>
      <c r="Y284" t="str">
        <f>IF(ISBLANK(JP!Y288),"","x")</f>
        <v/>
      </c>
      <c r="Z284" t="str">
        <f>IF(ISBLANK(JP!Z288),"","x")</f>
        <v/>
      </c>
      <c r="AA284" t="str">
        <f>IF(ISBLANK(JP!AB288),"","x")</f>
        <v/>
      </c>
      <c r="AB284" t="str">
        <f>IF(ISBLANK(JP!AC288),"","x")</f>
        <v/>
      </c>
      <c r="AC284" t="str">
        <f>IF(ISBLANK(JP!AD288),"","x")</f>
        <v/>
      </c>
      <c r="AD284" t="str">
        <f>IF(ISBLANK(JP!AE288),"","x")</f>
        <v/>
      </c>
      <c r="AE284" t="str">
        <f>IF(ISBLANK(JP!AF288),"","x")</f>
        <v/>
      </c>
      <c r="AF284" t="str">
        <f>IF(ISBLANK(JP!AG288),"","x")</f>
        <v/>
      </c>
      <c r="AG284" t="str">
        <f>IF(ISBLANK(JP!AH288),"","x")</f>
        <v/>
      </c>
      <c r="AH284" t="str">
        <f>IF(ISBLANK(JP!AJ288),"","x")</f>
        <v/>
      </c>
      <c r="AI284" t="str">
        <f>IF(ISBLANK(JP!AK288),"","x")</f>
        <v/>
      </c>
      <c r="AJ284" t="str">
        <f>IF(ISBLANK(JP!AL288),"","x")</f>
        <v/>
      </c>
      <c r="AK284" t="str">
        <f>IF(ISBLANK(JP!AM288),"","x")</f>
        <v/>
      </c>
      <c r="AL284" t="str">
        <f>IF(ISBLANK(JP!AN288),"","x")</f>
        <v/>
      </c>
      <c r="AM284" t="str">
        <f>IF(ISBLANK(JP!AO288),"","x")</f>
        <v/>
      </c>
      <c r="AN284" t="str">
        <f>IF(ISBLANK(JP!AP288),"","x")</f>
        <v/>
      </c>
      <c r="AO284" t="str">
        <f>IF(ISBLANK(JP!AR288),"","x")</f>
        <v/>
      </c>
      <c r="AP284" t="str">
        <f>IF(ISBLANK(JP!AS288),"","x")</f>
        <v/>
      </c>
      <c r="AQ284" t="str">
        <f>IF(ISBLANK(JP!AT288),"","x")</f>
        <v/>
      </c>
      <c r="AR284" t="str">
        <f>IF(ISBLANK(JP!AU288),"","x")</f>
        <v/>
      </c>
      <c r="AS284" t="str">
        <f>IF(ISBLANK(JP!AV288),"","x")</f>
        <v/>
      </c>
      <c r="AT284" t="str">
        <f>IF(ISBLANK(JP!AW288),"","x")</f>
        <v/>
      </c>
      <c r="AU284" t="str">
        <f>IF(ISBLANK(JP!AX288),"","x")</f>
        <v/>
      </c>
    </row>
    <row r="285" spans="2:47">
      <c r="B285" t="str">
        <f>IF(ISBLANK(JP!AZ289),"",JP!AZ289)</f>
        <v/>
      </c>
      <c r="C285" t="str">
        <f>IF(ISBLANK(JP!BA289),"",JP!BA289)</f>
        <v/>
      </c>
      <c r="D285" t="str">
        <f>IF(ISBLANK(JP!BC289),"",JP!BC289)</f>
        <v/>
      </c>
      <c r="E285" t="str">
        <f>IF(ISBLANK(JP!BB289),"",JP!BB289)</f>
        <v/>
      </c>
      <c r="F285" t="str">
        <f>IF(ISBLANK(JP!D289),"","x")</f>
        <v/>
      </c>
      <c r="G285" t="str">
        <f>IF(ISBLANK(JP!E289),"","x")</f>
        <v/>
      </c>
      <c r="H285" t="str">
        <f>IF(ISBLANK(JP!F289),"","x")</f>
        <v/>
      </c>
      <c r="I285" t="str">
        <f>IF(ISBLANK(JP!G289),"","x")</f>
        <v/>
      </c>
      <c r="J285" t="str">
        <f>IF(ISBLANK(JP!H289),"","x")</f>
        <v/>
      </c>
      <c r="K285" t="str">
        <f>IF(ISBLANK(JP!I289),"","x")</f>
        <v/>
      </c>
      <c r="L285" t="str">
        <f>IF(ISBLANK(JP!J289),"","x")</f>
        <v/>
      </c>
      <c r="M285" t="str">
        <f>IF(ISBLANK(JP!L289),"","x")</f>
        <v/>
      </c>
      <c r="N285" t="str">
        <f>IF(ISBLANK(JP!M289),"","x")</f>
        <v/>
      </c>
      <c r="O285" t="str">
        <f>IF(ISBLANK(JP!N289),"","x")</f>
        <v/>
      </c>
      <c r="P285" t="str">
        <f>IF(ISBLANK(JP!O289),"","x")</f>
        <v/>
      </c>
      <c r="Q285" t="str">
        <f>IF(ISBLANK(JP!P289),"","x")</f>
        <v/>
      </c>
      <c r="R285" t="str">
        <f>IF(ISBLANK(JP!Q289),"","x")</f>
        <v/>
      </c>
      <c r="S285" t="str">
        <f>IF(ISBLANK(JP!R289),"","x")</f>
        <v/>
      </c>
      <c r="T285" t="str">
        <f>IF(ISBLANK(JP!T289),"","x")</f>
        <v/>
      </c>
      <c r="U285" t="str">
        <f>IF(ISBLANK(JP!U289),"","x")</f>
        <v/>
      </c>
      <c r="V285" t="str">
        <f>IF(ISBLANK(JP!V289),"","x")</f>
        <v/>
      </c>
      <c r="W285" t="str">
        <f>IF(ISBLANK(JP!W289),"","x")</f>
        <v/>
      </c>
      <c r="X285" t="str">
        <f>IF(ISBLANK(JP!X289),"","x")</f>
        <v/>
      </c>
      <c r="Y285" t="str">
        <f>IF(ISBLANK(JP!Y289),"","x")</f>
        <v/>
      </c>
      <c r="Z285" t="str">
        <f>IF(ISBLANK(JP!Z289),"","x")</f>
        <v/>
      </c>
      <c r="AA285" t="str">
        <f>IF(ISBLANK(JP!AB289),"","x")</f>
        <v/>
      </c>
      <c r="AB285" t="str">
        <f>IF(ISBLANK(JP!AC289),"","x")</f>
        <v/>
      </c>
      <c r="AC285" t="str">
        <f>IF(ISBLANK(JP!AD289),"","x")</f>
        <v/>
      </c>
      <c r="AD285" t="str">
        <f>IF(ISBLANK(JP!AE289),"","x")</f>
        <v/>
      </c>
      <c r="AE285" t="str">
        <f>IF(ISBLANK(JP!AF289),"","x")</f>
        <v/>
      </c>
      <c r="AF285" t="str">
        <f>IF(ISBLANK(JP!AG289),"","x")</f>
        <v/>
      </c>
      <c r="AG285" t="str">
        <f>IF(ISBLANK(JP!AH289),"","x")</f>
        <v/>
      </c>
      <c r="AH285" t="str">
        <f>IF(ISBLANK(JP!AJ289),"","x")</f>
        <v/>
      </c>
      <c r="AI285" t="str">
        <f>IF(ISBLANK(JP!AK289),"","x")</f>
        <v/>
      </c>
      <c r="AJ285" t="str">
        <f>IF(ISBLANK(JP!AL289),"","x")</f>
        <v/>
      </c>
      <c r="AK285" t="str">
        <f>IF(ISBLANK(JP!AM289),"","x")</f>
        <v/>
      </c>
      <c r="AL285" t="str">
        <f>IF(ISBLANK(JP!AN289),"","x")</f>
        <v/>
      </c>
      <c r="AM285" t="str">
        <f>IF(ISBLANK(JP!AO289),"","x")</f>
        <v/>
      </c>
      <c r="AN285" t="str">
        <f>IF(ISBLANK(JP!AP289),"","x")</f>
        <v/>
      </c>
      <c r="AO285" t="str">
        <f>IF(ISBLANK(JP!AR289),"","x")</f>
        <v/>
      </c>
      <c r="AP285" t="str">
        <f>IF(ISBLANK(JP!AS289),"","x")</f>
        <v/>
      </c>
      <c r="AQ285" t="str">
        <f>IF(ISBLANK(JP!AT289),"","x")</f>
        <v/>
      </c>
      <c r="AR285" t="str">
        <f>IF(ISBLANK(JP!AU289),"","x")</f>
        <v/>
      </c>
      <c r="AS285" t="str">
        <f>IF(ISBLANK(JP!AV289),"","x")</f>
        <v/>
      </c>
      <c r="AT285" t="str">
        <f>IF(ISBLANK(JP!AW289),"","x")</f>
        <v/>
      </c>
      <c r="AU285" t="str">
        <f>IF(ISBLANK(JP!AX289),"","x")</f>
        <v/>
      </c>
    </row>
    <row r="286" spans="2:47">
      <c r="B286" t="str">
        <f>IF(ISBLANK(JP!AZ290),"",JP!AZ290)</f>
        <v/>
      </c>
      <c r="C286" t="str">
        <f>IF(ISBLANK(JP!BA290),"",JP!BA290)</f>
        <v/>
      </c>
      <c r="D286" t="str">
        <f>IF(ISBLANK(JP!BC290),"",JP!BC290)</f>
        <v/>
      </c>
      <c r="E286" t="str">
        <f>IF(ISBLANK(JP!BB290),"",JP!BB290)</f>
        <v/>
      </c>
      <c r="F286" t="str">
        <f>IF(ISBLANK(JP!D290),"","x")</f>
        <v/>
      </c>
      <c r="G286" t="str">
        <f>IF(ISBLANK(JP!E290),"","x")</f>
        <v/>
      </c>
      <c r="H286" t="str">
        <f>IF(ISBLANK(JP!F290),"","x")</f>
        <v/>
      </c>
      <c r="I286" t="str">
        <f>IF(ISBLANK(JP!G290),"","x")</f>
        <v/>
      </c>
      <c r="J286" t="str">
        <f>IF(ISBLANK(JP!H290),"","x")</f>
        <v/>
      </c>
      <c r="K286" t="str">
        <f>IF(ISBLANK(JP!I290),"","x")</f>
        <v/>
      </c>
      <c r="L286" t="str">
        <f>IF(ISBLANK(JP!J290),"","x")</f>
        <v/>
      </c>
      <c r="M286" t="str">
        <f>IF(ISBLANK(JP!L290),"","x")</f>
        <v/>
      </c>
      <c r="N286" t="str">
        <f>IF(ISBLANK(JP!M290),"","x")</f>
        <v/>
      </c>
      <c r="O286" t="str">
        <f>IF(ISBLANK(JP!N290),"","x")</f>
        <v/>
      </c>
      <c r="P286" t="str">
        <f>IF(ISBLANK(JP!O290),"","x")</f>
        <v/>
      </c>
      <c r="Q286" t="str">
        <f>IF(ISBLANK(JP!P290),"","x")</f>
        <v/>
      </c>
      <c r="R286" t="str">
        <f>IF(ISBLANK(JP!Q290),"","x")</f>
        <v/>
      </c>
      <c r="S286" t="str">
        <f>IF(ISBLANK(JP!R290),"","x")</f>
        <v/>
      </c>
      <c r="T286" t="str">
        <f>IF(ISBLANK(JP!T290),"","x")</f>
        <v/>
      </c>
      <c r="U286" t="str">
        <f>IF(ISBLANK(JP!U290),"","x")</f>
        <v/>
      </c>
      <c r="V286" t="str">
        <f>IF(ISBLANK(JP!V290),"","x")</f>
        <v/>
      </c>
      <c r="W286" t="str">
        <f>IF(ISBLANK(JP!W290),"","x")</f>
        <v/>
      </c>
      <c r="X286" t="str">
        <f>IF(ISBLANK(JP!X290),"","x")</f>
        <v/>
      </c>
      <c r="Y286" t="str">
        <f>IF(ISBLANK(JP!Y290),"","x")</f>
        <v/>
      </c>
      <c r="Z286" t="str">
        <f>IF(ISBLANK(JP!Z290),"","x")</f>
        <v/>
      </c>
      <c r="AA286" t="str">
        <f>IF(ISBLANK(JP!AB290),"","x")</f>
        <v/>
      </c>
      <c r="AB286" t="str">
        <f>IF(ISBLANK(JP!AC290),"","x")</f>
        <v/>
      </c>
      <c r="AC286" t="str">
        <f>IF(ISBLANK(JP!AD290),"","x")</f>
        <v/>
      </c>
      <c r="AD286" t="str">
        <f>IF(ISBLANK(JP!AE290),"","x")</f>
        <v/>
      </c>
      <c r="AE286" t="str">
        <f>IF(ISBLANK(JP!AF290),"","x")</f>
        <v/>
      </c>
      <c r="AF286" t="str">
        <f>IF(ISBLANK(JP!AG290),"","x")</f>
        <v/>
      </c>
      <c r="AG286" t="str">
        <f>IF(ISBLANK(JP!AH290),"","x")</f>
        <v/>
      </c>
      <c r="AH286" t="str">
        <f>IF(ISBLANK(JP!AJ290),"","x")</f>
        <v/>
      </c>
      <c r="AI286" t="str">
        <f>IF(ISBLANK(JP!AK290),"","x")</f>
        <v/>
      </c>
      <c r="AJ286" t="str">
        <f>IF(ISBLANK(JP!AL290),"","x")</f>
        <v/>
      </c>
      <c r="AK286" t="str">
        <f>IF(ISBLANK(JP!AM290),"","x")</f>
        <v/>
      </c>
      <c r="AL286" t="str">
        <f>IF(ISBLANK(JP!AN290),"","x")</f>
        <v/>
      </c>
      <c r="AM286" t="str">
        <f>IF(ISBLANK(JP!AO290),"","x")</f>
        <v/>
      </c>
      <c r="AN286" t="str">
        <f>IF(ISBLANK(JP!AP290),"","x")</f>
        <v/>
      </c>
      <c r="AO286" t="str">
        <f>IF(ISBLANK(JP!AR290),"","x")</f>
        <v/>
      </c>
      <c r="AP286" t="str">
        <f>IF(ISBLANK(JP!AS290),"","x")</f>
        <v/>
      </c>
      <c r="AQ286" t="str">
        <f>IF(ISBLANK(JP!AT290),"","x")</f>
        <v/>
      </c>
      <c r="AR286" t="str">
        <f>IF(ISBLANK(JP!AU290),"","x")</f>
        <v/>
      </c>
      <c r="AS286" t="str">
        <f>IF(ISBLANK(JP!AV290),"","x")</f>
        <v/>
      </c>
      <c r="AT286" t="str">
        <f>IF(ISBLANK(JP!AW290),"","x")</f>
        <v/>
      </c>
      <c r="AU286" t="str">
        <f>IF(ISBLANK(JP!AX290),"","x")</f>
        <v/>
      </c>
    </row>
    <row r="287" spans="2:47">
      <c r="B287" t="str">
        <f>IF(ISBLANK(JP!AZ291),"",JP!AZ291)</f>
        <v/>
      </c>
      <c r="C287" t="str">
        <f>IF(ISBLANK(JP!BA291),"",JP!BA291)</f>
        <v/>
      </c>
      <c r="D287" t="str">
        <f>IF(ISBLANK(JP!BC291),"",JP!BC291)</f>
        <v/>
      </c>
      <c r="E287" t="str">
        <f>IF(ISBLANK(JP!BB291),"",JP!BB291)</f>
        <v/>
      </c>
      <c r="F287" t="str">
        <f>IF(ISBLANK(JP!D291),"","x")</f>
        <v/>
      </c>
      <c r="G287" t="str">
        <f>IF(ISBLANK(JP!E291),"","x")</f>
        <v/>
      </c>
      <c r="H287" t="str">
        <f>IF(ISBLANK(JP!F291),"","x")</f>
        <v/>
      </c>
      <c r="I287" t="str">
        <f>IF(ISBLANK(JP!G291),"","x")</f>
        <v/>
      </c>
      <c r="J287" t="str">
        <f>IF(ISBLANK(JP!H291),"","x")</f>
        <v/>
      </c>
      <c r="K287" t="str">
        <f>IF(ISBLANK(JP!I291),"","x")</f>
        <v/>
      </c>
      <c r="L287" t="str">
        <f>IF(ISBLANK(JP!J291),"","x")</f>
        <v/>
      </c>
      <c r="M287" t="str">
        <f>IF(ISBLANK(JP!L291),"","x")</f>
        <v/>
      </c>
      <c r="N287" t="str">
        <f>IF(ISBLANK(JP!M291),"","x")</f>
        <v/>
      </c>
      <c r="O287" t="str">
        <f>IF(ISBLANK(JP!N291),"","x")</f>
        <v/>
      </c>
      <c r="P287" t="str">
        <f>IF(ISBLANK(JP!O291),"","x")</f>
        <v/>
      </c>
      <c r="Q287" t="str">
        <f>IF(ISBLANK(JP!P291),"","x")</f>
        <v/>
      </c>
      <c r="R287" t="str">
        <f>IF(ISBLANK(JP!Q291),"","x")</f>
        <v/>
      </c>
      <c r="S287" t="str">
        <f>IF(ISBLANK(JP!R291),"","x")</f>
        <v/>
      </c>
      <c r="T287" t="str">
        <f>IF(ISBLANK(JP!T291),"","x")</f>
        <v/>
      </c>
      <c r="U287" t="str">
        <f>IF(ISBLANK(JP!U291),"","x")</f>
        <v/>
      </c>
      <c r="V287" t="str">
        <f>IF(ISBLANK(JP!V291),"","x")</f>
        <v/>
      </c>
      <c r="W287" t="str">
        <f>IF(ISBLANK(JP!W291),"","x")</f>
        <v/>
      </c>
      <c r="X287" t="str">
        <f>IF(ISBLANK(JP!X291),"","x")</f>
        <v/>
      </c>
      <c r="Y287" t="str">
        <f>IF(ISBLANK(JP!Y291),"","x")</f>
        <v/>
      </c>
      <c r="Z287" t="str">
        <f>IF(ISBLANK(JP!Z291),"","x")</f>
        <v/>
      </c>
      <c r="AA287" t="str">
        <f>IF(ISBLANK(JP!AB291),"","x")</f>
        <v/>
      </c>
      <c r="AB287" t="str">
        <f>IF(ISBLANK(JP!AC291),"","x")</f>
        <v/>
      </c>
      <c r="AC287" t="str">
        <f>IF(ISBLANK(JP!AD291),"","x")</f>
        <v/>
      </c>
      <c r="AD287" t="str">
        <f>IF(ISBLANK(JP!AE291),"","x")</f>
        <v/>
      </c>
      <c r="AE287" t="str">
        <f>IF(ISBLANK(JP!AF291),"","x")</f>
        <v/>
      </c>
      <c r="AF287" t="str">
        <f>IF(ISBLANK(JP!AG291),"","x")</f>
        <v/>
      </c>
      <c r="AG287" t="str">
        <f>IF(ISBLANK(JP!AH291),"","x")</f>
        <v/>
      </c>
      <c r="AH287" t="str">
        <f>IF(ISBLANK(JP!AJ291),"","x")</f>
        <v/>
      </c>
      <c r="AI287" t="str">
        <f>IF(ISBLANK(JP!AK291),"","x")</f>
        <v/>
      </c>
      <c r="AJ287" t="str">
        <f>IF(ISBLANK(JP!AL291),"","x")</f>
        <v/>
      </c>
      <c r="AK287" t="str">
        <f>IF(ISBLANK(JP!AM291),"","x")</f>
        <v/>
      </c>
      <c r="AL287" t="str">
        <f>IF(ISBLANK(JP!AN291),"","x")</f>
        <v/>
      </c>
      <c r="AM287" t="str">
        <f>IF(ISBLANK(JP!AO291),"","x")</f>
        <v/>
      </c>
      <c r="AN287" t="str">
        <f>IF(ISBLANK(JP!AP291),"","x")</f>
        <v/>
      </c>
      <c r="AO287" t="str">
        <f>IF(ISBLANK(JP!AR291),"","x")</f>
        <v/>
      </c>
      <c r="AP287" t="str">
        <f>IF(ISBLANK(JP!AS291),"","x")</f>
        <v/>
      </c>
      <c r="AQ287" t="str">
        <f>IF(ISBLANK(JP!AT291),"","x")</f>
        <v/>
      </c>
      <c r="AR287" t="str">
        <f>IF(ISBLANK(JP!AU291),"","x")</f>
        <v/>
      </c>
      <c r="AS287" t="str">
        <f>IF(ISBLANK(JP!AV291),"","x")</f>
        <v/>
      </c>
      <c r="AT287" t="str">
        <f>IF(ISBLANK(JP!AW291),"","x")</f>
        <v/>
      </c>
      <c r="AU287" t="str">
        <f>IF(ISBLANK(JP!AX291),"","x")</f>
        <v/>
      </c>
    </row>
    <row r="288" spans="2:47">
      <c r="B288" t="str">
        <f>IF(ISBLANK(JP!AZ292),"",JP!AZ292)</f>
        <v/>
      </c>
      <c r="C288" t="str">
        <f>IF(ISBLANK(JP!BA292),"",JP!BA292)</f>
        <v/>
      </c>
      <c r="D288" t="str">
        <f>IF(ISBLANK(JP!BC292),"",JP!BC292)</f>
        <v/>
      </c>
      <c r="E288" t="str">
        <f>IF(ISBLANK(JP!BB292),"",JP!BB292)</f>
        <v/>
      </c>
      <c r="F288" t="str">
        <f>IF(ISBLANK(JP!D292),"","x")</f>
        <v/>
      </c>
      <c r="G288" t="str">
        <f>IF(ISBLANK(JP!E292),"","x")</f>
        <v/>
      </c>
      <c r="H288" t="str">
        <f>IF(ISBLANK(JP!F292),"","x")</f>
        <v/>
      </c>
      <c r="I288" t="str">
        <f>IF(ISBLANK(JP!G292),"","x")</f>
        <v/>
      </c>
      <c r="J288" t="str">
        <f>IF(ISBLANK(JP!H292),"","x")</f>
        <v/>
      </c>
      <c r="K288" t="str">
        <f>IF(ISBLANK(JP!I292),"","x")</f>
        <v/>
      </c>
      <c r="L288" t="str">
        <f>IF(ISBLANK(JP!J292),"","x")</f>
        <v/>
      </c>
      <c r="M288" t="str">
        <f>IF(ISBLANK(JP!L292),"","x")</f>
        <v/>
      </c>
      <c r="N288" t="str">
        <f>IF(ISBLANK(JP!M292),"","x")</f>
        <v/>
      </c>
      <c r="O288" t="str">
        <f>IF(ISBLANK(JP!N292),"","x")</f>
        <v/>
      </c>
      <c r="P288" t="str">
        <f>IF(ISBLANK(JP!O292),"","x")</f>
        <v/>
      </c>
      <c r="Q288" t="str">
        <f>IF(ISBLANK(JP!P292),"","x")</f>
        <v/>
      </c>
      <c r="R288" t="str">
        <f>IF(ISBLANK(JP!Q292),"","x")</f>
        <v/>
      </c>
      <c r="S288" t="str">
        <f>IF(ISBLANK(JP!R292),"","x")</f>
        <v/>
      </c>
      <c r="T288" t="str">
        <f>IF(ISBLANK(JP!T292),"","x")</f>
        <v/>
      </c>
      <c r="U288" t="str">
        <f>IF(ISBLANK(JP!U292),"","x")</f>
        <v/>
      </c>
      <c r="V288" t="str">
        <f>IF(ISBLANK(JP!V292),"","x")</f>
        <v/>
      </c>
      <c r="W288" t="str">
        <f>IF(ISBLANK(JP!W292),"","x")</f>
        <v/>
      </c>
      <c r="X288" t="str">
        <f>IF(ISBLANK(JP!X292),"","x")</f>
        <v/>
      </c>
      <c r="Y288" t="str">
        <f>IF(ISBLANK(JP!Y292),"","x")</f>
        <v/>
      </c>
      <c r="Z288" t="str">
        <f>IF(ISBLANK(JP!Z292),"","x")</f>
        <v/>
      </c>
      <c r="AA288" t="str">
        <f>IF(ISBLANK(JP!AB292),"","x")</f>
        <v/>
      </c>
      <c r="AB288" t="str">
        <f>IF(ISBLANK(JP!AC292),"","x")</f>
        <v/>
      </c>
      <c r="AC288" t="str">
        <f>IF(ISBLANK(JP!AD292),"","x")</f>
        <v/>
      </c>
      <c r="AD288" t="str">
        <f>IF(ISBLANK(JP!AE292),"","x")</f>
        <v/>
      </c>
      <c r="AE288" t="str">
        <f>IF(ISBLANK(JP!AF292),"","x")</f>
        <v/>
      </c>
      <c r="AF288" t="str">
        <f>IF(ISBLANK(JP!AG292),"","x")</f>
        <v/>
      </c>
      <c r="AG288" t="str">
        <f>IF(ISBLANK(JP!AH292),"","x")</f>
        <v/>
      </c>
      <c r="AH288" t="str">
        <f>IF(ISBLANK(JP!AJ292),"","x")</f>
        <v/>
      </c>
      <c r="AI288" t="str">
        <f>IF(ISBLANK(JP!AK292),"","x")</f>
        <v/>
      </c>
      <c r="AJ288" t="str">
        <f>IF(ISBLANK(JP!AL292),"","x")</f>
        <v/>
      </c>
      <c r="AK288" t="str">
        <f>IF(ISBLANK(JP!AM292),"","x")</f>
        <v/>
      </c>
      <c r="AL288" t="str">
        <f>IF(ISBLANK(JP!AN292),"","x")</f>
        <v/>
      </c>
      <c r="AM288" t="str">
        <f>IF(ISBLANK(JP!AO292),"","x")</f>
        <v/>
      </c>
      <c r="AN288" t="str">
        <f>IF(ISBLANK(JP!AP292),"","x")</f>
        <v/>
      </c>
      <c r="AO288" t="str">
        <f>IF(ISBLANK(JP!AR292),"","x")</f>
        <v/>
      </c>
      <c r="AP288" t="str">
        <f>IF(ISBLANK(JP!AS292),"","x")</f>
        <v/>
      </c>
      <c r="AQ288" t="str">
        <f>IF(ISBLANK(JP!AT292),"","x")</f>
        <v/>
      </c>
      <c r="AR288" t="str">
        <f>IF(ISBLANK(JP!AU292),"","x")</f>
        <v/>
      </c>
      <c r="AS288" t="str">
        <f>IF(ISBLANK(JP!AV292),"","x")</f>
        <v/>
      </c>
      <c r="AT288" t="str">
        <f>IF(ISBLANK(JP!AW292),"","x")</f>
        <v/>
      </c>
      <c r="AU288" t="str">
        <f>IF(ISBLANK(JP!AX292),"","x")</f>
        <v/>
      </c>
    </row>
    <row r="289" spans="2:47">
      <c r="B289" t="str">
        <f>IF(ISBLANK(JP!AZ293),"",JP!AZ293)</f>
        <v/>
      </c>
      <c r="C289" t="str">
        <f>IF(ISBLANK(JP!BA293),"",JP!BA293)</f>
        <v/>
      </c>
      <c r="D289" t="str">
        <f>IF(ISBLANK(JP!BC293),"",JP!BC293)</f>
        <v/>
      </c>
      <c r="E289" t="str">
        <f>IF(ISBLANK(JP!BB293),"",JP!BB293)</f>
        <v/>
      </c>
      <c r="F289" t="str">
        <f>IF(ISBLANK(JP!D293),"","x")</f>
        <v/>
      </c>
      <c r="G289" t="str">
        <f>IF(ISBLANK(JP!E293),"","x")</f>
        <v/>
      </c>
      <c r="H289" t="str">
        <f>IF(ISBLANK(JP!F293),"","x")</f>
        <v/>
      </c>
      <c r="I289" t="str">
        <f>IF(ISBLANK(JP!G293),"","x")</f>
        <v/>
      </c>
      <c r="J289" t="str">
        <f>IF(ISBLANK(JP!H293),"","x")</f>
        <v/>
      </c>
      <c r="K289" t="str">
        <f>IF(ISBLANK(JP!I293),"","x")</f>
        <v/>
      </c>
      <c r="L289" t="str">
        <f>IF(ISBLANK(JP!J293),"","x")</f>
        <v/>
      </c>
      <c r="M289" t="str">
        <f>IF(ISBLANK(JP!L293),"","x")</f>
        <v/>
      </c>
      <c r="N289" t="str">
        <f>IF(ISBLANK(JP!M293),"","x")</f>
        <v/>
      </c>
      <c r="O289" t="str">
        <f>IF(ISBLANK(JP!N293),"","x")</f>
        <v/>
      </c>
      <c r="P289" t="str">
        <f>IF(ISBLANK(JP!O293),"","x")</f>
        <v/>
      </c>
      <c r="Q289" t="str">
        <f>IF(ISBLANK(JP!P293),"","x")</f>
        <v/>
      </c>
      <c r="R289" t="str">
        <f>IF(ISBLANK(JP!Q293),"","x")</f>
        <v/>
      </c>
      <c r="S289" t="str">
        <f>IF(ISBLANK(JP!R293),"","x")</f>
        <v/>
      </c>
      <c r="T289" t="str">
        <f>IF(ISBLANK(JP!T293),"","x")</f>
        <v/>
      </c>
      <c r="U289" t="str">
        <f>IF(ISBLANK(JP!U293),"","x")</f>
        <v/>
      </c>
      <c r="V289" t="str">
        <f>IF(ISBLANK(JP!V293),"","x")</f>
        <v/>
      </c>
      <c r="W289" t="str">
        <f>IF(ISBLANK(JP!W293),"","x")</f>
        <v/>
      </c>
      <c r="X289" t="str">
        <f>IF(ISBLANK(JP!X293),"","x")</f>
        <v/>
      </c>
      <c r="Y289" t="str">
        <f>IF(ISBLANK(JP!Y293),"","x")</f>
        <v/>
      </c>
      <c r="Z289" t="str">
        <f>IF(ISBLANK(JP!Z293),"","x")</f>
        <v/>
      </c>
      <c r="AA289" t="str">
        <f>IF(ISBLANK(JP!AB293),"","x")</f>
        <v/>
      </c>
      <c r="AB289" t="str">
        <f>IF(ISBLANK(JP!AC293),"","x")</f>
        <v/>
      </c>
      <c r="AC289" t="str">
        <f>IF(ISBLANK(JP!AD293),"","x")</f>
        <v/>
      </c>
      <c r="AD289" t="str">
        <f>IF(ISBLANK(JP!AE293),"","x")</f>
        <v/>
      </c>
      <c r="AE289" t="str">
        <f>IF(ISBLANK(JP!AF293),"","x")</f>
        <v/>
      </c>
      <c r="AF289" t="str">
        <f>IF(ISBLANK(JP!AG293),"","x")</f>
        <v/>
      </c>
      <c r="AG289" t="str">
        <f>IF(ISBLANK(JP!AH293),"","x")</f>
        <v/>
      </c>
      <c r="AH289" t="str">
        <f>IF(ISBLANK(JP!AJ293),"","x")</f>
        <v/>
      </c>
      <c r="AI289" t="str">
        <f>IF(ISBLANK(JP!AK293),"","x")</f>
        <v/>
      </c>
      <c r="AJ289" t="str">
        <f>IF(ISBLANK(JP!AL293),"","x")</f>
        <v/>
      </c>
      <c r="AK289" t="str">
        <f>IF(ISBLANK(JP!AM293),"","x")</f>
        <v/>
      </c>
      <c r="AL289" t="str">
        <f>IF(ISBLANK(JP!AN293),"","x")</f>
        <v/>
      </c>
      <c r="AM289" t="str">
        <f>IF(ISBLANK(JP!AO293),"","x")</f>
        <v/>
      </c>
      <c r="AN289" t="str">
        <f>IF(ISBLANK(JP!AP293),"","x")</f>
        <v/>
      </c>
      <c r="AO289" t="str">
        <f>IF(ISBLANK(JP!AR293),"","x")</f>
        <v/>
      </c>
      <c r="AP289" t="str">
        <f>IF(ISBLANK(JP!AS293),"","x")</f>
        <v/>
      </c>
      <c r="AQ289" t="str">
        <f>IF(ISBLANK(JP!AT293),"","x")</f>
        <v/>
      </c>
      <c r="AR289" t="str">
        <f>IF(ISBLANK(JP!AU293),"","x")</f>
        <v/>
      </c>
      <c r="AS289" t="str">
        <f>IF(ISBLANK(JP!AV293),"","x")</f>
        <v/>
      </c>
      <c r="AT289" t="str">
        <f>IF(ISBLANK(JP!AW293),"","x")</f>
        <v/>
      </c>
      <c r="AU289" t="str">
        <f>IF(ISBLANK(JP!AX293),"","x")</f>
        <v/>
      </c>
    </row>
    <row r="290" spans="2:47">
      <c r="B290" t="str">
        <f>IF(ISBLANK(JP!AZ294),"",JP!AZ294)</f>
        <v/>
      </c>
      <c r="C290" t="str">
        <f>IF(ISBLANK(JP!BA294),"",JP!BA294)</f>
        <v/>
      </c>
      <c r="D290" t="str">
        <f>IF(ISBLANK(JP!BC294),"",JP!BC294)</f>
        <v/>
      </c>
      <c r="E290" t="str">
        <f>IF(ISBLANK(JP!BB294),"",JP!BB294)</f>
        <v/>
      </c>
      <c r="F290" t="str">
        <f>IF(ISBLANK(JP!D294),"","x")</f>
        <v/>
      </c>
      <c r="G290" t="str">
        <f>IF(ISBLANK(JP!E294),"","x")</f>
        <v/>
      </c>
      <c r="H290" t="str">
        <f>IF(ISBLANK(JP!F294),"","x")</f>
        <v/>
      </c>
      <c r="I290" t="str">
        <f>IF(ISBLANK(JP!G294),"","x")</f>
        <v/>
      </c>
      <c r="J290" t="str">
        <f>IF(ISBLANK(JP!H294),"","x")</f>
        <v/>
      </c>
      <c r="K290" t="str">
        <f>IF(ISBLANK(JP!I294),"","x")</f>
        <v/>
      </c>
      <c r="L290" t="str">
        <f>IF(ISBLANK(JP!J294),"","x")</f>
        <v/>
      </c>
      <c r="M290" t="str">
        <f>IF(ISBLANK(JP!L294),"","x")</f>
        <v/>
      </c>
      <c r="N290" t="str">
        <f>IF(ISBLANK(JP!M294),"","x")</f>
        <v/>
      </c>
      <c r="O290" t="str">
        <f>IF(ISBLANK(JP!N294),"","x")</f>
        <v/>
      </c>
      <c r="P290" t="str">
        <f>IF(ISBLANK(JP!O294),"","x")</f>
        <v/>
      </c>
      <c r="Q290" t="str">
        <f>IF(ISBLANK(JP!P294),"","x")</f>
        <v/>
      </c>
      <c r="R290" t="str">
        <f>IF(ISBLANK(JP!Q294),"","x")</f>
        <v/>
      </c>
      <c r="S290" t="str">
        <f>IF(ISBLANK(JP!R294),"","x")</f>
        <v/>
      </c>
      <c r="T290" t="str">
        <f>IF(ISBLANK(JP!T294),"","x")</f>
        <v/>
      </c>
      <c r="U290" t="str">
        <f>IF(ISBLANK(JP!U294),"","x")</f>
        <v/>
      </c>
      <c r="V290" t="str">
        <f>IF(ISBLANK(JP!V294),"","x")</f>
        <v/>
      </c>
      <c r="W290" t="str">
        <f>IF(ISBLANK(JP!W294),"","x")</f>
        <v/>
      </c>
      <c r="X290" t="str">
        <f>IF(ISBLANK(JP!X294),"","x")</f>
        <v/>
      </c>
      <c r="Y290" t="str">
        <f>IF(ISBLANK(JP!Y294),"","x")</f>
        <v/>
      </c>
      <c r="Z290" t="str">
        <f>IF(ISBLANK(JP!Z294),"","x")</f>
        <v/>
      </c>
      <c r="AA290" t="str">
        <f>IF(ISBLANK(JP!AB294),"","x")</f>
        <v/>
      </c>
      <c r="AB290" t="str">
        <f>IF(ISBLANK(JP!AC294),"","x")</f>
        <v/>
      </c>
      <c r="AC290" t="str">
        <f>IF(ISBLANK(JP!AD294),"","x")</f>
        <v/>
      </c>
      <c r="AD290" t="str">
        <f>IF(ISBLANK(JP!AE294),"","x")</f>
        <v/>
      </c>
      <c r="AE290" t="str">
        <f>IF(ISBLANK(JP!AF294),"","x")</f>
        <v/>
      </c>
      <c r="AF290" t="str">
        <f>IF(ISBLANK(JP!AG294),"","x")</f>
        <v/>
      </c>
      <c r="AG290" t="str">
        <f>IF(ISBLANK(JP!AH294),"","x")</f>
        <v/>
      </c>
      <c r="AH290" t="str">
        <f>IF(ISBLANK(JP!AJ294),"","x")</f>
        <v/>
      </c>
      <c r="AI290" t="str">
        <f>IF(ISBLANK(JP!AK294),"","x")</f>
        <v/>
      </c>
      <c r="AJ290" t="str">
        <f>IF(ISBLANK(JP!AL294),"","x")</f>
        <v/>
      </c>
      <c r="AK290" t="str">
        <f>IF(ISBLANK(JP!AM294),"","x")</f>
        <v/>
      </c>
      <c r="AL290" t="str">
        <f>IF(ISBLANK(JP!AN294),"","x")</f>
        <v/>
      </c>
      <c r="AM290" t="str">
        <f>IF(ISBLANK(JP!AO294),"","x")</f>
        <v/>
      </c>
      <c r="AN290" t="str">
        <f>IF(ISBLANK(JP!AP294),"","x")</f>
        <v/>
      </c>
      <c r="AO290" t="str">
        <f>IF(ISBLANK(JP!AR294),"","x")</f>
        <v/>
      </c>
      <c r="AP290" t="str">
        <f>IF(ISBLANK(JP!AS294),"","x")</f>
        <v/>
      </c>
      <c r="AQ290" t="str">
        <f>IF(ISBLANK(JP!AT294),"","x")</f>
        <v/>
      </c>
      <c r="AR290" t="str">
        <f>IF(ISBLANK(JP!AU294),"","x")</f>
        <v/>
      </c>
      <c r="AS290" t="str">
        <f>IF(ISBLANK(JP!AV294),"","x")</f>
        <v/>
      </c>
      <c r="AT290" t="str">
        <f>IF(ISBLANK(JP!AW294),"","x")</f>
        <v/>
      </c>
      <c r="AU290" t="str">
        <f>IF(ISBLANK(JP!AX294),"","x")</f>
        <v/>
      </c>
    </row>
    <row r="291" spans="2:47">
      <c r="B291" t="str">
        <f>IF(ISBLANK(JP!AZ295),"",JP!AZ295)</f>
        <v/>
      </c>
      <c r="C291" t="str">
        <f>IF(ISBLANK(JP!BA295),"",JP!BA295)</f>
        <v/>
      </c>
      <c r="D291" t="str">
        <f>IF(ISBLANK(JP!BC295),"",JP!BC295)</f>
        <v/>
      </c>
      <c r="E291" t="str">
        <f>IF(ISBLANK(JP!BB295),"",JP!BB295)</f>
        <v/>
      </c>
      <c r="F291" t="str">
        <f>IF(ISBLANK(JP!D295),"","x")</f>
        <v/>
      </c>
      <c r="G291" t="str">
        <f>IF(ISBLANK(JP!E295),"","x")</f>
        <v/>
      </c>
      <c r="H291" t="str">
        <f>IF(ISBLANK(JP!F295),"","x")</f>
        <v/>
      </c>
      <c r="I291" t="str">
        <f>IF(ISBLANK(JP!G295),"","x")</f>
        <v/>
      </c>
      <c r="J291" t="str">
        <f>IF(ISBLANK(JP!H295),"","x")</f>
        <v/>
      </c>
      <c r="K291" t="str">
        <f>IF(ISBLANK(JP!I295),"","x")</f>
        <v/>
      </c>
      <c r="L291" t="str">
        <f>IF(ISBLANK(JP!J295),"","x")</f>
        <v/>
      </c>
      <c r="M291" t="str">
        <f>IF(ISBLANK(JP!L295),"","x")</f>
        <v/>
      </c>
      <c r="N291" t="str">
        <f>IF(ISBLANK(JP!M295),"","x")</f>
        <v/>
      </c>
      <c r="O291" t="str">
        <f>IF(ISBLANK(JP!N295),"","x")</f>
        <v/>
      </c>
      <c r="P291" t="str">
        <f>IF(ISBLANK(JP!O295),"","x")</f>
        <v/>
      </c>
      <c r="Q291" t="str">
        <f>IF(ISBLANK(JP!P295),"","x")</f>
        <v/>
      </c>
      <c r="R291" t="str">
        <f>IF(ISBLANK(JP!Q295),"","x")</f>
        <v/>
      </c>
      <c r="S291" t="str">
        <f>IF(ISBLANK(JP!R295),"","x")</f>
        <v/>
      </c>
      <c r="T291" t="str">
        <f>IF(ISBLANK(JP!T295),"","x")</f>
        <v/>
      </c>
      <c r="U291" t="str">
        <f>IF(ISBLANK(JP!U295),"","x")</f>
        <v/>
      </c>
      <c r="V291" t="str">
        <f>IF(ISBLANK(JP!V295),"","x")</f>
        <v/>
      </c>
      <c r="W291" t="str">
        <f>IF(ISBLANK(JP!W295),"","x")</f>
        <v/>
      </c>
      <c r="X291" t="str">
        <f>IF(ISBLANK(JP!X295),"","x")</f>
        <v/>
      </c>
      <c r="Y291" t="str">
        <f>IF(ISBLANK(JP!Y295),"","x")</f>
        <v/>
      </c>
      <c r="Z291" t="str">
        <f>IF(ISBLANK(JP!Z295),"","x")</f>
        <v/>
      </c>
      <c r="AA291" t="str">
        <f>IF(ISBLANK(JP!AB295),"","x")</f>
        <v/>
      </c>
      <c r="AB291" t="str">
        <f>IF(ISBLANK(JP!AC295),"","x")</f>
        <v/>
      </c>
      <c r="AC291" t="str">
        <f>IF(ISBLANK(JP!AD295),"","x")</f>
        <v/>
      </c>
      <c r="AD291" t="str">
        <f>IF(ISBLANK(JP!AE295),"","x")</f>
        <v/>
      </c>
      <c r="AE291" t="str">
        <f>IF(ISBLANK(JP!AF295),"","x")</f>
        <v/>
      </c>
      <c r="AF291" t="str">
        <f>IF(ISBLANK(JP!AG295),"","x")</f>
        <v/>
      </c>
      <c r="AG291" t="str">
        <f>IF(ISBLANK(JP!AH295),"","x")</f>
        <v/>
      </c>
      <c r="AH291" t="str">
        <f>IF(ISBLANK(JP!AJ295),"","x")</f>
        <v/>
      </c>
      <c r="AI291" t="str">
        <f>IF(ISBLANK(JP!AK295),"","x")</f>
        <v/>
      </c>
      <c r="AJ291" t="str">
        <f>IF(ISBLANK(JP!AL295),"","x")</f>
        <v/>
      </c>
      <c r="AK291" t="str">
        <f>IF(ISBLANK(JP!AM295),"","x")</f>
        <v/>
      </c>
      <c r="AL291" t="str">
        <f>IF(ISBLANK(JP!AN295),"","x")</f>
        <v/>
      </c>
      <c r="AM291" t="str">
        <f>IF(ISBLANK(JP!AO295),"","x")</f>
        <v/>
      </c>
      <c r="AN291" t="str">
        <f>IF(ISBLANK(JP!AP295),"","x")</f>
        <v/>
      </c>
      <c r="AO291" t="str">
        <f>IF(ISBLANK(JP!AR295),"","x")</f>
        <v/>
      </c>
      <c r="AP291" t="str">
        <f>IF(ISBLANK(JP!AS295),"","x")</f>
        <v/>
      </c>
      <c r="AQ291" t="str">
        <f>IF(ISBLANK(JP!AT295),"","x")</f>
        <v/>
      </c>
      <c r="AR291" t="str">
        <f>IF(ISBLANK(JP!AU295),"","x")</f>
        <v/>
      </c>
      <c r="AS291" t="str">
        <f>IF(ISBLANK(JP!AV295),"","x")</f>
        <v/>
      </c>
      <c r="AT291" t="str">
        <f>IF(ISBLANK(JP!AW295),"","x")</f>
        <v/>
      </c>
      <c r="AU291" t="str">
        <f>IF(ISBLANK(JP!AX295),"","x")</f>
        <v/>
      </c>
    </row>
    <row r="292" spans="2:47">
      <c r="B292" t="str">
        <f>IF(ISBLANK(JP!AZ296),"",JP!AZ296)</f>
        <v/>
      </c>
      <c r="C292" t="str">
        <f>IF(ISBLANK(JP!BA296),"",JP!BA296)</f>
        <v/>
      </c>
      <c r="D292" t="str">
        <f>IF(ISBLANK(JP!BC296),"",JP!BC296)</f>
        <v/>
      </c>
      <c r="E292" t="str">
        <f>IF(ISBLANK(JP!BB296),"",JP!BB296)</f>
        <v/>
      </c>
      <c r="F292" t="str">
        <f>IF(ISBLANK(JP!D296),"","x")</f>
        <v/>
      </c>
      <c r="G292" t="str">
        <f>IF(ISBLANK(JP!E296),"","x")</f>
        <v/>
      </c>
      <c r="H292" t="str">
        <f>IF(ISBLANK(JP!F296),"","x")</f>
        <v/>
      </c>
      <c r="I292" t="str">
        <f>IF(ISBLANK(JP!G296),"","x")</f>
        <v/>
      </c>
      <c r="J292" t="str">
        <f>IF(ISBLANK(JP!H296),"","x")</f>
        <v/>
      </c>
      <c r="K292" t="str">
        <f>IF(ISBLANK(JP!I296),"","x")</f>
        <v/>
      </c>
      <c r="L292" t="str">
        <f>IF(ISBLANK(JP!J296),"","x")</f>
        <v/>
      </c>
      <c r="M292" t="str">
        <f>IF(ISBLANK(JP!L296),"","x")</f>
        <v/>
      </c>
      <c r="N292" t="str">
        <f>IF(ISBLANK(JP!M296),"","x")</f>
        <v/>
      </c>
      <c r="O292" t="str">
        <f>IF(ISBLANK(JP!N296),"","x")</f>
        <v/>
      </c>
      <c r="P292" t="str">
        <f>IF(ISBLANK(JP!O296),"","x")</f>
        <v/>
      </c>
      <c r="Q292" t="str">
        <f>IF(ISBLANK(JP!P296),"","x")</f>
        <v/>
      </c>
      <c r="R292" t="str">
        <f>IF(ISBLANK(JP!Q296),"","x")</f>
        <v/>
      </c>
      <c r="S292" t="str">
        <f>IF(ISBLANK(JP!R296),"","x")</f>
        <v/>
      </c>
      <c r="T292" t="str">
        <f>IF(ISBLANK(JP!T296),"","x")</f>
        <v/>
      </c>
      <c r="U292" t="str">
        <f>IF(ISBLANK(JP!U296),"","x")</f>
        <v/>
      </c>
      <c r="V292" t="str">
        <f>IF(ISBLANK(JP!V296),"","x")</f>
        <v/>
      </c>
      <c r="W292" t="str">
        <f>IF(ISBLANK(JP!W296),"","x")</f>
        <v/>
      </c>
      <c r="X292" t="str">
        <f>IF(ISBLANK(JP!X296),"","x")</f>
        <v/>
      </c>
      <c r="Y292" t="str">
        <f>IF(ISBLANK(JP!Y296),"","x")</f>
        <v/>
      </c>
      <c r="Z292" t="str">
        <f>IF(ISBLANK(JP!Z296),"","x")</f>
        <v/>
      </c>
      <c r="AA292" t="str">
        <f>IF(ISBLANK(JP!AB296),"","x")</f>
        <v/>
      </c>
      <c r="AB292" t="str">
        <f>IF(ISBLANK(JP!AC296),"","x")</f>
        <v/>
      </c>
      <c r="AC292" t="str">
        <f>IF(ISBLANK(JP!AD296),"","x")</f>
        <v/>
      </c>
      <c r="AD292" t="str">
        <f>IF(ISBLANK(JP!AE296),"","x")</f>
        <v/>
      </c>
      <c r="AE292" t="str">
        <f>IF(ISBLANK(JP!AF296),"","x")</f>
        <v/>
      </c>
      <c r="AF292" t="str">
        <f>IF(ISBLANK(JP!AG296),"","x")</f>
        <v/>
      </c>
      <c r="AG292" t="str">
        <f>IF(ISBLANK(JP!AH296),"","x")</f>
        <v/>
      </c>
      <c r="AH292" t="str">
        <f>IF(ISBLANK(JP!AJ296),"","x")</f>
        <v/>
      </c>
      <c r="AI292" t="str">
        <f>IF(ISBLANK(JP!AK296),"","x")</f>
        <v/>
      </c>
      <c r="AJ292" t="str">
        <f>IF(ISBLANK(JP!AL296),"","x")</f>
        <v/>
      </c>
      <c r="AK292" t="str">
        <f>IF(ISBLANK(JP!AM296),"","x")</f>
        <v/>
      </c>
      <c r="AL292" t="str">
        <f>IF(ISBLANK(JP!AN296),"","x")</f>
        <v/>
      </c>
      <c r="AM292" t="str">
        <f>IF(ISBLANK(JP!AO296),"","x")</f>
        <v/>
      </c>
      <c r="AN292" t="str">
        <f>IF(ISBLANK(JP!AP296),"","x")</f>
        <v/>
      </c>
      <c r="AO292" t="str">
        <f>IF(ISBLANK(JP!AR296),"","x")</f>
        <v/>
      </c>
      <c r="AP292" t="str">
        <f>IF(ISBLANK(JP!AS296),"","x")</f>
        <v/>
      </c>
      <c r="AQ292" t="str">
        <f>IF(ISBLANK(JP!AT296),"","x")</f>
        <v/>
      </c>
      <c r="AR292" t="str">
        <f>IF(ISBLANK(JP!AU296),"","x")</f>
        <v/>
      </c>
      <c r="AS292" t="str">
        <f>IF(ISBLANK(JP!AV296),"","x")</f>
        <v/>
      </c>
      <c r="AT292" t="str">
        <f>IF(ISBLANK(JP!AW296),"","x")</f>
        <v/>
      </c>
      <c r="AU292" t="str">
        <f>IF(ISBLANK(JP!AX296),"","x")</f>
        <v/>
      </c>
    </row>
    <row r="293" spans="2:47">
      <c r="B293" t="str">
        <f>IF(ISBLANK(JP!AZ297),"",JP!AZ297)</f>
        <v/>
      </c>
      <c r="C293" t="str">
        <f>IF(ISBLANK(JP!BA297),"",JP!BA297)</f>
        <v/>
      </c>
      <c r="D293" t="str">
        <f>IF(ISBLANK(JP!BC297),"",JP!BC297)</f>
        <v/>
      </c>
      <c r="E293" t="str">
        <f>IF(ISBLANK(JP!BB297),"",JP!BB297)</f>
        <v/>
      </c>
      <c r="F293" t="str">
        <f>IF(ISBLANK(JP!D297),"","x")</f>
        <v/>
      </c>
      <c r="G293" t="str">
        <f>IF(ISBLANK(JP!E297),"","x")</f>
        <v/>
      </c>
      <c r="H293" t="str">
        <f>IF(ISBLANK(JP!F297),"","x")</f>
        <v/>
      </c>
      <c r="I293" t="str">
        <f>IF(ISBLANK(JP!G297),"","x")</f>
        <v/>
      </c>
      <c r="J293" t="str">
        <f>IF(ISBLANK(JP!H297),"","x")</f>
        <v/>
      </c>
      <c r="K293" t="str">
        <f>IF(ISBLANK(JP!I297),"","x")</f>
        <v/>
      </c>
      <c r="L293" t="str">
        <f>IF(ISBLANK(JP!J297),"","x")</f>
        <v/>
      </c>
      <c r="M293" t="str">
        <f>IF(ISBLANK(JP!L297),"","x")</f>
        <v/>
      </c>
      <c r="N293" t="str">
        <f>IF(ISBLANK(JP!M297),"","x")</f>
        <v/>
      </c>
      <c r="O293" t="str">
        <f>IF(ISBLANK(JP!N297),"","x")</f>
        <v/>
      </c>
      <c r="P293" t="str">
        <f>IF(ISBLANK(JP!O297),"","x")</f>
        <v/>
      </c>
      <c r="Q293" t="str">
        <f>IF(ISBLANK(JP!P297),"","x")</f>
        <v/>
      </c>
      <c r="R293" t="str">
        <f>IF(ISBLANK(JP!Q297),"","x")</f>
        <v/>
      </c>
      <c r="S293" t="str">
        <f>IF(ISBLANK(JP!R297),"","x")</f>
        <v/>
      </c>
      <c r="T293" t="str">
        <f>IF(ISBLANK(JP!T297),"","x")</f>
        <v/>
      </c>
      <c r="U293" t="str">
        <f>IF(ISBLANK(JP!U297),"","x")</f>
        <v/>
      </c>
      <c r="V293" t="str">
        <f>IF(ISBLANK(JP!V297),"","x")</f>
        <v/>
      </c>
      <c r="W293" t="str">
        <f>IF(ISBLANK(JP!W297),"","x")</f>
        <v/>
      </c>
      <c r="X293" t="str">
        <f>IF(ISBLANK(JP!X297),"","x")</f>
        <v/>
      </c>
      <c r="Y293" t="str">
        <f>IF(ISBLANK(JP!Y297),"","x")</f>
        <v/>
      </c>
      <c r="Z293" t="str">
        <f>IF(ISBLANK(JP!Z297),"","x")</f>
        <v/>
      </c>
      <c r="AA293" t="str">
        <f>IF(ISBLANK(JP!AB297),"","x")</f>
        <v/>
      </c>
      <c r="AB293" t="str">
        <f>IF(ISBLANK(JP!AC297),"","x")</f>
        <v/>
      </c>
      <c r="AC293" t="str">
        <f>IF(ISBLANK(JP!AD297),"","x")</f>
        <v/>
      </c>
      <c r="AD293" t="str">
        <f>IF(ISBLANK(JP!AE297),"","x")</f>
        <v/>
      </c>
      <c r="AE293" t="str">
        <f>IF(ISBLANK(JP!AF297),"","x")</f>
        <v/>
      </c>
      <c r="AF293" t="str">
        <f>IF(ISBLANK(JP!AG297),"","x")</f>
        <v/>
      </c>
      <c r="AG293" t="str">
        <f>IF(ISBLANK(JP!AH297),"","x")</f>
        <v/>
      </c>
      <c r="AH293" t="str">
        <f>IF(ISBLANK(JP!AJ297),"","x")</f>
        <v/>
      </c>
      <c r="AI293" t="str">
        <f>IF(ISBLANK(JP!AK297),"","x")</f>
        <v/>
      </c>
      <c r="AJ293" t="str">
        <f>IF(ISBLANK(JP!AL297),"","x")</f>
        <v/>
      </c>
      <c r="AK293" t="str">
        <f>IF(ISBLANK(JP!AM297),"","x")</f>
        <v/>
      </c>
      <c r="AL293" t="str">
        <f>IF(ISBLANK(JP!AN297),"","x")</f>
        <v/>
      </c>
      <c r="AM293" t="str">
        <f>IF(ISBLANK(JP!AO297),"","x")</f>
        <v/>
      </c>
      <c r="AN293" t="str">
        <f>IF(ISBLANK(JP!AP297),"","x")</f>
        <v/>
      </c>
      <c r="AO293" t="str">
        <f>IF(ISBLANK(JP!AR297),"","x")</f>
        <v/>
      </c>
      <c r="AP293" t="str">
        <f>IF(ISBLANK(JP!AS297),"","x")</f>
        <v/>
      </c>
      <c r="AQ293" t="str">
        <f>IF(ISBLANK(JP!AT297),"","x")</f>
        <v/>
      </c>
      <c r="AR293" t="str">
        <f>IF(ISBLANK(JP!AU297),"","x")</f>
        <v/>
      </c>
      <c r="AS293" t="str">
        <f>IF(ISBLANK(JP!AV297),"","x")</f>
        <v/>
      </c>
      <c r="AT293" t="str">
        <f>IF(ISBLANK(JP!AW297),"","x")</f>
        <v/>
      </c>
      <c r="AU293" t="str">
        <f>IF(ISBLANK(JP!AX297),"","x")</f>
        <v/>
      </c>
    </row>
    <row r="294" spans="2:47">
      <c r="B294" t="str">
        <f>IF(ISBLANK(JP!AZ298),"",JP!AZ298)</f>
        <v/>
      </c>
      <c r="C294" t="str">
        <f>IF(ISBLANK(JP!BA298),"",JP!BA298)</f>
        <v/>
      </c>
      <c r="D294" t="str">
        <f>IF(ISBLANK(JP!BC298),"",JP!BC298)</f>
        <v/>
      </c>
      <c r="E294" t="str">
        <f>IF(ISBLANK(JP!BB298),"",JP!BB298)</f>
        <v/>
      </c>
      <c r="F294" t="str">
        <f>IF(ISBLANK(JP!D298),"","x")</f>
        <v/>
      </c>
      <c r="G294" t="str">
        <f>IF(ISBLANK(JP!E298),"","x")</f>
        <v/>
      </c>
      <c r="H294" t="str">
        <f>IF(ISBLANK(JP!F298),"","x")</f>
        <v/>
      </c>
      <c r="I294" t="str">
        <f>IF(ISBLANK(JP!G298),"","x")</f>
        <v/>
      </c>
      <c r="J294" t="str">
        <f>IF(ISBLANK(JP!H298),"","x")</f>
        <v/>
      </c>
      <c r="K294" t="str">
        <f>IF(ISBLANK(JP!I298),"","x")</f>
        <v/>
      </c>
      <c r="L294" t="str">
        <f>IF(ISBLANK(JP!J298),"","x")</f>
        <v/>
      </c>
      <c r="M294" t="str">
        <f>IF(ISBLANK(JP!L298),"","x")</f>
        <v/>
      </c>
      <c r="N294" t="str">
        <f>IF(ISBLANK(JP!M298),"","x")</f>
        <v/>
      </c>
      <c r="O294" t="str">
        <f>IF(ISBLANK(JP!N298),"","x")</f>
        <v/>
      </c>
      <c r="P294" t="str">
        <f>IF(ISBLANK(JP!O298),"","x")</f>
        <v/>
      </c>
      <c r="Q294" t="str">
        <f>IF(ISBLANK(JP!P298),"","x")</f>
        <v/>
      </c>
      <c r="R294" t="str">
        <f>IF(ISBLANK(JP!Q298),"","x")</f>
        <v/>
      </c>
      <c r="S294" t="str">
        <f>IF(ISBLANK(JP!R298),"","x")</f>
        <v/>
      </c>
      <c r="T294" t="str">
        <f>IF(ISBLANK(JP!T298),"","x")</f>
        <v/>
      </c>
      <c r="U294" t="str">
        <f>IF(ISBLANK(JP!U298),"","x")</f>
        <v/>
      </c>
      <c r="V294" t="str">
        <f>IF(ISBLANK(JP!V298),"","x")</f>
        <v/>
      </c>
      <c r="W294" t="str">
        <f>IF(ISBLANK(JP!W298),"","x")</f>
        <v/>
      </c>
      <c r="X294" t="str">
        <f>IF(ISBLANK(JP!X298),"","x")</f>
        <v/>
      </c>
      <c r="Y294" t="str">
        <f>IF(ISBLANK(JP!Y298),"","x")</f>
        <v/>
      </c>
      <c r="Z294" t="str">
        <f>IF(ISBLANK(JP!Z298),"","x")</f>
        <v/>
      </c>
      <c r="AA294" t="str">
        <f>IF(ISBLANK(JP!AB298),"","x")</f>
        <v/>
      </c>
      <c r="AB294" t="str">
        <f>IF(ISBLANK(JP!AC298),"","x")</f>
        <v/>
      </c>
      <c r="AC294" t="str">
        <f>IF(ISBLANK(JP!AD298),"","x")</f>
        <v/>
      </c>
      <c r="AD294" t="str">
        <f>IF(ISBLANK(JP!AE298),"","x")</f>
        <v/>
      </c>
      <c r="AE294" t="str">
        <f>IF(ISBLANK(JP!AF298),"","x")</f>
        <v/>
      </c>
      <c r="AF294" t="str">
        <f>IF(ISBLANK(JP!AG298),"","x")</f>
        <v/>
      </c>
      <c r="AG294" t="str">
        <f>IF(ISBLANK(JP!AH298),"","x")</f>
        <v/>
      </c>
      <c r="AH294" t="str">
        <f>IF(ISBLANK(JP!AJ298),"","x")</f>
        <v/>
      </c>
      <c r="AI294" t="str">
        <f>IF(ISBLANK(JP!AK298),"","x")</f>
        <v/>
      </c>
      <c r="AJ294" t="str">
        <f>IF(ISBLANK(JP!AL298),"","x")</f>
        <v/>
      </c>
      <c r="AK294" t="str">
        <f>IF(ISBLANK(JP!AM298),"","x")</f>
        <v/>
      </c>
      <c r="AL294" t="str">
        <f>IF(ISBLANK(JP!AN298),"","x")</f>
        <v/>
      </c>
      <c r="AM294" t="str">
        <f>IF(ISBLANK(JP!AO298),"","x")</f>
        <v/>
      </c>
      <c r="AN294" t="str">
        <f>IF(ISBLANK(JP!AP298),"","x")</f>
        <v/>
      </c>
      <c r="AO294" t="str">
        <f>IF(ISBLANK(JP!AR298),"","x")</f>
        <v/>
      </c>
      <c r="AP294" t="str">
        <f>IF(ISBLANK(JP!AS298),"","x")</f>
        <v/>
      </c>
      <c r="AQ294" t="str">
        <f>IF(ISBLANK(JP!AT298),"","x")</f>
        <v/>
      </c>
      <c r="AR294" t="str">
        <f>IF(ISBLANK(JP!AU298),"","x")</f>
        <v/>
      </c>
      <c r="AS294" t="str">
        <f>IF(ISBLANK(JP!AV298),"","x")</f>
        <v/>
      </c>
      <c r="AT294" t="str">
        <f>IF(ISBLANK(JP!AW298),"","x")</f>
        <v/>
      </c>
      <c r="AU294" t="str">
        <f>IF(ISBLANK(JP!AX298),"","x")</f>
        <v/>
      </c>
    </row>
    <row r="295" spans="2:47">
      <c r="B295" t="str">
        <f>IF(ISBLANK(JP!AZ299),"",JP!AZ299)</f>
        <v/>
      </c>
      <c r="C295" t="str">
        <f>IF(ISBLANK(JP!BA299),"",JP!BA299)</f>
        <v/>
      </c>
      <c r="D295" t="str">
        <f>IF(ISBLANK(JP!BC299),"",JP!BC299)</f>
        <v/>
      </c>
      <c r="E295" t="str">
        <f>IF(ISBLANK(JP!BB299),"",JP!BB299)</f>
        <v/>
      </c>
      <c r="F295" t="str">
        <f>IF(ISBLANK(JP!D299),"","x")</f>
        <v/>
      </c>
      <c r="G295" t="str">
        <f>IF(ISBLANK(JP!E299),"","x")</f>
        <v/>
      </c>
      <c r="H295" t="str">
        <f>IF(ISBLANK(JP!F299),"","x")</f>
        <v/>
      </c>
      <c r="I295" t="str">
        <f>IF(ISBLANK(JP!G299),"","x")</f>
        <v/>
      </c>
      <c r="J295" t="str">
        <f>IF(ISBLANK(JP!H299),"","x")</f>
        <v/>
      </c>
      <c r="K295" t="str">
        <f>IF(ISBLANK(JP!I299),"","x")</f>
        <v/>
      </c>
      <c r="L295" t="str">
        <f>IF(ISBLANK(JP!J299),"","x")</f>
        <v/>
      </c>
      <c r="M295" t="str">
        <f>IF(ISBLANK(JP!L299),"","x")</f>
        <v/>
      </c>
      <c r="N295" t="str">
        <f>IF(ISBLANK(JP!M299),"","x")</f>
        <v/>
      </c>
      <c r="O295" t="str">
        <f>IF(ISBLANK(JP!N299),"","x")</f>
        <v/>
      </c>
      <c r="P295" t="str">
        <f>IF(ISBLANK(JP!O299),"","x")</f>
        <v/>
      </c>
      <c r="Q295" t="str">
        <f>IF(ISBLANK(JP!P299),"","x")</f>
        <v/>
      </c>
      <c r="R295" t="str">
        <f>IF(ISBLANK(JP!Q299),"","x")</f>
        <v/>
      </c>
      <c r="S295" t="str">
        <f>IF(ISBLANK(JP!R299),"","x")</f>
        <v/>
      </c>
      <c r="T295" t="str">
        <f>IF(ISBLANK(JP!T299),"","x")</f>
        <v/>
      </c>
      <c r="U295" t="str">
        <f>IF(ISBLANK(JP!U299),"","x")</f>
        <v/>
      </c>
      <c r="V295" t="str">
        <f>IF(ISBLANK(JP!V299),"","x")</f>
        <v/>
      </c>
      <c r="W295" t="str">
        <f>IF(ISBLANK(JP!W299),"","x")</f>
        <v/>
      </c>
      <c r="X295" t="str">
        <f>IF(ISBLANK(JP!X299),"","x")</f>
        <v/>
      </c>
      <c r="Y295" t="str">
        <f>IF(ISBLANK(JP!Y299),"","x")</f>
        <v/>
      </c>
      <c r="Z295" t="str">
        <f>IF(ISBLANK(JP!Z299),"","x")</f>
        <v/>
      </c>
      <c r="AA295" t="str">
        <f>IF(ISBLANK(JP!AB299),"","x")</f>
        <v/>
      </c>
      <c r="AB295" t="str">
        <f>IF(ISBLANK(JP!AC299),"","x")</f>
        <v/>
      </c>
      <c r="AC295" t="str">
        <f>IF(ISBLANK(JP!AD299),"","x")</f>
        <v/>
      </c>
      <c r="AD295" t="str">
        <f>IF(ISBLANK(JP!AE299),"","x")</f>
        <v/>
      </c>
      <c r="AE295" t="str">
        <f>IF(ISBLANK(JP!AF299),"","x")</f>
        <v/>
      </c>
      <c r="AF295" t="str">
        <f>IF(ISBLANK(JP!AG299),"","x")</f>
        <v/>
      </c>
      <c r="AG295" t="str">
        <f>IF(ISBLANK(JP!AH299),"","x")</f>
        <v/>
      </c>
      <c r="AH295" t="str">
        <f>IF(ISBLANK(JP!AJ299),"","x")</f>
        <v/>
      </c>
      <c r="AI295" t="str">
        <f>IF(ISBLANK(JP!AK299),"","x")</f>
        <v/>
      </c>
      <c r="AJ295" t="str">
        <f>IF(ISBLANK(JP!AL299),"","x")</f>
        <v/>
      </c>
      <c r="AK295" t="str">
        <f>IF(ISBLANK(JP!AM299),"","x")</f>
        <v/>
      </c>
      <c r="AL295" t="str">
        <f>IF(ISBLANK(JP!AN299),"","x")</f>
        <v/>
      </c>
      <c r="AM295" t="str">
        <f>IF(ISBLANK(JP!AO299),"","x")</f>
        <v/>
      </c>
      <c r="AN295" t="str">
        <f>IF(ISBLANK(JP!AP299),"","x")</f>
        <v/>
      </c>
      <c r="AO295" t="str">
        <f>IF(ISBLANK(JP!AR299),"","x")</f>
        <v/>
      </c>
      <c r="AP295" t="str">
        <f>IF(ISBLANK(JP!AS299),"","x")</f>
        <v/>
      </c>
      <c r="AQ295" t="str">
        <f>IF(ISBLANK(JP!AT299),"","x")</f>
        <v/>
      </c>
      <c r="AR295" t="str">
        <f>IF(ISBLANK(JP!AU299),"","x")</f>
        <v/>
      </c>
      <c r="AS295" t="str">
        <f>IF(ISBLANK(JP!AV299),"","x")</f>
        <v/>
      </c>
      <c r="AT295" t="str">
        <f>IF(ISBLANK(JP!AW299),"","x")</f>
        <v/>
      </c>
      <c r="AU295" t="str">
        <f>IF(ISBLANK(JP!AX299),"","x")</f>
        <v/>
      </c>
    </row>
    <row r="296" spans="2:47">
      <c r="B296" t="str">
        <f>IF(ISBLANK(JP!AZ300),"",JP!AZ300)</f>
        <v/>
      </c>
      <c r="C296" t="str">
        <f>IF(ISBLANK(JP!BA300),"",JP!BA300)</f>
        <v/>
      </c>
      <c r="D296" t="str">
        <f>IF(ISBLANK(JP!BC300),"",JP!BC300)</f>
        <v/>
      </c>
      <c r="E296" t="str">
        <f>IF(ISBLANK(JP!BB300),"",JP!BB300)</f>
        <v/>
      </c>
      <c r="F296" t="str">
        <f>IF(ISBLANK(JP!D300),"","x")</f>
        <v/>
      </c>
      <c r="G296" t="str">
        <f>IF(ISBLANK(JP!E300),"","x")</f>
        <v/>
      </c>
      <c r="H296" t="str">
        <f>IF(ISBLANK(JP!F300),"","x")</f>
        <v/>
      </c>
      <c r="I296" t="str">
        <f>IF(ISBLANK(JP!G300),"","x")</f>
        <v/>
      </c>
      <c r="J296" t="str">
        <f>IF(ISBLANK(JP!H300),"","x")</f>
        <v/>
      </c>
      <c r="K296" t="str">
        <f>IF(ISBLANK(JP!I300),"","x")</f>
        <v/>
      </c>
      <c r="L296" t="str">
        <f>IF(ISBLANK(JP!J300),"","x")</f>
        <v/>
      </c>
      <c r="M296" t="str">
        <f>IF(ISBLANK(JP!L300),"","x")</f>
        <v/>
      </c>
      <c r="N296" t="str">
        <f>IF(ISBLANK(JP!M300),"","x")</f>
        <v/>
      </c>
      <c r="O296" t="str">
        <f>IF(ISBLANK(JP!N300),"","x")</f>
        <v/>
      </c>
      <c r="P296" t="str">
        <f>IF(ISBLANK(JP!O300),"","x")</f>
        <v/>
      </c>
      <c r="Q296" t="str">
        <f>IF(ISBLANK(JP!P300),"","x")</f>
        <v/>
      </c>
      <c r="R296" t="str">
        <f>IF(ISBLANK(JP!Q300),"","x")</f>
        <v/>
      </c>
      <c r="S296" t="str">
        <f>IF(ISBLANK(JP!R300),"","x")</f>
        <v/>
      </c>
      <c r="T296" t="str">
        <f>IF(ISBLANK(JP!T300),"","x")</f>
        <v/>
      </c>
      <c r="U296" t="str">
        <f>IF(ISBLANK(JP!U300),"","x")</f>
        <v/>
      </c>
      <c r="V296" t="str">
        <f>IF(ISBLANK(JP!V300),"","x")</f>
        <v/>
      </c>
      <c r="W296" t="str">
        <f>IF(ISBLANK(JP!W300),"","x")</f>
        <v/>
      </c>
      <c r="X296" t="str">
        <f>IF(ISBLANK(JP!X300),"","x")</f>
        <v/>
      </c>
      <c r="Y296" t="str">
        <f>IF(ISBLANK(JP!Y300),"","x")</f>
        <v/>
      </c>
      <c r="Z296" t="str">
        <f>IF(ISBLANK(JP!Z300),"","x")</f>
        <v/>
      </c>
      <c r="AA296" t="str">
        <f>IF(ISBLANK(JP!AB300),"","x")</f>
        <v/>
      </c>
      <c r="AB296" t="str">
        <f>IF(ISBLANK(JP!AC300),"","x")</f>
        <v/>
      </c>
      <c r="AC296" t="str">
        <f>IF(ISBLANK(JP!AD300),"","x")</f>
        <v/>
      </c>
      <c r="AD296" t="str">
        <f>IF(ISBLANK(JP!AE300),"","x")</f>
        <v/>
      </c>
      <c r="AE296" t="str">
        <f>IF(ISBLANK(JP!AF300),"","x")</f>
        <v/>
      </c>
      <c r="AF296" t="str">
        <f>IF(ISBLANK(JP!AG300),"","x")</f>
        <v/>
      </c>
      <c r="AG296" t="str">
        <f>IF(ISBLANK(JP!AH300),"","x")</f>
        <v/>
      </c>
      <c r="AH296" t="str">
        <f>IF(ISBLANK(JP!AJ300),"","x")</f>
        <v/>
      </c>
      <c r="AI296" t="str">
        <f>IF(ISBLANK(JP!AK300),"","x")</f>
        <v/>
      </c>
      <c r="AJ296" t="str">
        <f>IF(ISBLANK(JP!AL300),"","x")</f>
        <v/>
      </c>
      <c r="AK296" t="str">
        <f>IF(ISBLANK(JP!AM300),"","x")</f>
        <v/>
      </c>
      <c r="AL296" t="str">
        <f>IF(ISBLANK(JP!AN300),"","x")</f>
        <v/>
      </c>
      <c r="AM296" t="str">
        <f>IF(ISBLANK(JP!AO300),"","x")</f>
        <v/>
      </c>
      <c r="AN296" t="str">
        <f>IF(ISBLANK(JP!AP300),"","x")</f>
        <v/>
      </c>
      <c r="AO296" t="str">
        <f>IF(ISBLANK(JP!AR300),"","x")</f>
        <v/>
      </c>
      <c r="AP296" t="str">
        <f>IF(ISBLANK(JP!AS300),"","x")</f>
        <v/>
      </c>
      <c r="AQ296" t="str">
        <f>IF(ISBLANK(JP!AT300),"","x")</f>
        <v/>
      </c>
      <c r="AR296" t="str">
        <f>IF(ISBLANK(JP!AU300),"","x")</f>
        <v/>
      </c>
      <c r="AS296" t="str">
        <f>IF(ISBLANK(JP!AV300),"","x")</f>
        <v/>
      </c>
      <c r="AT296" t="str">
        <f>IF(ISBLANK(JP!AW300),"","x")</f>
        <v/>
      </c>
      <c r="AU296" t="str">
        <f>IF(ISBLANK(JP!AX300),"","x")</f>
        <v/>
      </c>
    </row>
    <row r="297" spans="2:47">
      <c r="B297" t="str">
        <f>IF(ISBLANK(JP!AZ301),"",JP!AZ301)</f>
        <v/>
      </c>
      <c r="C297" t="str">
        <f>IF(ISBLANK(JP!BA301),"",JP!BA301)</f>
        <v/>
      </c>
      <c r="D297" t="str">
        <f>IF(ISBLANK(JP!BC301),"",JP!BC301)</f>
        <v/>
      </c>
      <c r="E297" t="str">
        <f>IF(ISBLANK(JP!BB301),"",JP!BB301)</f>
        <v/>
      </c>
      <c r="F297" t="str">
        <f>IF(ISBLANK(JP!D301),"","x")</f>
        <v/>
      </c>
      <c r="G297" t="str">
        <f>IF(ISBLANK(JP!E301),"","x")</f>
        <v/>
      </c>
      <c r="H297" t="str">
        <f>IF(ISBLANK(JP!F301),"","x")</f>
        <v/>
      </c>
      <c r="I297" t="str">
        <f>IF(ISBLANK(JP!G301),"","x")</f>
        <v/>
      </c>
      <c r="J297" t="str">
        <f>IF(ISBLANK(JP!H301),"","x")</f>
        <v/>
      </c>
      <c r="K297" t="str">
        <f>IF(ISBLANK(JP!I301),"","x")</f>
        <v/>
      </c>
      <c r="L297" t="str">
        <f>IF(ISBLANK(JP!J301),"","x")</f>
        <v/>
      </c>
      <c r="M297" t="str">
        <f>IF(ISBLANK(JP!L301),"","x")</f>
        <v/>
      </c>
      <c r="N297" t="str">
        <f>IF(ISBLANK(JP!M301),"","x")</f>
        <v/>
      </c>
      <c r="O297" t="str">
        <f>IF(ISBLANK(JP!N301),"","x")</f>
        <v/>
      </c>
      <c r="P297" t="str">
        <f>IF(ISBLANK(JP!O301),"","x")</f>
        <v/>
      </c>
      <c r="Q297" t="str">
        <f>IF(ISBLANK(JP!P301),"","x")</f>
        <v/>
      </c>
      <c r="R297" t="str">
        <f>IF(ISBLANK(JP!Q301),"","x")</f>
        <v/>
      </c>
      <c r="S297" t="str">
        <f>IF(ISBLANK(JP!R301),"","x")</f>
        <v/>
      </c>
      <c r="T297" t="str">
        <f>IF(ISBLANK(JP!T301),"","x")</f>
        <v/>
      </c>
      <c r="U297" t="str">
        <f>IF(ISBLANK(JP!U301),"","x")</f>
        <v/>
      </c>
      <c r="V297" t="str">
        <f>IF(ISBLANK(JP!V301),"","x")</f>
        <v/>
      </c>
      <c r="W297" t="str">
        <f>IF(ISBLANK(JP!W301),"","x")</f>
        <v/>
      </c>
      <c r="X297" t="str">
        <f>IF(ISBLANK(JP!X301),"","x")</f>
        <v/>
      </c>
      <c r="Y297" t="str">
        <f>IF(ISBLANK(JP!Y301),"","x")</f>
        <v/>
      </c>
      <c r="Z297" t="str">
        <f>IF(ISBLANK(JP!Z301),"","x")</f>
        <v/>
      </c>
      <c r="AA297" t="str">
        <f>IF(ISBLANK(JP!AB301),"","x")</f>
        <v/>
      </c>
      <c r="AB297" t="str">
        <f>IF(ISBLANK(JP!AC301),"","x")</f>
        <v/>
      </c>
      <c r="AC297" t="str">
        <f>IF(ISBLANK(JP!AD301),"","x")</f>
        <v/>
      </c>
      <c r="AD297" t="str">
        <f>IF(ISBLANK(JP!AE301),"","x")</f>
        <v/>
      </c>
      <c r="AE297" t="str">
        <f>IF(ISBLANK(JP!AF301),"","x")</f>
        <v/>
      </c>
      <c r="AF297" t="str">
        <f>IF(ISBLANK(JP!AG301),"","x")</f>
        <v/>
      </c>
      <c r="AG297" t="str">
        <f>IF(ISBLANK(JP!AH301),"","x")</f>
        <v/>
      </c>
      <c r="AH297" t="str">
        <f>IF(ISBLANK(JP!AJ301),"","x")</f>
        <v/>
      </c>
      <c r="AI297" t="str">
        <f>IF(ISBLANK(JP!AK301),"","x")</f>
        <v/>
      </c>
      <c r="AJ297" t="str">
        <f>IF(ISBLANK(JP!AL301),"","x")</f>
        <v/>
      </c>
      <c r="AK297" t="str">
        <f>IF(ISBLANK(JP!AM301),"","x")</f>
        <v/>
      </c>
      <c r="AL297" t="str">
        <f>IF(ISBLANK(JP!AN301),"","x")</f>
        <v/>
      </c>
      <c r="AM297" t="str">
        <f>IF(ISBLANK(JP!AO301),"","x")</f>
        <v/>
      </c>
      <c r="AN297" t="str">
        <f>IF(ISBLANK(JP!AP301),"","x")</f>
        <v/>
      </c>
      <c r="AO297" t="str">
        <f>IF(ISBLANK(JP!AR301),"","x")</f>
        <v/>
      </c>
      <c r="AP297" t="str">
        <f>IF(ISBLANK(JP!AS301),"","x")</f>
        <v/>
      </c>
      <c r="AQ297" t="str">
        <f>IF(ISBLANK(JP!AT301),"","x")</f>
        <v/>
      </c>
      <c r="AR297" t="str">
        <f>IF(ISBLANK(JP!AU301),"","x")</f>
        <v/>
      </c>
      <c r="AS297" t="str">
        <f>IF(ISBLANK(JP!AV301),"","x")</f>
        <v/>
      </c>
      <c r="AT297" t="str">
        <f>IF(ISBLANK(JP!AW301),"","x")</f>
        <v/>
      </c>
      <c r="AU297" t="str">
        <f>IF(ISBLANK(JP!AX301),"","x")</f>
        <v/>
      </c>
    </row>
    <row r="298" spans="2:47">
      <c r="B298" t="str">
        <f>IF(ISBLANK(JP!AZ302),"",JP!AZ302)</f>
        <v/>
      </c>
      <c r="C298" t="str">
        <f>IF(ISBLANK(JP!BA302),"",JP!BA302)</f>
        <v/>
      </c>
      <c r="D298" t="str">
        <f>IF(ISBLANK(JP!BC302),"",JP!BC302)</f>
        <v/>
      </c>
      <c r="E298" t="str">
        <f>IF(ISBLANK(JP!BB302),"",JP!BB302)</f>
        <v/>
      </c>
      <c r="F298" t="str">
        <f>IF(ISBLANK(JP!D302),"","x")</f>
        <v/>
      </c>
      <c r="G298" t="str">
        <f>IF(ISBLANK(JP!E302),"","x")</f>
        <v/>
      </c>
      <c r="H298" t="str">
        <f>IF(ISBLANK(JP!F302),"","x")</f>
        <v/>
      </c>
      <c r="I298" t="str">
        <f>IF(ISBLANK(JP!G302),"","x")</f>
        <v/>
      </c>
      <c r="J298" t="str">
        <f>IF(ISBLANK(JP!H302),"","x")</f>
        <v/>
      </c>
      <c r="K298" t="str">
        <f>IF(ISBLANK(JP!I302),"","x")</f>
        <v/>
      </c>
      <c r="L298" t="str">
        <f>IF(ISBLANK(JP!J302),"","x")</f>
        <v/>
      </c>
      <c r="M298" t="str">
        <f>IF(ISBLANK(JP!L302),"","x")</f>
        <v/>
      </c>
      <c r="N298" t="str">
        <f>IF(ISBLANK(JP!M302),"","x")</f>
        <v/>
      </c>
      <c r="O298" t="str">
        <f>IF(ISBLANK(JP!N302),"","x")</f>
        <v/>
      </c>
      <c r="P298" t="str">
        <f>IF(ISBLANK(JP!O302),"","x")</f>
        <v/>
      </c>
      <c r="Q298" t="str">
        <f>IF(ISBLANK(JP!P302),"","x")</f>
        <v/>
      </c>
      <c r="R298" t="str">
        <f>IF(ISBLANK(JP!Q302),"","x")</f>
        <v/>
      </c>
      <c r="S298" t="str">
        <f>IF(ISBLANK(JP!R302),"","x")</f>
        <v/>
      </c>
      <c r="T298" t="str">
        <f>IF(ISBLANK(JP!T302),"","x")</f>
        <v/>
      </c>
      <c r="U298" t="str">
        <f>IF(ISBLANK(JP!U302),"","x")</f>
        <v/>
      </c>
      <c r="V298" t="str">
        <f>IF(ISBLANK(JP!V302),"","x")</f>
        <v/>
      </c>
      <c r="W298" t="str">
        <f>IF(ISBLANK(JP!W302),"","x")</f>
        <v/>
      </c>
      <c r="X298" t="str">
        <f>IF(ISBLANK(JP!X302),"","x")</f>
        <v/>
      </c>
      <c r="Y298" t="str">
        <f>IF(ISBLANK(JP!Y302),"","x")</f>
        <v/>
      </c>
      <c r="Z298" t="str">
        <f>IF(ISBLANK(JP!Z302),"","x")</f>
        <v/>
      </c>
      <c r="AA298" t="str">
        <f>IF(ISBLANK(JP!AB302),"","x")</f>
        <v/>
      </c>
      <c r="AB298" t="str">
        <f>IF(ISBLANK(JP!AC302),"","x")</f>
        <v/>
      </c>
      <c r="AC298" t="str">
        <f>IF(ISBLANK(JP!AD302),"","x")</f>
        <v/>
      </c>
      <c r="AD298" t="str">
        <f>IF(ISBLANK(JP!AE302),"","x")</f>
        <v/>
      </c>
      <c r="AE298" t="str">
        <f>IF(ISBLANK(JP!AF302),"","x")</f>
        <v/>
      </c>
      <c r="AF298" t="str">
        <f>IF(ISBLANK(JP!AG302),"","x")</f>
        <v/>
      </c>
      <c r="AG298" t="str">
        <f>IF(ISBLANK(JP!AH302),"","x")</f>
        <v/>
      </c>
      <c r="AH298" t="str">
        <f>IF(ISBLANK(JP!AJ302),"","x")</f>
        <v/>
      </c>
      <c r="AI298" t="str">
        <f>IF(ISBLANK(JP!AK302),"","x")</f>
        <v/>
      </c>
      <c r="AJ298" t="str">
        <f>IF(ISBLANK(JP!AL302),"","x")</f>
        <v/>
      </c>
      <c r="AK298" t="str">
        <f>IF(ISBLANK(JP!AM302),"","x")</f>
        <v/>
      </c>
      <c r="AL298" t="str">
        <f>IF(ISBLANK(JP!AN302),"","x")</f>
        <v/>
      </c>
      <c r="AM298" t="str">
        <f>IF(ISBLANK(JP!AO302),"","x")</f>
        <v/>
      </c>
      <c r="AN298" t="str">
        <f>IF(ISBLANK(JP!AP302),"","x")</f>
        <v/>
      </c>
      <c r="AO298" t="str">
        <f>IF(ISBLANK(JP!AR302),"","x")</f>
        <v/>
      </c>
      <c r="AP298" t="str">
        <f>IF(ISBLANK(JP!AS302),"","x")</f>
        <v/>
      </c>
      <c r="AQ298" t="str">
        <f>IF(ISBLANK(JP!AT302),"","x")</f>
        <v/>
      </c>
      <c r="AR298" t="str">
        <f>IF(ISBLANK(JP!AU302),"","x")</f>
        <v/>
      </c>
      <c r="AS298" t="str">
        <f>IF(ISBLANK(JP!AV302),"","x")</f>
        <v/>
      </c>
      <c r="AT298" t="str">
        <f>IF(ISBLANK(JP!AW302),"","x")</f>
        <v/>
      </c>
      <c r="AU298" t="str">
        <f>IF(ISBLANK(JP!AX302),"","x")</f>
        <v/>
      </c>
    </row>
    <row r="299" spans="2:47">
      <c r="B299" t="str">
        <f>IF(ISBLANK(JP!AZ303),"",JP!AZ303)</f>
        <v/>
      </c>
      <c r="C299" t="str">
        <f>IF(ISBLANK(JP!BA303),"",JP!BA303)</f>
        <v/>
      </c>
      <c r="D299" t="str">
        <f>IF(ISBLANK(JP!BC303),"",JP!BC303)</f>
        <v/>
      </c>
      <c r="E299" t="str">
        <f>IF(ISBLANK(JP!BB303),"",JP!BB303)</f>
        <v/>
      </c>
      <c r="F299" t="str">
        <f>IF(ISBLANK(JP!D303),"","x")</f>
        <v/>
      </c>
      <c r="G299" t="str">
        <f>IF(ISBLANK(JP!E303),"","x")</f>
        <v/>
      </c>
      <c r="H299" t="str">
        <f>IF(ISBLANK(JP!F303),"","x")</f>
        <v/>
      </c>
      <c r="I299" t="str">
        <f>IF(ISBLANK(JP!G303),"","x")</f>
        <v/>
      </c>
      <c r="J299" t="str">
        <f>IF(ISBLANK(JP!H303),"","x")</f>
        <v/>
      </c>
      <c r="K299" t="str">
        <f>IF(ISBLANK(JP!I303),"","x")</f>
        <v/>
      </c>
      <c r="L299" t="str">
        <f>IF(ISBLANK(JP!J303),"","x")</f>
        <v/>
      </c>
      <c r="M299" t="str">
        <f>IF(ISBLANK(JP!L303),"","x")</f>
        <v/>
      </c>
      <c r="N299" t="str">
        <f>IF(ISBLANK(JP!M303),"","x")</f>
        <v/>
      </c>
      <c r="O299" t="str">
        <f>IF(ISBLANK(JP!N303),"","x")</f>
        <v/>
      </c>
      <c r="P299" t="str">
        <f>IF(ISBLANK(JP!O303),"","x")</f>
        <v/>
      </c>
      <c r="Q299" t="str">
        <f>IF(ISBLANK(JP!P303),"","x")</f>
        <v/>
      </c>
      <c r="R299" t="str">
        <f>IF(ISBLANK(JP!Q303),"","x")</f>
        <v/>
      </c>
      <c r="S299" t="str">
        <f>IF(ISBLANK(JP!R303),"","x")</f>
        <v/>
      </c>
      <c r="T299" t="str">
        <f>IF(ISBLANK(JP!T303),"","x")</f>
        <v/>
      </c>
      <c r="U299" t="str">
        <f>IF(ISBLANK(JP!U303),"","x")</f>
        <v/>
      </c>
      <c r="V299" t="str">
        <f>IF(ISBLANK(JP!V303),"","x")</f>
        <v/>
      </c>
      <c r="W299" t="str">
        <f>IF(ISBLANK(JP!W303),"","x")</f>
        <v/>
      </c>
      <c r="X299" t="str">
        <f>IF(ISBLANK(JP!X303),"","x")</f>
        <v/>
      </c>
      <c r="Y299" t="str">
        <f>IF(ISBLANK(JP!Y303),"","x")</f>
        <v/>
      </c>
      <c r="Z299" t="str">
        <f>IF(ISBLANK(JP!Z303),"","x")</f>
        <v/>
      </c>
      <c r="AA299" t="str">
        <f>IF(ISBLANK(JP!AB303),"","x")</f>
        <v/>
      </c>
      <c r="AB299" t="str">
        <f>IF(ISBLANK(JP!AC303),"","x")</f>
        <v/>
      </c>
      <c r="AC299" t="str">
        <f>IF(ISBLANK(JP!AD303),"","x")</f>
        <v/>
      </c>
      <c r="AD299" t="str">
        <f>IF(ISBLANK(JP!AE303),"","x")</f>
        <v/>
      </c>
      <c r="AE299" t="str">
        <f>IF(ISBLANK(JP!AF303),"","x")</f>
        <v/>
      </c>
      <c r="AF299" t="str">
        <f>IF(ISBLANK(JP!AG303),"","x")</f>
        <v/>
      </c>
      <c r="AG299" t="str">
        <f>IF(ISBLANK(JP!AH303),"","x")</f>
        <v/>
      </c>
      <c r="AH299" t="str">
        <f>IF(ISBLANK(JP!AJ303),"","x")</f>
        <v/>
      </c>
      <c r="AI299" t="str">
        <f>IF(ISBLANK(JP!AK303),"","x")</f>
        <v/>
      </c>
      <c r="AJ299" t="str">
        <f>IF(ISBLANK(JP!AL303),"","x")</f>
        <v/>
      </c>
      <c r="AK299" t="str">
        <f>IF(ISBLANK(JP!AM303),"","x")</f>
        <v/>
      </c>
      <c r="AL299" t="str">
        <f>IF(ISBLANK(JP!AN303),"","x")</f>
        <v/>
      </c>
      <c r="AM299" t="str">
        <f>IF(ISBLANK(JP!AO303),"","x")</f>
        <v/>
      </c>
      <c r="AN299" t="str">
        <f>IF(ISBLANK(JP!AP303),"","x")</f>
        <v/>
      </c>
      <c r="AO299" t="str">
        <f>IF(ISBLANK(JP!AR303),"","x")</f>
        <v/>
      </c>
      <c r="AP299" t="str">
        <f>IF(ISBLANK(JP!AS303),"","x")</f>
        <v/>
      </c>
      <c r="AQ299" t="str">
        <f>IF(ISBLANK(JP!AT303),"","x")</f>
        <v/>
      </c>
      <c r="AR299" t="str">
        <f>IF(ISBLANK(JP!AU303),"","x")</f>
        <v/>
      </c>
      <c r="AS299" t="str">
        <f>IF(ISBLANK(JP!AV303),"","x")</f>
        <v/>
      </c>
      <c r="AT299" t="str">
        <f>IF(ISBLANK(JP!AW303),"","x")</f>
        <v/>
      </c>
      <c r="AU299" t="str">
        <f>IF(ISBLANK(JP!AX303),"","x")</f>
        <v/>
      </c>
    </row>
    <row r="300" spans="2:47">
      <c r="B300" t="str">
        <f>IF(ISBLANK(JP!AZ304),"",JP!AZ304)</f>
        <v/>
      </c>
      <c r="C300" t="str">
        <f>IF(ISBLANK(JP!BA304),"",JP!BA304)</f>
        <v/>
      </c>
      <c r="D300" t="str">
        <f>IF(ISBLANK(JP!BC304),"",JP!BC304)</f>
        <v/>
      </c>
      <c r="E300" t="str">
        <f>IF(ISBLANK(JP!BB304),"",JP!BB304)</f>
        <v/>
      </c>
      <c r="F300" t="str">
        <f>IF(ISBLANK(JP!D304),"","x")</f>
        <v/>
      </c>
      <c r="G300" t="str">
        <f>IF(ISBLANK(JP!E304),"","x")</f>
        <v/>
      </c>
      <c r="H300" t="str">
        <f>IF(ISBLANK(JP!F304),"","x")</f>
        <v/>
      </c>
      <c r="I300" t="str">
        <f>IF(ISBLANK(JP!G304),"","x")</f>
        <v/>
      </c>
      <c r="J300" t="str">
        <f>IF(ISBLANK(JP!H304),"","x")</f>
        <v/>
      </c>
      <c r="K300" t="str">
        <f>IF(ISBLANK(JP!I304),"","x")</f>
        <v/>
      </c>
      <c r="L300" t="str">
        <f>IF(ISBLANK(JP!J304),"","x")</f>
        <v/>
      </c>
      <c r="M300" t="str">
        <f>IF(ISBLANK(JP!L304),"","x")</f>
        <v/>
      </c>
      <c r="N300" t="str">
        <f>IF(ISBLANK(JP!M304),"","x")</f>
        <v/>
      </c>
      <c r="O300" t="str">
        <f>IF(ISBLANK(JP!N304),"","x")</f>
        <v/>
      </c>
      <c r="P300" t="str">
        <f>IF(ISBLANK(JP!O304),"","x")</f>
        <v/>
      </c>
      <c r="Q300" t="str">
        <f>IF(ISBLANK(JP!P304),"","x")</f>
        <v/>
      </c>
      <c r="R300" t="str">
        <f>IF(ISBLANK(JP!Q304),"","x")</f>
        <v/>
      </c>
      <c r="S300" t="str">
        <f>IF(ISBLANK(JP!R304),"","x")</f>
        <v/>
      </c>
      <c r="T300" t="str">
        <f>IF(ISBLANK(JP!T304),"","x")</f>
        <v/>
      </c>
      <c r="U300" t="str">
        <f>IF(ISBLANK(JP!U304),"","x")</f>
        <v/>
      </c>
      <c r="V300" t="str">
        <f>IF(ISBLANK(JP!V304),"","x")</f>
        <v/>
      </c>
      <c r="W300" t="str">
        <f>IF(ISBLANK(JP!W304),"","x")</f>
        <v/>
      </c>
      <c r="X300" t="str">
        <f>IF(ISBLANK(JP!X304),"","x")</f>
        <v/>
      </c>
      <c r="Y300" t="str">
        <f>IF(ISBLANK(JP!Y304),"","x")</f>
        <v/>
      </c>
      <c r="Z300" t="str">
        <f>IF(ISBLANK(JP!Z304),"","x")</f>
        <v/>
      </c>
      <c r="AA300" t="str">
        <f>IF(ISBLANK(JP!AB304),"","x")</f>
        <v/>
      </c>
      <c r="AB300" t="str">
        <f>IF(ISBLANK(JP!AC304),"","x")</f>
        <v/>
      </c>
      <c r="AC300" t="str">
        <f>IF(ISBLANK(JP!AD304),"","x")</f>
        <v/>
      </c>
      <c r="AD300" t="str">
        <f>IF(ISBLANK(JP!AE304),"","x")</f>
        <v/>
      </c>
      <c r="AE300" t="str">
        <f>IF(ISBLANK(JP!AF304),"","x")</f>
        <v/>
      </c>
      <c r="AF300" t="str">
        <f>IF(ISBLANK(JP!AG304),"","x")</f>
        <v/>
      </c>
      <c r="AG300" t="str">
        <f>IF(ISBLANK(JP!AH304),"","x")</f>
        <v/>
      </c>
      <c r="AH300" t="str">
        <f>IF(ISBLANK(JP!AJ304),"","x")</f>
        <v/>
      </c>
      <c r="AI300" t="str">
        <f>IF(ISBLANK(JP!AK304),"","x")</f>
        <v/>
      </c>
      <c r="AJ300" t="str">
        <f>IF(ISBLANK(JP!AL304),"","x")</f>
        <v/>
      </c>
      <c r="AK300" t="str">
        <f>IF(ISBLANK(JP!AM304),"","x")</f>
        <v/>
      </c>
      <c r="AL300" t="str">
        <f>IF(ISBLANK(JP!AN304),"","x")</f>
        <v/>
      </c>
      <c r="AM300" t="str">
        <f>IF(ISBLANK(JP!AO304),"","x")</f>
        <v/>
      </c>
      <c r="AN300" t="str">
        <f>IF(ISBLANK(JP!AP304),"","x")</f>
        <v/>
      </c>
      <c r="AO300" t="str">
        <f>IF(ISBLANK(JP!AR304),"","x")</f>
        <v/>
      </c>
      <c r="AP300" t="str">
        <f>IF(ISBLANK(JP!AS304),"","x")</f>
        <v/>
      </c>
      <c r="AQ300" t="str">
        <f>IF(ISBLANK(JP!AT304),"","x")</f>
        <v/>
      </c>
      <c r="AR300" t="str">
        <f>IF(ISBLANK(JP!AU304),"","x")</f>
        <v/>
      </c>
      <c r="AS300" t="str">
        <f>IF(ISBLANK(JP!AV304),"","x")</f>
        <v/>
      </c>
      <c r="AT300" t="str">
        <f>IF(ISBLANK(JP!AW304),"","x")</f>
        <v/>
      </c>
      <c r="AU300" t="str">
        <f>IF(ISBLANK(JP!AX304),"","x")</f>
        <v/>
      </c>
    </row>
    <row r="301" spans="2:47">
      <c r="B301" t="str">
        <f>IF(ISBLANK(JP!AZ305),"",JP!AZ305)</f>
        <v/>
      </c>
      <c r="C301" t="str">
        <f>IF(ISBLANK(JP!BA305),"",JP!BA305)</f>
        <v/>
      </c>
      <c r="D301" t="str">
        <f>IF(ISBLANK(JP!BC305),"",JP!BC305)</f>
        <v/>
      </c>
      <c r="E301" t="str">
        <f>IF(ISBLANK(JP!BB305),"",JP!BB305)</f>
        <v/>
      </c>
      <c r="F301" t="str">
        <f>IF(ISBLANK(JP!D305),"","x")</f>
        <v/>
      </c>
      <c r="G301" t="str">
        <f>IF(ISBLANK(JP!E305),"","x")</f>
        <v/>
      </c>
      <c r="H301" t="str">
        <f>IF(ISBLANK(JP!F305),"","x")</f>
        <v/>
      </c>
      <c r="I301" t="str">
        <f>IF(ISBLANK(JP!G305),"","x")</f>
        <v/>
      </c>
      <c r="J301" t="str">
        <f>IF(ISBLANK(JP!H305),"","x")</f>
        <v/>
      </c>
      <c r="K301" t="str">
        <f>IF(ISBLANK(JP!I305),"","x")</f>
        <v/>
      </c>
      <c r="L301" t="str">
        <f>IF(ISBLANK(JP!J305),"","x")</f>
        <v/>
      </c>
      <c r="M301" t="str">
        <f>IF(ISBLANK(JP!L305),"","x")</f>
        <v/>
      </c>
      <c r="N301" t="str">
        <f>IF(ISBLANK(JP!M305),"","x")</f>
        <v/>
      </c>
      <c r="O301" t="str">
        <f>IF(ISBLANK(JP!N305),"","x")</f>
        <v/>
      </c>
      <c r="P301" t="str">
        <f>IF(ISBLANK(JP!O305),"","x")</f>
        <v/>
      </c>
      <c r="Q301" t="str">
        <f>IF(ISBLANK(JP!P305),"","x")</f>
        <v/>
      </c>
      <c r="R301" t="str">
        <f>IF(ISBLANK(JP!Q305),"","x")</f>
        <v/>
      </c>
      <c r="S301" t="str">
        <f>IF(ISBLANK(JP!R305),"","x")</f>
        <v/>
      </c>
      <c r="T301" t="str">
        <f>IF(ISBLANK(JP!T305),"","x")</f>
        <v/>
      </c>
      <c r="U301" t="str">
        <f>IF(ISBLANK(JP!U305),"","x")</f>
        <v/>
      </c>
      <c r="V301" t="str">
        <f>IF(ISBLANK(JP!V305),"","x")</f>
        <v/>
      </c>
      <c r="W301" t="str">
        <f>IF(ISBLANK(JP!W305),"","x")</f>
        <v/>
      </c>
      <c r="X301" t="str">
        <f>IF(ISBLANK(JP!X305),"","x")</f>
        <v/>
      </c>
      <c r="Y301" t="str">
        <f>IF(ISBLANK(JP!Y305),"","x")</f>
        <v/>
      </c>
      <c r="Z301" t="str">
        <f>IF(ISBLANK(JP!Z305),"","x")</f>
        <v/>
      </c>
      <c r="AA301" t="str">
        <f>IF(ISBLANK(JP!AB305),"","x")</f>
        <v/>
      </c>
      <c r="AB301" t="str">
        <f>IF(ISBLANK(JP!AC305),"","x")</f>
        <v/>
      </c>
      <c r="AC301" t="str">
        <f>IF(ISBLANK(JP!AD305),"","x")</f>
        <v/>
      </c>
      <c r="AD301" t="str">
        <f>IF(ISBLANK(JP!AE305),"","x")</f>
        <v/>
      </c>
      <c r="AE301" t="str">
        <f>IF(ISBLANK(JP!AF305),"","x")</f>
        <v/>
      </c>
      <c r="AF301" t="str">
        <f>IF(ISBLANK(JP!AG305),"","x")</f>
        <v/>
      </c>
      <c r="AG301" t="str">
        <f>IF(ISBLANK(JP!AH305),"","x")</f>
        <v/>
      </c>
      <c r="AH301" t="str">
        <f>IF(ISBLANK(JP!AJ305),"","x")</f>
        <v/>
      </c>
      <c r="AI301" t="str">
        <f>IF(ISBLANK(JP!AK305),"","x")</f>
        <v/>
      </c>
      <c r="AJ301" t="str">
        <f>IF(ISBLANK(JP!AL305),"","x")</f>
        <v/>
      </c>
      <c r="AK301" t="str">
        <f>IF(ISBLANK(JP!AM305),"","x")</f>
        <v/>
      </c>
      <c r="AL301" t="str">
        <f>IF(ISBLANK(JP!AN305),"","x")</f>
        <v/>
      </c>
      <c r="AM301" t="str">
        <f>IF(ISBLANK(JP!AO305),"","x")</f>
        <v/>
      </c>
      <c r="AN301" t="str">
        <f>IF(ISBLANK(JP!AP305),"","x")</f>
        <v/>
      </c>
      <c r="AO301" t="str">
        <f>IF(ISBLANK(JP!AR305),"","x")</f>
        <v/>
      </c>
      <c r="AP301" t="str">
        <f>IF(ISBLANK(JP!AS305),"","x")</f>
        <v/>
      </c>
      <c r="AQ301" t="str">
        <f>IF(ISBLANK(JP!AT305),"","x")</f>
        <v/>
      </c>
      <c r="AR301" t="str">
        <f>IF(ISBLANK(JP!AU305),"","x")</f>
        <v/>
      </c>
      <c r="AS301" t="str">
        <f>IF(ISBLANK(JP!AV305),"","x")</f>
        <v/>
      </c>
      <c r="AT301" t="str">
        <f>IF(ISBLANK(JP!AW305),"","x")</f>
        <v/>
      </c>
      <c r="AU301" t="str">
        <f>IF(ISBLANK(JP!AX305),"","x")</f>
        <v/>
      </c>
    </row>
    <row r="302" spans="2:47">
      <c r="B302" t="str">
        <f>IF(ISBLANK(JP!AZ306),"",JP!AZ306)</f>
        <v/>
      </c>
      <c r="C302" t="str">
        <f>IF(ISBLANK(JP!BA306),"",JP!BA306)</f>
        <v/>
      </c>
      <c r="D302" t="str">
        <f>IF(ISBLANK(JP!BC306),"",JP!BC306)</f>
        <v/>
      </c>
      <c r="E302" t="str">
        <f>IF(ISBLANK(JP!BB306),"",JP!BB306)</f>
        <v/>
      </c>
      <c r="F302" t="str">
        <f>IF(ISBLANK(JP!D306),"","x")</f>
        <v/>
      </c>
      <c r="G302" t="str">
        <f>IF(ISBLANK(JP!E306),"","x")</f>
        <v/>
      </c>
      <c r="H302" t="str">
        <f>IF(ISBLANK(JP!F306),"","x")</f>
        <v/>
      </c>
      <c r="I302" t="str">
        <f>IF(ISBLANK(JP!G306),"","x")</f>
        <v/>
      </c>
      <c r="J302" t="str">
        <f>IF(ISBLANK(JP!H306),"","x")</f>
        <v/>
      </c>
      <c r="K302" t="str">
        <f>IF(ISBLANK(JP!I306),"","x")</f>
        <v/>
      </c>
      <c r="L302" t="str">
        <f>IF(ISBLANK(JP!J306),"","x")</f>
        <v/>
      </c>
      <c r="M302" t="str">
        <f>IF(ISBLANK(JP!L306),"","x")</f>
        <v/>
      </c>
      <c r="N302" t="str">
        <f>IF(ISBLANK(JP!M306),"","x")</f>
        <v/>
      </c>
      <c r="O302" t="str">
        <f>IF(ISBLANK(JP!N306),"","x")</f>
        <v/>
      </c>
      <c r="P302" t="str">
        <f>IF(ISBLANK(JP!O306),"","x")</f>
        <v/>
      </c>
      <c r="Q302" t="str">
        <f>IF(ISBLANK(JP!P306),"","x")</f>
        <v/>
      </c>
      <c r="R302" t="str">
        <f>IF(ISBLANK(JP!Q306),"","x")</f>
        <v/>
      </c>
      <c r="S302" t="str">
        <f>IF(ISBLANK(JP!R306),"","x")</f>
        <v/>
      </c>
      <c r="T302" t="str">
        <f>IF(ISBLANK(JP!T306),"","x")</f>
        <v/>
      </c>
      <c r="U302" t="str">
        <f>IF(ISBLANK(JP!U306),"","x")</f>
        <v/>
      </c>
      <c r="V302" t="str">
        <f>IF(ISBLANK(JP!V306),"","x")</f>
        <v/>
      </c>
      <c r="W302" t="str">
        <f>IF(ISBLANK(JP!W306),"","x")</f>
        <v/>
      </c>
      <c r="X302" t="str">
        <f>IF(ISBLANK(JP!X306),"","x")</f>
        <v/>
      </c>
      <c r="Y302" t="str">
        <f>IF(ISBLANK(JP!Y306),"","x")</f>
        <v/>
      </c>
      <c r="Z302" t="str">
        <f>IF(ISBLANK(JP!Z306),"","x")</f>
        <v/>
      </c>
      <c r="AA302" t="str">
        <f>IF(ISBLANK(JP!AB306),"","x")</f>
        <v/>
      </c>
      <c r="AB302" t="str">
        <f>IF(ISBLANK(JP!AC306),"","x")</f>
        <v/>
      </c>
      <c r="AC302" t="str">
        <f>IF(ISBLANK(JP!AD306),"","x")</f>
        <v/>
      </c>
      <c r="AD302" t="str">
        <f>IF(ISBLANK(JP!AE306),"","x")</f>
        <v/>
      </c>
      <c r="AE302" t="str">
        <f>IF(ISBLANK(JP!AF306),"","x")</f>
        <v/>
      </c>
      <c r="AF302" t="str">
        <f>IF(ISBLANK(JP!AG306),"","x")</f>
        <v/>
      </c>
      <c r="AG302" t="str">
        <f>IF(ISBLANK(JP!AH306),"","x")</f>
        <v/>
      </c>
      <c r="AH302" t="str">
        <f>IF(ISBLANK(JP!AJ306),"","x")</f>
        <v/>
      </c>
      <c r="AI302" t="str">
        <f>IF(ISBLANK(JP!AK306),"","x")</f>
        <v/>
      </c>
      <c r="AJ302" t="str">
        <f>IF(ISBLANK(JP!AL306),"","x")</f>
        <v/>
      </c>
      <c r="AK302" t="str">
        <f>IF(ISBLANK(JP!AM306),"","x")</f>
        <v/>
      </c>
      <c r="AL302" t="str">
        <f>IF(ISBLANK(JP!AN306),"","x")</f>
        <v/>
      </c>
      <c r="AM302" t="str">
        <f>IF(ISBLANK(JP!AO306),"","x")</f>
        <v/>
      </c>
      <c r="AN302" t="str">
        <f>IF(ISBLANK(JP!AP306),"","x")</f>
        <v/>
      </c>
      <c r="AO302" t="str">
        <f>IF(ISBLANK(JP!AR306),"","x")</f>
        <v/>
      </c>
      <c r="AP302" t="str">
        <f>IF(ISBLANK(JP!AS306),"","x")</f>
        <v/>
      </c>
      <c r="AQ302" t="str">
        <f>IF(ISBLANK(JP!AT306),"","x")</f>
        <v/>
      </c>
      <c r="AR302" t="str">
        <f>IF(ISBLANK(JP!AU306),"","x")</f>
        <v/>
      </c>
      <c r="AS302" t="str">
        <f>IF(ISBLANK(JP!AV306),"","x")</f>
        <v/>
      </c>
      <c r="AT302" t="str">
        <f>IF(ISBLANK(JP!AW306),"","x")</f>
        <v/>
      </c>
      <c r="AU302" t="str">
        <f>IF(ISBLANK(JP!AX306),"","x")</f>
        <v/>
      </c>
    </row>
    <row r="303" spans="2:47">
      <c r="B303" t="str">
        <f>IF(ISBLANK(JP!AZ307),"",JP!AZ307)</f>
        <v/>
      </c>
      <c r="C303" t="str">
        <f>IF(ISBLANK(JP!BA307),"",JP!BA307)</f>
        <v/>
      </c>
      <c r="D303" t="str">
        <f>IF(ISBLANK(JP!BC307),"",JP!BC307)</f>
        <v/>
      </c>
      <c r="E303" t="str">
        <f>IF(ISBLANK(JP!BB307),"",JP!BB307)</f>
        <v/>
      </c>
      <c r="F303" t="str">
        <f>IF(ISBLANK(JP!D307),"","x")</f>
        <v/>
      </c>
      <c r="G303" t="str">
        <f>IF(ISBLANK(JP!E307),"","x")</f>
        <v/>
      </c>
      <c r="H303" t="str">
        <f>IF(ISBLANK(JP!F307),"","x")</f>
        <v/>
      </c>
      <c r="I303" t="str">
        <f>IF(ISBLANK(JP!G307),"","x")</f>
        <v/>
      </c>
      <c r="J303" t="str">
        <f>IF(ISBLANK(JP!H307),"","x")</f>
        <v/>
      </c>
      <c r="K303" t="str">
        <f>IF(ISBLANK(JP!I307),"","x")</f>
        <v/>
      </c>
      <c r="L303" t="str">
        <f>IF(ISBLANK(JP!J307),"","x")</f>
        <v/>
      </c>
      <c r="M303" t="str">
        <f>IF(ISBLANK(JP!L307),"","x")</f>
        <v/>
      </c>
      <c r="N303" t="str">
        <f>IF(ISBLANK(JP!M307),"","x")</f>
        <v/>
      </c>
      <c r="O303" t="str">
        <f>IF(ISBLANK(JP!N307),"","x")</f>
        <v/>
      </c>
      <c r="P303" t="str">
        <f>IF(ISBLANK(JP!O307),"","x")</f>
        <v/>
      </c>
      <c r="Q303" t="str">
        <f>IF(ISBLANK(JP!P307),"","x")</f>
        <v/>
      </c>
      <c r="R303" t="str">
        <f>IF(ISBLANK(JP!Q307),"","x")</f>
        <v/>
      </c>
      <c r="S303" t="str">
        <f>IF(ISBLANK(JP!R307),"","x")</f>
        <v/>
      </c>
      <c r="T303" t="str">
        <f>IF(ISBLANK(JP!T307),"","x")</f>
        <v/>
      </c>
      <c r="U303" t="str">
        <f>IF(ISBLANK(JP!U307),"","x")</f>
        <v/>
      </c>
      <c r="V303" t="str">
        <f>IF(ISBLANK(JP!V307),"","x")</f>
        <v/>
      </c>
      <c r="W303" t="str">
        <f>IF(ISBLANK(JP!W307),"","x")</f>
        <v/>
      </c>
      <c r="X303" t="str">
        <f>IF(ISBLANK(JP!X307),"","x")</f>
        <v/>
      </c>
      <c r="Y303" t="str">
        <f>IF(ISBLANK(JP!Y307),"","x")</f>
        <v/>
      </c>
      <c r="Z303" t="str">
        <f>IF(ISBLANK(JP!Z307),"","x")</f>
        <v/>
      </c>
      <c r="AA303" t="str">
        <f>IF(ISBLANK(JP!AB307),"","x")</f>
        <v/>
      </c>
      <c r="AB303" t="str">
        <f>IF(ISBLANK(JP!AC307),"","x")</f>
        <v/>
      </c>
      <c r="AC303" t="str">
        <f>IF(ISBLANK(JP!AD307),"","x")</f>
        <v/>
      </c>
      <c r="AD303" t="str">
        <f>IF(ISBLANK(JP!AE307),"","x")</f>
        <v/>
      </c>
      <c r="AE303" t="str">
        <f>IF(ISBLANK(JP!AF307),"","x")</f>
        <v/>
      </c>
      <c r="AF303" t="str">
        <f>IF(ISBLANK(JP!AG307),"","x")</f>
        <v/>
      </c>
      <c r="AG303" t="str">
        <f>IF(ISBLANK(JP!AH307),"","x")</f>
        <v/>
      </c>
      <c r="AH303" t="str">
        <f>IF(ISBLANK(JP!AJ307),"","x")</f>
        <v/>
      </c>
      <c r="AI303" t="str">
        <f>IF(ISBLANK(JP!AK307),"","x")</f>
        <v/>
      </c>
      <c r="AJ303" t="str">
        <f>IF(ISBLANK(JP!AL307),"","x")</f>
        <v/>
      </c>
      <c r="AK303" t="str">
        <f>IF(ISBLANK(JP!AM307),"","x")</f>
        <v/>
      </c>
      <c r="AL303" t="str">
        <f>IF(ISBLANK(JP!AN307),"","x")</f>
        <v/>
      </c>
      <c r="AM303" t="str">
        <f>IF(ISBLANK(JP!AO307),"","x")</f>
        <v/>
      </c>
      <c r="AN303" t="str">
        <f>IF(ISBLANK(JP!AP307),"","x")</f>
        <v/>
      </c>
      <c r="AO303" t="str">
        <f>IF(ISBLANK(JP!AR307),"","x")</f>
        <v/>
      </c>
      <c r="AP303" t="str">
        <f>IF(ISBLANK(JP!AS307),"","x")</f>
        <v/>
      </c>
      <c r="AQ303" t="str">
        <f>IF(ISBLANK(JP!AT307),"","x")</f>
        <v/>
      </c>
      <c r="AR303" t="str">
        <f>IF(ISBLANK(JP!AU307),"","x")</f>
        <v/>
      </c>
      <c r="AS303" t="str">
        <f>IF(ISBLANK(JP!AV307),"","x")</f>
        <v/>
      </c>
      <c r="AT303" t="str">
        <f>IF(ISBLANK(JP!AW307),"","x")</f>
        <v/>
      </c>
      <c r="AU303" t="str">
        <f>IF(ISBLANK(JP!AX307),"","x")</f>
        <v/>
      </c>
    </row>
    <row r="304" spans="2:47">
      <c r="B304" t="str">
        <f>IF(ISBLANK(JP!AZ308),"",JP!AZ308)</f>
        <v/>
      </c>
      <c r="C304" t="str">
        <f>IF(ISBLANK(JP!BA308),"",JP!BA308)</f>
        <v/>
      </c>
      <c r="D304" t="str">
        <f>IF(ISBLANK(JP!BC308),"",JP!BC308)</f>
        <v/>
      </c>
      <c r="E304" t="str">
        <f>IF(ISBLANK(JP!BB308),"",JP!BB308)</f>
        <v/>
      </c>
      <c r="F304" t="str">
        <f>IF(ISBLANK(JP!D308),"","x")</f>
        <v/>
      </c>
      <c r="G304" t="str">
        <f>IF(ISBLANK(JP!E308),"","x")</f>
        <v/>
      </c>
      <c r="H304" t="str">
        <f>IF(ISBLANK(JP!F308),"","x")</f>
        <v/>
      </c>
      <c r="I304" t="str">
        <f>IF(ISBLANK(JP!G308),"","x")</f>
        <v/>
      </c>
      <c r="J304" t="str">
        <f>IF(ISBLANK(JP!H308),"","x")</f>
        <v/>
      </c>
      <c r="K304" t="str">
        <f>IF(ISBLANK(JP!I308),"","x")</f>
        <v/>
      </c>
      <c r="L304" t="str">
        <f>IF(ISBLANK(JP!J308),"","x")</f>
        <v/>
      </c>
      <c r="M304" t="str">
        <f>IF(ISBLANK(JP!L308),"","x")</f>
        <v/>
      </c>
      <c r="N304" t="str">
        <f>IF(ISBLANK(JP!M308),"","x")</f>
        <v/>
      </c>
      <c r="O304" t="str">
        <f>IF(ISBLANK(JP!N308),"","x")</f>
        <v/>
      </c>
      <c r="P304" t="str">
        <f>IF(ISBLANK(JP!O308),"","x")</f>
        <v/>
      </c>
      <c r="Q304" t="str">
        <f>IF(ISBLANK(JP!P308),"","x")</f>
        <v/>
      </c>
      <c r="R304" t="str">
        <f>IF(ISBLANK(JP!Q308),"","x")</f>
        <v/>
      </c>
      <c r="S304" t="str">
        <f>IF(ISBLANK(JP!R308),"","x")</f>
        <v/>
      </c>
      <c r="T304" t="str">
        <f>IF(ISBLANK(JP!T308),"","x")</f>
        <v/>
      </c>
      <c r="U304" t="str">
        <f>IF(ISBLANK(JP!U308),"","x")</f>
        <v/>
      </c>
      <c r="V304" t="str">
        <f>IF(ISBLANK(JP!V308),"","x")</f>
        <v/>
      </c>
      <c r="W304" t="str">
        <f>IF(ISBLANK(JP!W308),"","x")</f>
        <v/>
      </c>
      <c r="X304" t="str">
        <f>IF(ISBLANK(JP!X308),"","x")</f>
        <v/>
      </c>
      <c r="Y304" t="str">
        <f>IF(ISBLANK(JP!Y308),"","x")</f>
        <v/>
      </c>
      <c r="Z304" t="str">
        <f>IF(ISBLANK(JP!Z308),"","x")</f>
        <v/>
      </c>
      <c r="AA304" t="str">
        <f>IF(ISBLANK(JP!AB308),"","x")</f>
        <v/>
      </c>
      <c r="AB304" t="str">
        <f>IF(ISBLANK(JP!AC308),"","x")</f>
        <v/>
      </c>
      <c r="AC304" t="str">
        <f>IF(ISBLANK(JP!AD308),"","x")</f>
        <v/>
      </c>
      <c r="AD304" t="str">
        <f>IF(ISBLANK(JP!AE308),"","x")</f>
        <v/>
      </c>
      <c r="AE304" t="str">
        <f>IF(ISBLANK(JP!AF308),"","x")</f>
        <v/>
      </c>
      <c r="AF304" t="str">
        <f>IF(ISBLANK(JP!AG308),"","x")</f>
        <v/>
      </c>
      <c r="AG304" t="str">
        <f>IF(ISBLANK(JP!AH308),"","x")</f>
        <v/>
      </c>
      <c r="AH304" t="str">
        <f>IF(ISBLANK(JP!AJ308),"","x")</f>
        <v/>
      </c>
      <c r="AI304" t="str">
        <f>IF(ISBLANK(JP!AK308),"","x")</f>
        <v/>
      </c>
      <c r="AJ304" t="str">
        <f>IF(ISBLANK(JP!AL308),"","x")</f>
        <v/>
      </c>
      <c r="AK304" t="str">
        <f>IF(ISBLANK(JP!AM308),"","x")</f>
        <v/>
      </c>
      <c r="AL304" t="str">
        <f>IF(ISBLANK(JP!AN308),"","x")</f>
        <v/>
      </c>
      <c r="AM304" t="str">
        <f>IF(ISBLANK(JP!AO308),"","x")</f>
        <v/>
      </c>
      <c r="AN304" t="str">
        <f>IF(ISBLANK(JP!AP308),"","x")</f>
        <v/>
      </c>
      <c r="AO304" t="str">
        <f>IF(ISBLANK(JP!AR308),"","x")</f>
        <v/>
      </c>
      <c r="AP304" t="str">
        <f>IF(ISBLANK(JP!AS308),"","x")</f>
        <v/>
      </c>
      <c r="AQ304" t="str">
        <f>IF(ISBLANK(JP!AT308),"","x")</f>
        <v/>
      </c>
      <c r="AR304" t="str">
        <f>IF(ISBLANK(JP!AU308),"","x")</f>
        <v/>
      </c>
      <c r="AS304" t="str">
        <f>IF(ISBLANK(JP!AV308),"","x")</f>
        <v/>
      </c>
      <c r="AT304" t="str">
        <f>IF(ISBLANK(JP!AW308),"","x")</f>
        <v/>
      </c>
      <c r="AU304" t="str">
        <f>IF(ISBLANK(JP!AX308),"","x")</f>
        <v/>
      </c>
    </row>
    <row r="305" spans="2:47">
      <c r="B305" t="str">
        <f>IF(ISBLANK(JP!AZ309),"",JP!AZ309)</f>
        <v/>
      </c>
      <c r="C305" t="str">
        <f>IF(ISBLANK(JP!BA309),"",JP!BA309)</f>
        <v/>
      </c>
      <c r="D305" t="str">
        <f>IF(ISBLANK(JP!BC309),"",JP!BC309)</f>
        <v/>
      </c>
      <c r="E305" t="str">
        <f>IF(ISBLANK(JP!BB309),"",JP!BB309)</f>
        <v/>
      </c>
      <c r="F305" t="str">
        <f>IF(ISBLANK(JP!D309),"","x")</f>
        <v/>
      </c>
      <c r="G305" t="str">
        <f>IF(ISBLANK(JP!E309),"","x")</f>
        <v/>
      </c>
      <c r="H305" t="str">
        <f>IF(ISBLANK(JP!F309),"","x")</f>
        <v/>
      </c>
      <c r="I305" t="str">
        <f>IF(ISBLANK(JP!G309),"","x")</f>
        <v/>
      </c>
      <c r="J305" t="str">
        <f>IF(ISBLANK(JP!H309),"","x")</f>
        <v/>
      </c>
      <c r="K305" t="str">
        <f>IF(ISBLANK(JP!I309),"","x")</f>
        <v/>
      </c>
      <c r="L305" t="str">
        <f>IF(ISBLANK(JP!J309),"","x")</f>
        <v/>
      </c>
      <c r="M305" t="str">
        <f>IF(ISBLANK(JP!L309),"","x")</f>
        <v/>
      </c>
      <c r="N305" t="str">
        <f>IF(ISBLANK(JP!M309),"","x")</f>
        <v/>
      </c>
      <c r="O305" t="str">
        <f>IF(ISBLANK(JP!N309),"","x")</f>
        <v/>
      </c>
      <c r="P305" t="str">
        <f>IF(ISBLANK(JP!O309),"","x")</f>
        <v/>
      </c>
      <c r="Q305" t="str">
        <f>IF(ISBLANK(JP!P309),"","x")</f>
        <v/>
      </c>
      <c r="R305" t="str">
        <f>IF(ISBLANK(JP!Q309),"","x")</f>
        <v/>
      </c>
      <c r="S305" t="str">
        <f>IF(ISBLANK(JP!R309),"","x")</f>
        <v/>
      </c>
      <c r="T305" t="str">
        <f>IF(ISBLANK(JP!T309),"","x")</f>
        <v/>
      </c>
      <c r="U305" t="str">
        <f>IF(ISBLANK(JP!U309),"","x")</f>
        <v/>
      </c>
      <c r="V305" t="str">
        <f>IF(ISBLANK(JP!V309),"","x")</f>
        <v/>
      </c>
      <c r="W305" t="str">
        <f>IF(ISBLANK(JP!W309),"","x")</f>
        <v/>
      </c>
      <c r="X305" t="str">
        <f>IF(ISBLANK(JP!X309),"","x")</f>
        <v/>
      </c>
      <c r="Y305" t="str">
        <f>IF(ISBLANK(JP!Y309),"","x")</f>
        <v/>
      </c>
      <c r="Z305" t="str">
        <f>IF(ISBLANK(JP!Z309),"","x")</f>
        <v/>
      </c>
      <c r="AA305" t="str">
        <f>IF(ISBLANK(JP!AB309),"","x")</f>
        <v/>
      </c>
      <c r="AB305" t="str">
        <f>IF(ISBLANK(JP!AC309),"","x")</f>
        <v/>
      </c>
      <c r="AC305" t="str">
        <f>IF(ISBLANK(JP!AD309),"","x")</f>
        <v/>
      </c>
      <c r="AD305" t="str">
        <f>IF(ISBLANK(JP!AE309),"","x")</f>
        <v/>
      </c>
      <c r="AE305" t="str">
        <f>IF(ISBLANK(JP!AF309),"","x")</f>
        <v/>
      </c>
      <c r="AF305" t="str">
        <f>IF(ISBLANK(JP!AG309),"","x")</f>
        <v/>
      </c>
      <c r="AG305" t="str">
        <f>IF(ISBLANK(JP!AH309),"","x")</f>
        <v/>
      </c>
      <c r="AH305" t="str">
        <f>IF(ISBLANK(JP!AJ309),"","x")</f>
        <v/>
      </c>
      <c r="AI305" t="str">
        <f>IF(ISBLANK(JP!AK309),"","x")</f>
        <v/>
      </c>
      <c r="AJ305" t="str">
        <f>IF(ISBLANK(JP!AL309),"","x")</f>
        <v/>
      </c>
      <c r="AK305" t="str">
        <f>IF(ISBLANK(JP!AM309),"","x")</f>
        <v/>
      </c>
      <c r="AL305" t="str">
        <f>IF(ISBLANK(JP!AN309),"","x")</f>
        <v/>
      </c>
      <c r="AM305" t="str">
        <f>IF(ISBLANK(JP!AO309),"","x")</f>
        <v/>
      </c>
      <c r="AN305" t="str">
        <f>IF(ISBLANK(JP!AP309),"","x")</f>
        <v/>
      </c>
      <c r="AO305" t="str">
        <f>IF(ISBLANK(JP!AR309),"","x")</f>
        <v/>
      </c>
      <c r="AP305" t="str">
        <f>IF(ISBLANK(JP!AS309),"","x")</f>
        <v/>
      </c>
      <c r="AQ305" t="str">
        <f>IF(ISBLANK(JP!AT309),"","x")</f>
        <v/>
      </c>
      <c r="AR305" t="str">
        <f>IF(ISBLANK(JP!AU309),"","x")</f>
        <v/>
      </c>
      <c r="AS305" t="str">
        <f>IF(ISBLANK(JP!AV309),"","x")</f>
        <v/>
      </c>
      <c r="AT305" t="str">
        <f>IF(ISBLANK(JP!AW309),"","x")</f>
        <v/>
      </c>
      <c r="AU305" t="str">
        <f>IF(ISBLANK(JP!AX309),"","x")</f>
        <v/>
      </c>
    </row>
    <row r="306" spans="2:47">
      <c r="B306" t="str">
        <f>IF(ISBLANK(JP!AZ310),"",JP!AZ310)</f>
        <v/>
      </c>
      <c r="C306" t="str">
        <f>IF(ISBLANK(JP!BA310),"",JP!BA310)</f>
        <v/>
      </c>
      <c r="D306" t="str">
        <f>IF(ISBLANK(JP!BC310),"",JP!BC310)</f>
        <v/>
      </c>
      <c r="E306" t="str">
        <f>IF(ISBLANK(JP!BB310),"",JP!BB310)</f>
        <v/>
      </c>
      <c r="F306" t="str">
        <f>IF(ISBLANK(JP!D310),"","x")</f>
        <v/>
      </c>
      <c r="G306" t="str">
        <f>IF(ISBLANK(JP!E310),"","x")</f>
        <v/>
      </c>
      <c r="H306" t="str">
        <f>IF(ISBLANK(JP!F310),"","x")</f>
        <v/>
      </c>
      <c r="I306" t="str">
        <f>IF(ISBLANK(JP!G310),"","x")</f>
        <v/>
      </c>
      <c r="J306" t="str">
        <f>IF(ISBLANK(JP!H310),"","x")</f>
        <v/>
      </c>
      <c r="K306" t="str">
        <f>IF(ISBLANK(JP!I310),"","x")</f>
        <v/>
      </c>
      <c r="L306" t="str">
        <f>IF(ISBLANK(JP!J310),"","x")</f>
        <v/>
      </c>
      <c r="M306" t="str">
        <f>IF(ISBLANK(JP!L310),"","x")</f>
        <v/>
      </c>
      <c r="N306" t="str">
        <f>IF(ISBLANK(JP!M310),"","x")</f>
        <v/>
      </c>
      <c r="O306" t="str">
        <f>IF(ISBLANK(JP!N310),"","x")</f>
        <v/>
      </c>
      <c r="P306" t="str">
        <f>IF(ISBLANK(JP!O310),"","x")</f>
        <v/>
      </c>
      <c r="Q306" t="str">
        <f>IF(ISBLANK(JP!P310),"","x")</f>
        <v/>
      </c>
      <c r="R306" t="str">
        <f>IF(ISBLANK(JP!Q310),"","x")</f>
        <v/>
      </c>
      <c r="S306" t="str">
        <f>IF(ISBLANK(JP!R310),"","x")</f>
        <v/>
      </c>
      <c r="T306" t="str">
        <f>IF(ISBLANK(JP!T310),"","x")</f>
        <v/>
      </c>
      <c r="U306" t="str">
        <f>IF(ISBLANK(JP!U310),"","x")</f>
        <v/>
      </c>
      <c r="V306" t="str">
        <f>IF(ISBLANK(JP!V310),"","x")</f>
        <v/>
      </c>
      <c r="W306" t="str">
        <f>IF(ISBLANK(JP!W310),"","x")</f>
        <v/>
      </c>
      <c r="X306" t="str">
        <f>IF(ISBLANK(JP!X310),"","x")</f>
        <v/>
      </c>
      <c r="Y306" t="str">
        <f>IF(ISBLANK(JP!Y310),"","x")</f>
        <v/>
      </c>
      <c r="Z306" t="str">
        <f>IF(ISBLANK(JP!Z310),"","x")</f>
        <v/>
      </c>
      <c r="AA306" t="str">
        <f>IF(ISBLANK(JP!AB310),"","x")</f>
        <v/>
      </c>
      <c r="AB306" t="str">
        <f>IF(ISBLANK(JP!AC310),"","x")</f>
        <v/>
      </c>
      <c r="AC306" t="str">
        <f>IF(ISBLANK(JP!AD310),"","x")</f>
        <v/>
      </c>
      <c r="AD306" t="str">
        <f>IF(ISBLANK(JP!AE310),"","x")</f>
        <v/>
      </c>
      <c r="AE306" t="str">
        <f>IF(ISBLANK(JP!AF310),"","x")</f>
        <v/>
      </c>
      <c r="AF306" t="str">
        <f>IF(ISBLANK(JP!AG310),"","x")</f>
        <v/>
      </c>
      <c r="AG306" t="str">
        <f>IF(ISBLANK(JP!AH310),"","x")</f>
        <v/>
      </c>
      <c r="AH306" t="str">
        <f>IF(ISBLANK(JP!AJ310),"","x")</f>
        <v/>
      </c>
      <c r="AI306" t="str">
        <f>IF(ISBLANK(JP!AK310),"","x")</f>
        <v/>
      </c>
      <c r="AJ306" t="str">
        <f>IF(ISBLANK(JP!AL310),"","x")</f>
        <v/>
      </c>
      <c r="AK306" t="str">
        <f>IF(ISBLANK(JP!AM310),"","x")</f>
        <v/>
      </c>
      <c r="AL306" t="str">
        <f>IF(ISBLANK(JP!AN310),"","x")</f>
        <v/>
      </c>
      <c r="AM306" t="str">
        <f>IF(ISBLANK(JP!AO310),"","x")</f>
        <v/>
      </c>
      <c r="AN306" t="str">
        <f>IF(ISBLANK(JP!AP310),"","x")</f>
        <v/>
      </c>
      <c r="AO306" t="str">
        <f>IF(ISBLANK(JP!AR310),"","x")</f>
        <v/>
      </c>
      <c r="AP306" t="str">
        <f>IF(ISBLANK(JP!AS310),"","x")</f>
        <v/>
      </c>
      <c r="AQ306" t="str">
        <f>IF(ISBLANK(JP!AT310),"","x")</f>
        <v/>
      </c>
      <c r="AR306" t="str">
        <f>IF(ISBLANK(JP!AU310),"","x")</f>
        <v/>
      </c>
      <c r="AS306" t="str">
        <f>IF(ISBLANK(JP!AV310),"","x")</f>
        <v/>
      </c>
      <c r="AT306" t="str">
        <f>IF(ISBLANK(JP!AW310),"","x")</f>
        <v/>
      </c>
      <c r="AU306" t="str">
        <f>IF(ISBLANK(JP!AX310),"","x")</f>
        <v/>
      </c>
    </row>
    <row r="307" spans="2:47">
      <c r="B307" t="str">
        <f>IF(ISBLANK(JP!AZ311),"",JP!AZ311)</f>
        <v/>
      </c>
      <c r="C307" t="str">
        <f>IF(ISBLANK(JP!BA311),"",JP!BA311)</f>
        <v/>
      </c>
      <c r="D307" t="str">
        <f>IF(ISBLANK(JP!BC311),"",JP!BC311)</f>
        <v/>
      </c>
      <c r="E307" t="str">
        <f>IF(ISBLANK(JP!BB311),"",JP!BB311)</f>
        <v/>
      </c>
      <c r="F307" t="str">
        <f>IF(ISBLANK(JP!D311),"","x")</f>
        <v/>
      </c>
      <c r="G307" t="str">
        <f>IF(ISBLANK(JP!E311),"","x")</f>
        <v/>
      </c>
      <c r="H307" t="str">
        <f>IF(ISBLANK(JP!F311),"","x")</f>
        <v/>
      </c>
      <c r="I307" t="str">
        <f>IF(ISBLANK(JP!G311),"","x")</f>
        <v/>
      </c>
      <c r="J307" t="str">
        <f>IF(ISBLANK(JP!H311),"","x")</f>
        <v/>
      </c>
      <c r="K307" t="str">
        <f>IF(ISBLANK(JP!I311),"","x")</f>
        <v/>
      </c>
      <c r="L307" t="str">
        <f>IF(ISBLANK(JP!J311),"","x")</f>
        <v/>
      </c>
      <c r="M307" t="str">
        <f>IF(ISBLANK(JP!L311),"","x")</f>
        <v/>
      </c>
      <c r="N307" t="str">
        <f>IF(ISBLANK(JP!M311),"","x")</f>
        <v/>
      </c>
      <c r="O307" t="str">
        <f>IF(ISBLANK(JP!N311),"","x")</f>
        <v/>
      </c>
      <c r="P307" t="str">
        <f>IF(ISBLANK(JP!O311),"","x")</f>
        <v/>
      </c>
      <c r="Q307" t="str">
        <f>IF(ISBLANK(JP!P311),"","x")</f>
        <v/>
      </c>
      <c r="R307" t="str">
        <f>IF(ISBLANK(JP!Q311),"","x")</f>
        <v/>
      </c>
      <c r="S307" t="str">
        <f>IF(ISBLANK(JP!R311),"","x")</f>
        <v/>
      </c>
      <c r="T307" t="str">
        <f>IF(ISBLANK(JP!T311),"","x")</f>
        <v/>
      </c>
      <c r="U307" t="str">
        <f>IF(ISBLANK(JP!U311),"","x")</f>
        <v/>
      </c>
      <c r="V307" t="str">
        <f>IF(ISBLANK(JP!V311),"","x")</f>
        <v/>
      </c>
      <c r="W307" t="str">
        <f>IF(ISBLANK(JP!W311),"","x")</f>
        <v/>
      </c>
      <c r="X307" t="str">
        <f>IF(ISBLANK(JP!X311),"","x")</f>
        <v/>
      </c>
      <c r="Y307" t="str">
        <f>IF(ISBLANK(JP!Y311),"","x")</f>
        <v/>
      </c>
      <c r="Z307" t="str">
        <f>IF(ISBLANK(JP!Z311),"","x")</f>
        <v/>
      </c>
      <c r="AA307" t="str">
        <f>IF(ISBLANK(JP!AB311),"","x")</f>
        <v/>
      </c>
      <c r="AB307" t="str">
        <f>IF(ISBLANK(JP!AC311),"","x")</f>
        <v/>
      </c>
      <c r="AC307" t="str">
        <f>IF(ISBLANK(JP!AD311),"","x")</f>
        <v/>
      </c>
      <c r="AD307" t="str">
        <f>IF(ISBLANK(JP!AE311),"","x")</f>
        <v/>
      </c>
      <c r="AE307" t="str">
        <f>IF(ISBLANK(JP!AF311),"","x")</f>
        <v/>
      </c>
      <c r="AF307" t="str">
        <f>IF(ISBLANK(JP!AG311),"","x")</f>
        <v/>
      </c>
      <c r="AG307" t="str">
        <f>IF(ISBLANK(JP!AH311),"","x")</f>
        <v/>
      </c>
      <c r="AH307" t="str">
        <f>IF(ISBLANK(JP!AJ311),"","x")</f>
        <v/>
      </c>
      <c r="AI307" t="str">
        <f>IF(ISBLANK(JP!AK311),"","x")</f>
        <v/>
      </c>
      <c r="AJ307" t="str">
        <f>IF(ISBLANK(JP!AL311),"","x")</f>
        <v/>
      </c>
      <c r="AK307" t="str">
        <f>IF(ISBLANK(JP!AM311),"","x")</f>
        <v/>
      </c>
      <c r="AL307" t="str">
        <f>IF(ISBLANK(JP!AN311),"","x")</f>
        <v/>
      </c>
      <c r="AM307" t="str">
        <f>IF(ISBLANK(JP!AO311),"","x")</f>
        <v/>
      </c>
      <c r="AN307" t="str">
        <f>IF(ISBLANK(JP!AP311),"","x")</f>
        <v/>
      </c>
      <c r="AO307" t="str">
        <f>IF(ISBLANK(JP!AR311),"","x")</f>
        <v/>
      </c>
      <c r="AP307" t="str">
        <f>IF(ISBLANK(JP!AS311),"","x")</f>
        <v/>
      </c>
      <c r="AQ307" t="str">
        <f>IF(ISBLANK(JP!AT311),"","x")</f>
        <v/>
      </c>
      <c r="AR307" t="str">
        <f>IF(ISBLANK(JP!AU311),"","x")</f>
        <v/>
      </c>
      <c r="AS307" t="str">
        <f>IF(ISBLANK(JP!AV311),"","x")</f>
        <v/>
      </c>
      <c r="AT307" t="str">
        <f>IF(ISBLANK(JP!AW311),"","x")</f>
        <v/>
      </c>
      <c r="AU307" t="str">
        <f>IF(ISBLANK(JP!AX311),"","x")</f>
        <v/>
      </c>
    </row>
    <row r="308" spans="2:47">
      <c r="B308" t="str">
        <f>IF(ISBLANK(JP!AZ312),"",JP!AZ312)</f>
        <v/>
      </c>
      <c r="C308" t="str">
        <f>IF(ISBLANK(JP!BA312),"",JP!BA312)</f>
        <v/>
      </c>
      <c r="D308" t="str">
        <f>IF(ISBLANK(JP!BC312),"",JP!BC312)</f>
        <v/>
      </c>
      <c r="E308" t="str">
        <f>IF(ISBLANK(JP!BB312),"",JP!BB312)</f>
        <v/>
      </c>
      <c r="F308" t="str">
        <f>IF(ISBLANK(JP!D312),"","x")</f>
        <v/>
      </c>
      <c r="G308" t="str">
        <f>IF(ISBLANK(JP!E312),"","x")</f>
        <v/>
      </c>
      <c r="H308" t="str">
        <f>IF(ISBLANK(JP!F312),"","x")</f>
        <v/>
      </c>
      <c r="I308" t="str">
        <f>IF(ISBLANK(JP!G312),"","x")</f>
        <v/>
      </c>
      <c r="J308" t="str">
        <f>IF(ISBLANK(JP!H312),"","x")</f>
        <v/>
      </c>
      <c r="K308" t="str">
        <f>IF(ISBLANK(JP!I312),"","x")</f>
        <v/>
      </c>
      <c r="L308" t="str">
        <f>IF(ISBLANK(JP!J312),"","x")</f>
        <v/>
      </c>
      <c r="M308" t="str">
        <f>IF(ISBLANK(JP!L312),"","x")</f>
        <v/>
      </c>
      <c r="N308" t="str">
        <f>IF(ISBLANK(JP!M312),"","x")</f>
        <v/>
      </c>
      <c r="O308" t="str">
        <f>IF(ISBLANK(JP!N312),"","x")</f>
        <v/>
      </c>
      <c r="P308" t="str">
        <f>IF(ISBLANK(JP!O312),"","x")</f>
        <v/>
      </c>
      <c r="Q308" t="str">
        <f>IF(ISBLANK(JP!P312),"","x")</f>
        <v/>
      </c>
      <c r="R308" t="str">
        <f>IF(ISBLANK(JP!Q312),"","x")</f>
        <v/>
      </c>
      <c r="S308" t="str">
        <f>IF(ISBLANK(JP!R312),"","x")</f>
        <v/>
      </c>
      <c r="T308" t="str">
        <f>IF(ISBLANK(JP!T312),"","x")</f>
        <v/>
      </c>
      <c r="U308" t="str">
        <f>IF(ISBLANK(JP!U312),"","x")</f>
        <v/>
      </c>
      <c r="V308" t="str">
        <f>IF(ISBLANK(JP!V312),"","x")</f>
        <v/>
      </c>
      <c r="W308" t="str">
        <f>IF(ISBLANK(JP!W312),"","x")</f>
        <v/>
      </c>
      <c r="X308" t="str">
        <f>IF(ISBLANK(JP!X312),"","x")</f>
        <v/>
      </c>
      <c r="Y308" t="str">
        <f>IF(ISBLANK(JP!Y312),"","x")</f>
        <v/>
      </c>
      <c r="Z308" t="str">
        <f>IF(ISBLANK(JP!Z312),"","x")</f>
        <v/>
      </c>
      <c r="AA308" t="str">
        <f>IF(ISBLANK(JP!AB312),"","x")</f>
        <v/>
      </c>
      <c r="AB308" t="str">
        <f>IF(ISBLANK(JP!AC312),"","x")</f>
        <v/>
      </c>
      <c r="AC308" t="str">
        <f>IF(ISBLANK(JP!AD312),"","x")</f>
        <v/>
      </c>
      <c r="AD308" t="str">
        <f>IF(ISBLANK(JP!AE312),"","x")</f>
        <v/>
      </c>
      <c r="AE308" t="str">
        <f>IF(ISBLANK(JP!AF312),"","x")</f>
        <v/>
      </c>
      <c r="AF308" t="str">
        <f>IF(ISBLANK(JP!AG312),"","x")</f>
        <v/>
      </c>
      <c r="AG308" t="str">
        <f>IF(ISBLANK(JP!AH312),"","x")</f>
        <v/>
      </c>
      <c r="AH308" t="str">
        <f>IF(ISBLANK(JP!AJ312),"","x")</f>
        <v/>
      </c>
      <c r="AI308" t="str">
        <f>IF(ISBLANK(JP!AK312),"","x")</f>
        <v/>
      </c>
      <c r="AJ308" t="str">
        <f>IF(ISBLANK(JP!AL312),"","x")</f>
        <v/>
      </c>
      <c r="AK308" t="str">
        <f>IF(ISBLANK(JP!AM312),"","x")</f>
        <v/>
      </c>
      <c r="AL308" t="str">
        <f>IF(ISBLANK(JP!AN312),"","x")</f>
        <v/>
      </c>
      <c r="AM308" t="str">
        <f>IF(ISBLANK(JP!AO312),"","x")</f>
        <v/>
      </c>
      <c r="AN308" t="str">
        <f>IF(ISBLANK(JP!AP312),"","x")</f>
        <v/>
      </c>
      <c r="AO308" t="str">
        <f>IF(ISBLANK(JP!AR312),"","x")</f>
        <v/>
      </c>
      <c r="AP308" t="str">
        <f>IF(ISBLANK(JP!AS312),"","x")</f>
        <v/>
      </c>
      <c r="AQ308" t="str">
        <f>IF(ISBLANK(JP!AT312),"","x")</f>
        <v/>
      </c>
      <c r="AR308" t="str">
        <f>IF(ISBLANK(JP!AU312),"","x")</f>
        <v/>
      </c>
      <c r="AS308" t="str">
        <f>IF(ISBLANK(JP!AV312),"","x")</f>
        <v/>
      </c>
      <c r="AT308" t="str">
        <f>IF(ISBLANK(JP!AW312),"","x")</f>
        <v/>
      </c>
      <c r="AU308" t="str">
        <f>IF(ISBLANK(JP!AX312),"","x")</f>
        <v/>
      </c>
    </row>
    <row r="309" spans="2:47">
      <c r="B309" t="str">
        <f>IF(ISBLANK(JP!AZ313),"",JP!AZ313)</f>
        <v/>
      </c>
      <c r="C309" t="str">
        <f>IF(ISBLANK(JP!BA313),"",JP!BA313)</f>
        <v/>
      </c>
      <c r="D309" t="str">
        <f>IF(ISBLANK(JP!BC313),"",JP!BC313)</f>
        <v/>
      </c>
      <c r="E309" t="str">
        <f>IF(ISBLANK(JP!BB313),"",JP!BB313)</f>
        <v/>
      </c>
      <c r="F309" t="str">
        <f>IF(ISBLANK(JP!D313),"","x")</f>
        <v/>
      </c>
      <c r="G309" t="str">
        <f>IF(ISBLANK(JP!E313),"","x")</f>
        <v/>
      </c>
      <c r="H309" t="str">
        <f>IF(ISBLANK(JP!F313),"","x")</f>
        <v/>
      </c>
      <c r="I309" t="str">
        <f>IF(ISBLANK(JP!G313),"","x")</f>
        <v/>
      </c>
      <c r="J309" t="str">
        <f>IF(ISBLANK(JP!H313),"","x")</f>
        <v/>
      </c>
      <c r="K309" t="str">
        <f>IF(ISBLANK(JP!I313),"","x")</f>
        <v/>
      </c>
      <c r="L309" t="str">
        <f>IF(ISBLANK(JP!J313),"","x")</f>
        <v/>
      </c>
      <c r="M309" t="str">
        <f>IF(ISBLANK(JP!L313),"","x")</f>
        <v/>
      </c>
      <c r="N309" t="str">
        <f>IF(ISBLANK(JP!M313),"","x")</f>
        <v/>
      </c>
      <c r="O309" t="str">
        <f>IF(ISBLANK(JP!N313),"","x")</f>
        <v/>
      </c>
      <c r="P309" t="str">
        <f>IF(ISBLANK(JP!O313),"","x")</f>
        <v/>
      </c>
      <c r="Q309" t="str">
        <f>IF(ISBLANK(JP!P313),"","x")</f>
        <v/>
      </c>
      <c r="R309" t="str">
        <f>IF(ISBLANK(JP!Q313),"","x")</f>
        <v/>
      </c>
      <c r="S309" t="str">
        <f>IF(ISBLANK(JP!R313),"","x")</f>
        <v/>
      </c>
      <c r="T309" t="str">
        <f>IF(ISBLANK(JP!T313),"","x")</f>
        <v/>
      </c>
      <c r="U309" t="str">
        <f>IF(ISBLANK(JP!U313),"","x")</f>
        <v/>
      </c>
      <c r="V309" t="str">
        <f>IF(ISBLANK(JP!V313),"","x")</f>
        <v/>
      </c>
      <c r="W309" t="str">
        <f>IF(ISBLANK(JP!W313),"","x")</f>
        <v/>
      </c>
      <c r="X309" t="str">
        <f>IF(ISBLANK(JP!X313),"","x")</f>
        <v/>
      </c>
      <c r="Y309" t="str">
        <f>IF(ISBLANK(JP!Y313),"","x")</f>
        <v/>
      </c>
      <c r="Z309" t="str">
        <f>IF(ISBLANK(JP!Z313),"","x")</f>
        <v/>
      </c>
      <c r="AA309" t="str">
        <f>IF(ISBLANK(JP!AB313),"","x")</f>
        <v/>
      </c>
      <c r="AB309" t="str">
        <f>IF(ISBLANK(JP!AC313),"","x")</f>
        <v/>
      </c>
      <c r="AC309" t="str">
        <f>IF(ISBLANK(JP!AD313),"","x")</f>
        <v/>
      </c>
      <c r="AD309" t="str">
        <f>IF(ISBLANK(JP!AE313),"","x")</f>
        <v/>
      </c>
      <c r="AE309" t="str">
        <f>IF(ISBLANK(JP!AF313),"","x")</f>
        <v/>
      </c>
      <c r="AF309" t="str">
        <f>IF(ISBLANK(JP!AG313),"","x")</f>
        <v/>
      </c>
      <c r="AG309" t="str">
        <f>IF(ISBLANK(JP!AH313),"","x")</f>
        <v/>
      </c>
      <c r="AH309" t="str">
        <f>IF(ISBLANK(JP!AJ313),"","x")</f>
        <v/>
      </c>
      <c r="AI309" t="str">
        <f>IF(ISBLANK(JP!AK313),"","x")</f>
        <v/>
      </c>
      <c r="AJ309" t="str">
        <f>IF(ISBLANK(JP!AL313),"","x")</f>
        <v/>
      </c>
      <c r="AK309" t="str">
        <f>IF(ISBLANK(JP!AM313),"","x")</f>
        <v/>
      </c>
      <c r="AL309" t="str">
        <f>IF(ISBLANK(JP!AN313),"","x")</f>
        <v/>
      </c>
      <c r="AM309" t="str">
        <f>IF(ISBLANK(JP!AO313),"","x")</f>
        <v/>
      </c>
      <c r="AN309" t="str">
        <f>IF(ISBLANK(JP!AP313),"","x")</f>
        <v/>
      </c>
      <c r="AO309" t="str">
        <f>IF(ISBLANK(JP!AR313),"","x")</f>
        <v/>
      </c>
      <c r="AP309" t="str">
        <f>IF(ISBLANK(JP!AS313),"","x")</f>
        <v/>
      </c>
      <c r="AQ309" t="str">
        <f>IF(ISBLANK(JP!AT313),"","x")</f>
        <v/>
      </c>
      <c r="AR309" t="str">
        <f>IF(ISBLANK(JP!AU313),"","x")</f>
        <v/>
      </c>
      <c r="AS309" t="str">
        <f>IF(ISBLANK(JP!AV313),"","x")</f>
        <v/>
      </c>
      <c r="AT309" t="str">
        <f>IF(ISBLANK(JP!AW313),"","x")</f>
        <v/>
      </c>
      <c r="AU309" t="str">
        <f>IF(ISBLANK(JP!AX313),"","x")</f>
        <v/>
      </c>
    </row>
    <row r="310" spans="2:47">
      <c r="B310" t="str">
        <f>IF(ISBLANK(JP!AZ314),"",JP!AZ314)</f>
        <v/>
      </c>
      <c r="C310" t="str">
        <f>IF(ISBLANK(JP!BA314),"",JP!BA314)</f>
        <v/>
      </c>
      <c r="D310" t="str">
        <f>IF(ISBLANK(JP!BC314),"",JP!BC314)</f>
        <v/>
      </c>
      <c r="E310" t="str">
        <f>IF(ISBLANK(JP!BB314),"",JP!BB314)</f>
        <v/>
      </c>
      <c r="F310" t="str">
        <f>IF(ISBLANK(JP!D314),"","x")</f>
        <v/>
      </c>
      <c r="G310" t="str">
        <f>IF(ISBLANK(JP!E314),"","x")</f>
        <v/>
      </c>
      <c r="H310" t="str">
        <f>IF(ISBLANK(JP!F314),"","x")</f>
        <v/>
      </c>
      <c r="I310" t="str">
        <f>IF(ISBLANK(JP!G314),"","x")</f>
        <v/>
      </c>
      <c r="J310" t="str">
        <f>IF(ISBLANK(JP!H314),"","x")</f>
        <v/>
      </c>
      <c r="K310" t="str">
        <f>IF(ISBLANK(JP!I314),"","x")</f>
        <v/>
      </c>
      <c r="L310" t="str">
        <f>IF(ISBLANK(JP!J314),"","x")</f>
        <v/>
      </c>
      <c r="M310" t="str">
        <f>IF(ISBLANK(JP!L314),"","x")</f>
        <v/>
      </c>
      <c r="N310" t="str">
        <f>IF(ISBLANK(JP!M314),"","x")</f>
        <v/>
      </c>
      <c r="O310" t="str">
        <f>IF(ISBLANK(JP!N314),"","x")</f>
        <v/>
      </c>
      <c r="P310" t="str">
        <f>IF(ISBLANK(JP!O314),"","x")</f>
        <v/>
      </c>
      <c r="Q310" t="str">
        <f>IF(ISBLANK(JP!P314),"","x")</f>
        <v/>
      </c>
      <c r="R310" t="str">
        <f>IF(ISBLANK(JP!Q314),"","x")</f>
        <v/>
      </c>
      <c r="S310" t="str">
        <f>IF(ISBLANK(JP!R314),"","x")</f>
        <v/>
      </c>
      <c r="T310" t="str">
        <f>IF(ISBLANK(JP!T314),"","x")</f>
        <v/>
      </c>
      <c r="U310" t="str">
        <f>IF(ISBLANK(JP!U314),"","x")</f>
        <v/>
      </c>
      <c r="V310" t="str">
        <f>IF(ISBLANK(JP!V314),"","x")</f>
        <v/>
      </c>
      <c r="W310" t="str">
        <f>IF(ISBLANK(JP!W314),"","x")</f>
        <v/>
      </c>
      <c r="X310" t="str">
        <f>IF(ISBLANK(JP!X314),"","x")</f>
        <v/>
      </c>
      <c r="Y310" t="str">
        <f>IF(ISBLANK(JP!Y314),"","x")</f>
        <v/>
      </c>
      <c r="Z310" t="str">
        <f>IF(ISBLANK(JP!Z314),"","x")</f>
        <v/>
      </c>
      <c r="AA310" t="str">
        <f>IF(ISBLANK(JP!AB314),"","x")</f>
        <v/>
      </c>
      <c r="AB310" t="str">
        <f>IF(ISBLANK(JP!AC314),"","x")</f>
        <v/>
      </c>
      <c r="AC310" t="str">
        <f>IF(ISBLANK(JP!AD314),"","x")</f>
        <v/>
      </c>
      <c r="AD310" t="str">
        <f>IF(ISBLANK(JP!AE314),"","x")</f>
        <v/>
      </c>
      <c r="AE310" t="str">
        <f>IF(ISBLANK(JP!AF314),"","x")</f>
        <v/>
      </c>
      <c r="AF310" t="str">
        <f>IF(ISBLANK(JP!AG314),"","x")</f>
        <v/>
      </c>
      <c r="AG310" t="str">
        <f>IF(ISBLANK(JP!AH314),"","x")</f>
        <v/>
      </c>
      <c r="AH310" t="str">
        <f>IF(ISBLANK(JP!AJ314),"","x")</f>
        <v/>
      </c>
      <c r="AI310" t="str">
        <f>IF(ISBLANK(JP!AK314),"","x")</f>
        <v/>
      </c>
      <c r="AJ310" t="str">
        <f>IF(ISBLANK(JP!AL314),"","x")</f>
        <v/>
      </c>
      <c r="AK310" t="str">
        <f>IF(ISBLANK(JP!AM314),"","x")</f>
        <v/>
      </c>
      <c r="AL310" t="str">
        <f>IF(ISBLANK(JP!AN314),"","x")</f>
        <v/>
      </c>
      <c r="AM310" t="str">
        <f>IF(ISBLANK(JP!AO314),"","x")</f>
        <v/>
      </c>
      <c r="AN310" t="str">
        <f>IF(ISBLANK(JP!AP314),"","x")</f>
        <v/>
      </c>
      <c r="AO310" t="str">
        <f>IF(ISBLANK(JP!AR314),"","x")</f>
        <v/>
      </c>
      <c r="AP310" t="str">
        <f>IF(ISBLANK(JP!AS314),"","x")</f>
        <v/>
      </c>
      <c r="AQ310" t="str">
        <f>IF(ISBLANK(JP!AT314),"","x")</f>
        <v/>
      </c>
      <c r="AR310" t="str">
        <f>IF(ISBLANK(JP!AU314),"","x")</f>
        <v/>
      </c>
      <c r="AS310" t="str">
        <f>IF(ISBLANK(JP!AV314),"","x")</f>
        <v/>
      </c>
      <c r="AT310" t="str">
        <f>IF(ISBLANK(JP!AW314),"","x")</f>
        <v/>
      </c>
      <c r="AU310" t="str">
        <f>IF(ISBLANK(JP!AX314),"","x")</f>
        <v/>
      </c>
    </row>
    <row r="311" spans="2:47">
      <c r="B311" t="str">
        <f>IF(ISBLANK(JP!AZ315),"",JP!AZ315)</f>
        <v/>
      </c>
      <c r="C311" t="str">
        <f>IF(ISBLANK(JP!BA315),"",JP!BA315)</f>
        <v/>
      </c>
      <c r="D311" t="str">
        <f>IF(ISBLANK(JP!BC315),"",JP!BC315)</f>
        <v/>
      </c>
      <c r="E311" t="str">
        <f>IF(ISBLANK(JP!BB315),"",JP!BB315)</f>
        <v/>
      </c>
      <c r="F311" t="str">
        <f>IF(ISBLANK(JP!D315),"","x")</f>
        <v/>
      </c>
      <c r="G311" t="str">
        <f>IF(ISBLANK(JP!E315),"","x")</f>
        <v/>
      </c>
      <c r="H311" t="str">
        <f>IF(ISBLANK(JP!F315),"","x")</f>
        <v/>
      </c>
      <c r="I311" t="str">
        <f>IF(ISBLANK(JP!G315),"","x")</f>
        <v/>
      </c>
      <c r="J311" t="str">
        <f>IF(ISBLANK(JP!H315),"","x")</f>
        <v/>
      </c>
      <c r="K311" t="str">
        <f>IF(ISBLANK(JP!I315),"","x")</f>
        <v/>
      </c>
      <c r="L311" t="str">
        <f>IF(ISBLANK(JP!J315),"","x")</f>
        <v/>
      </c>
      <c r="M311" t="str">
        <f>IF(ISBLANK(JP!L315),"","x")</f>
        <v/>
      </c>
      <c r="N311" t="str">
        <f>IF(ISBLANK(JP!M315),"","x")</f>
        <v/>
      </c>
      <c r="O311" t="str">
        <f>IF(ISBLANK(JP!N315),"","x")</f>
        <v/>
      </c>
      <c r="P311" t="str">
        <f>IF(ISBLANK(JP!O315),"","x")</f>
        <v/>
      </c>
      <c r="Q311" t="str">
        <f>IF(ISBLANK(JP!P315),"","x")</f>
        <v/>
      </c>
      <c r="R311" t="str">
        <f>IF(ISBLANK(JP!Q315),"","x")</f>
        <v/>
      </c>
      <c r="S311" t="str">
        <f>IF(ISBLANK(JP!R315),"","x")</f>
        <v/>
      </c>
      <c r="T311" t="str">
        <f>IF(ISBLANK(JP!T315),"","x")</f>
        <v/>
      </c>
      <c r="U311" t="str">
        <f>IF(ISBLANK(JP!U315),"","x")</f>
        <v/>
      </c>
      <c r="V311" t="str">
        <f>IF(ISBLANK(JP!V315),"","x")</f>
        <v/>
      </c>
      <c r="W311" t="str">
        <f>IF(ISBLANK(JP!W315),"","x")</f>
        <v/>
      </c>
      <c r="X311" t="str">
        <f>IF(ISBLANK(JP!X315),"","x")</f>
        <v/>
      </c>
      <c r="Y311" t="str">
        <f>IF(ISBLANK(JP!Y315),"","x")</f>
        <v/>
      </c>
      <c r="Z311" t="str">
        <f>IF(ISBLANK(JP!Z315),"","x")</f>
        <v/>
      </c>
      <c r="AA311" t="str">
        <f>IF(ISBLANK(JP!AB315),"","x")</f>
        <v/>
      </c>
      <c r="AB311" t="str">
        <f>IF(ISBLANK(JP!AC315),"","x")</f>
        <v/>
      </c>
      <c r="AC311" t="str">
        <f>IF(ISBLANK(JP!AD315),"","x")</f>
        <v/>
      </c>
      <c r="AD311" t="str">
        <f>IF(ISBLANK(JP!AE315),"","x")</f>
        <v/>
      </c>
      <c r="AE311" t="str">
        <f>IF(ISBLANK(JP!AF315),"","x")</f>
        <v/>
      </c>
      <c r="AF311" t="str">
        <f>IF(ISBLANK(JP!AG315),"","x")</f>
        <v/>
      </c>
      <c r="AG311" t="str">
        <f>IF(ISBLANK(JP!AH315),"","x")</f>
        <v/>
      </c>
      <c r="AH311" t="str">
        <f>IF(ISBLANK(JP!AJ315),"","x")</f>
        <v/>
      </c>
      <c r="AI311" t="str">
        <f>IF(ISBLANK(JP!AK315),"","x")</f>
        <v/>
      </c>
      <c r="AJ311" t="str">
        <f>IF(ISBLANK(JP!AL315),"","x")</f>
        <v/>
      </c>
      <c r="AK311" t="str">
        <f>IF(ISBLANK(JP!AM315),"","x")</f>
        <v/>
      </c>
      <c r="AL311" t="str">
        <f>IF(ISBLANK(JP!AN315),"","x")</f>
        <v/>
      </c>
      <c r="AM311" t="str">
        <f>IF(ISBLANK(JP!AO315),"","x")</f>
        <v/>
      </c>
      <c r="AN311" t="str">
        <f>IF(ISBLANK(JP!AP315),"","x")</f>
        <v/>
      </c>
      <c r="AO311" t="str">
        <f>IF(ISBLANK(JP!AR315),"","x")</f>
        <v/>
      </c>
      <c r="AP311" t="str">
        <f>IF(ISBLANK(JP!AS315),"","x")</f>
        <v/>
      </c>
      <c r="AQ311" t="str">
        <f>IF(ISBLANK(JP!AT315),"","x")</f>
        <v/>
      </c>
      <c r="AR311" t="str">
        <f>IF(ISBLANK(JP!AU315),"","x")</f>
        <v/>
      </c>
      <c r="AS311" t="str">
        <f>IF(ISBLANK(JP!AV315),"","x")</f>
        <v/>
      </c>
      <c r="AT311" t="str">
        <f>IF(ISBLANK(JP!AW315),"","x")</f>
        <v/>
      </c>
      <c r="AU311" t="str">
        <f>IF(ISBLANK(JP!AX315),"","x")</f>
        <v/>
      </c>
    </row>
    <row r="312" spans="2:47">
      <c r="B312" t="str">
        <f>IF(ISBLANK(JP!AZ316),"",JP!AZ316)</f>
        <v/>
      </c>
      <c r="C312" t="str">
        <f>IF(ISBLANK(JP!BA316),"",JP!BA316)</f>
        <v/>
      </c>
      <c r="D312" t="str">
        <f>IF(ISBLANK(JP!BC316),"",JP!BC316)</f>
        <v/>
      </c>
      <c r="E312" t="str">
        <f>IF(ISBLANK(JP!BB316),"",JP!BB316)</f>
        <v/>
      </c>
      <c r="F312" t="str">
        <f>IF(ISBLANK(JP!D316),"","x")</f>
        <v/>
      </c>
      <c r="G312" t="str">
        <f>IF(ISBLANK(JP!E316),"","x")</f>
        <v/>
      </c>
      <c r="H312" t="str">
        <f>IF(ISBLANK(JP!F316),"","x")</f>
        <v/>
      </c>
      <c r="I312" t="str">
        <f>IF(ISBLANK(JP!G316),"","x")</f>
        <v/>
      </c>
      <c r="J312" t="str">
        <f>IF(ISBLANK(JP!H316),"","x")</f>
        <v/>
      </c>
      <c r="K312" t="str">
        <f>IF(ISBLANK(JP!I316),"","x")</f>
        <v/>
      </c>
      <c r="L312" t="str">
        <f>IF(ISBLANK(JP!J316),"","x")</f>
        <v/>
      </c>
      <c r="M312" t="str">
        <f>IF(ISBLANK(JP!L316),"","x")</f>
        <v/>
      </c>
      <c r="N312" t="str">
        <f>IF(ISBLANK(JP!M316),"","x")</f>
        <v/>
      </c>
      <c r="O312" t="str">
        <f>IF(ISBLANK(JP!N316),"","x")</f>
        <v/>
      </c>
      <c r="P312" t="str">
        <f>IF(ISBLANK(JP!O316),"","x")</f>
        <v/>
      </c>
      <c r="Q312" t="str">
        <f>IF(ISBLANK(JP!P316),"","x")</f>
        <v/>
      </c>
      <c r="R312" t="str">
        <f>IF(ISBLANK(JP!Q316),"","x")</f>
        <v/>
      </c>
      <c r="S312" t="str">
        <f>IF(ISBLANK(JP!R316),"","x")</f>
        <v/>
      </c>
      <c r="T312" t="str">
        <f>IF(ISBLANK(JP!T316),"","x")</f>
        <v/>
      </c>
      <c r="U312" t="str">
        <f>IF(ISBLANK(JP!U316),"","x")</f>
        <v/>
      </c>
      <c r="V312" t="str">
        <f>IF(ISBLANK(JP!V316),"","x")</f>
        <v/>
      </c>
      <c r="W312" t="str">
        <f>IF(ISBLANK(JP!W316),"","x")</f>
        <v/>
      </c>
      <c r="X312" t="str">
        <f>IF(ISBLANK(JP!X316),"","x")</f>
        <v/>
      </c>
      <c r="Y312" t="str">
        <f>IF(ISBLANK(JP!Y316),"","x")</f>
        <v/>
      </c>
      <c r="Z312" t="str">
        <f>IF(ISBLANK(JP!Z316),"","x")</f>
        <v/>
      </c>
      <c r="AA312" t="str">
        <f>IF(ISBLANK(JP!AB316),"","x")</f>
        <v/>
      </c>
      <c r="AB312" t="str">
        <f>IF(ISBLANK(JP!AC316),"","x")</f>
        <v/>
      </c>
      <c r="AC312" t="str">
        <f>IF(ISBLANK(JP!AD316),"","x")</f>
        <v/>
      </c>
      <c r="AD312" t="str">
        <f>IF(ISBLANK(JP!AE316),"","x")</f>
        <v/>
      </c>
      <c r="AE312" t="str">
        <f>IF(ISBLANK(JP!AF316),"","x")</f>
        <v/>
      </c>
      <c r="AF312" t="str">
        <f>IF(ISBLANK(JP!AG316),"","x")</f>
        <v/>
      </c>
      <c r="AG312" t="str">
        <f>IF(ISBLANK(JP!AH316),"","x")</f>
        <v/>
      </c>
      <c r="AH312" t="str">
        <f>IF(ISBLANK(JP!AJ316),"","x")</f>
        <v/>
      </c>
      <c r="AI312" t="str">
        <f>IF(ISBLANK(JP!AK316),"","x")</f>
        <v/>
      </c>
      <c r="AJ312" t="str">
        <f>IF(ISBLANK(JP!AL316),"","x")</f>
        <v/>
      </c>
      <c r="AK312" t="str">
        <f>IF(ISBLANK(JP!AM316),"","x")</f>
        <v/>
      </c>
      <c r="AL312" t="str">
        <f>IF(ISBLANK(JP!AN316),"","x")</f>
        <v/>
      </c>
      <c r="AM312" t="str">
        <f>IF(ISBLANK(JP!AO316),"","x")</f>
        <v/>
      </c>
      <c r="AN312" t="str">
        <f>IF(ISBLANK(JP!AP316),"","x")</f>
        <v/>
      </c>
      <c r="AO312" t="str">
        <f>IF(ISBLANK(JP!AR316),"","x")</f>
        <v/>
      </c>
      <c r="AP312" t="str">
        <f>IF(ISBLANK(JP!AS316),"","x")</f>
        <v/>
      </c>
      <c r="AQ312" t="str">
        <f>IF(ISBLANK(JP!AT316),"","x")</f>
        <v/>
      </c>
      <c r="AR312" t="str">
        <f>IF(ISBLANK(JP!AU316),"","x")</f>
        <v/>
      </c>
      <c r="AS312" t="str">
        <f>IF(ISBLANK(JP!AV316),"","x")</f>
        <v/>
      </c>
      <c r="AT312" t="str">
        <f>IF(ISBLANK(JP!AW316),"","x")</f>
        <v/>
      </c>
      <c r="AU312" t="str">
        <f>IF(ISBLANK(JP!AX316),"","x")</f>
        <v/>
      </c>
    </row>
    <row r="313" spans="2:47">
      <c r="B313" t="str">
        <f>IF(ISBLANK(JP!AZ317),"",JP!AZ317)</f>
        <v/>
      </c>
      <c r="C313" t="str">
        <f>IF(ISBLANK(JP!BA317),"",JP!BA317)</f>
        <v/>
      </c>
      <c r="D313" t="str">
        <f>IF(ISBLANK(JP!BC317),"",JP!BC317)</f>
        <v/>
      </c>
      <c r="E313" t="str">
        <f>IF(ISBLANK(JP!BB317),"",JP!BB317)</f>
        <v/>
      </c>
      <c r="F313" t="str">
        <f>IF(ISBLANK(JP!D317),"","x")</f>
        <v/>
      </c>
      <c r="G313" t="str">
        <f>IF(ISBLANK(JP!E317),"","x")</f>
        <v/>
      </c>
      <c r="H313" t="str">
        <f>IF(ISBLANK(JP!F317),"","x")</f>
        <v/>
      </c>
      <c r="I313" t="str">
        <f>IF(ISBLANK(JP!G317),"","x")</f>
        <v/>
      </c>
      <c r="J313" t="str">
        <f>IF(ISBLANK(JP!H317),"","x")</f>
        <v/>
      </c>
      <c r="K313" t="str">
        <f>IF(ISBLANK(JP!I317),"","x")</f>
        <v/>
      </c>
      <c r="L313" t="str">
        <f>IF(ISBLANK(JP!J317),"","x")</f>
        <v/>
      </c>
      <c r="M313" t="str">
        <f>IF(ISBLANK(JP!L317),"","x")</f>
        <v/>
      </c>
      <c r="N313" t="str">
        <f>IF(ISBLANK(JP!M317),"","x")</f>
        <v/>
      </c>
      <c r="O313" t="str">
        <f>IF(ISBLANK(JP!N317),"","x")</f>
        <v/>
      </c>
      <c r="P313" t="str">
        <f>IF(ISBLANK(JP!O317),"","x")</f>
        <v/>
      </c>
      <c r="Q313" t="str">
        <f>IF(ISBLANK(JP!P317),"","x")</f>
        <v/>
      </c>
      <c r="R313" t="str">
        <f>IF(ISBLANK(JP!Q317),"","x")</f>
        <v/>
      </c>
      <c r="S313" t="str">
        <f>IF(ISBLANK(JP!R317),"","x")</f>
        <v/>
      </c>
      <c r="T313" t="str">
        <f>IF(ISBLANK(JP!T317),"","x")</f>
        <v/>
      </c>
      <c r="U313" t="str">
        <f>IF(ISBLANK(JP!U317),"","x")</f>
        <v/>
      </c>
      <c r="V313" t="str">
        <f>IF(ISBLANK(JP!V317),"","x")</f>
        <v/>
      </c>
      <c r="W313" t="str">
        <f>IF(ISBLANK(JP!W317),"","x")</f>
        <v/>
      </c>
      <c r="X313" t="str">
        <f>IF(ISBLANK(JP!X317),"","x")</f>
        <v/>
      </c>
      <c r="Y313" t="str">
        <f>IF(ISBLANK(JP!Y317),"","x")</f>
        <v/>
      </c>
      <c r="Z313" t="str">
        <f>IF(ISBLANK(JP!Z317),"","x")</f>
        <v/>
      </c>
      <c r="AA313" t="str">
        <f>IF(ISBLANK(JP!AB317),"","x")</f>
        <v/>
      </c>
      <c r="AB313" t="str">
        <f>IF(ISBLANK(JP!AC317),"","x")</f>
        <v/>
      </c>
      <c r="AC313" t="str">
        <f>IF(ISBLANK(JP!AD317),"","x")</f>
        <v/>
      </c>
      <c r="AD313" t="str">
        <f>IF(ISBLANK(JP!AE317),"","x")</f>
        <v/>
      </c>
      <c r="AE313" t="str">
        <f>IF(ISBLANK(JP!AF317),"","x")</f>
        <v/>
      </c>
      <c r="AF313" t="str">
        <f>IF(ISBLANK(JP!AG317),"","x")</f>
        <v/>
      </c>
      <c r="AG313" t="str">
        <f>IF(ISBLANK(JP!AH317),"","x")</f>
        <v/>
      </c>
      <c r="AH313" t="str">
        <f>IF(ISBLANK(JP!AJ317),"","x")</f>
        <v/>
      </c>
      <c r="AI313" t="str">
        <f>IF(ISBLANK(JP!AK317),"","x")</f>
        <v/>
      </c>
      <c r="AJ313" t="str">
        <f>IF(ISBLANK(JP!AL317),"","x")</f>
        <v/>
      </c>
      <c r="AK313" t="str">
        <f>IF(ISBLANK(JP!AM317),"","x")</f>
        <v/>
      </c>
      <c r="AL313" t="str">
        <f>IF(ISBLANK(JP!AN317),"","x")</f>
        <v/>
      </c>
      <c r="AM313" t="str">
        <f>IF(ISBLANK(JP!AO317),"","x")</f>
        <v/>
      </c>
      <c r="AN313" t="str">
        <f>IF(ISBLANK(JP!AP317),"","x")</f>
        <v/>
      </c>
      <c r="AO313" t="str">
        <f>IF(ISBLANK(JP!AR317),"","x")</f>
        <v/>
      </c>
      <c r="AP313" t="str">
        <f>IF(ISBLANK(JP!AS317),"","x")</f>
        <v/>
      </c>
      <c r="AQ313" t="str">
        <f>IF(ISBLANK(JP!AT317),"","x")</f>
        <v/>
      </c>
      <c r="AR313" t="str">
        <f>IF(ISBLANK(JP!AU317),"","x")</f>
        <v/>
      </c>
      <c r="AS313" t="str">
        <f>IF(ISBLANK(JP!AV317),"","x")</f>
        <v/>
      </c>
      <c r="AT313" t="str">
        <f>IF(ISBLANK(JP!AW317),"","x")</f>
        <v/>
      </c>
      <c r="AU313" t="str">
        <f>IF(ISBLANK(JP!AX317),"","x")</f>
        <v/>
      </c>
    </row>
    <row r="314" spans="2:47">
      <c r="B314" t="str">
        <f>IF(ISBLANK(JP!AZ318),"",JP!AZ318)</f>
        <v/>
      </c>
      <c r="C314" t="str">
        <f>IF(ISBLANK(JP!BA318),"",JP!BA318)</f>
        <v/>
      </c>
      <c r="D314" t="str">
        <f>IF(ISBLANK(JP!BC318),"",JP!BC318)</f>
        <v/>
      </c>
      <c r="E314" t="str">
        <f>IF(ISBLANK(JP!BB318),"",JP!BB318)</f>
        <v/>
      </c>
      <c r="F314" t="str">
        <f>IF(ISBLANK(JP!D318),"","x")</f>
        <v/>
      </c>
      <c r="G314" t="str">
        <f>IF(ISBLANK(JP!E318),"","x")</f>
        <v/>
      </c>
      <c r="H314" t="str">
        <f>IF(ISBLANK(JP!F318),"","x")</f>
        <v/>
      </c>
      <c r="I314" t="str">
        <f>IF(ISBLANK(JP!G318),"","x")</f>
        <v/>
      </c>
      <c r="J314" t="str">
        <f>IF(ISBLANK(JP!H318),"","x")</f>
        <v/>
      </c>
      <c r="K314" t="str">
        <f>IF(ISBLANK(JP!I318),"","x")</f>
        <v/>
      </c>
      <c r="L314" t="str">
        <f>IF(ISBLANK(JP!J318),"","x")</f>
        <v/>
      </c>
      <c r="M314" t="str">
        <f>IF(ISBLANK(JP!L318),"","x")</f>
        <v/>
      </c>
      <c r="N314" t="str">
        <f>IF(ISBLANK(JP!M318),"","x")</f>
        <v/>
      </c>
      <c r="O314" t="str">
        <f>IF(ISBLANK(JP!N318),"","x")</f>
        <v/>
      </c>
      <c r="P314" t="str">
        <f>IF(ISBLANK(JP!O318),"","x")</f>
        <v/>
      </c>
      <c r="Q314" t="str">
        <f>IF(ISBLANK(JP!P318),"","x")</f>
        <v/>
      </c>
      <c r="R314" t="str">
        <f>IF(ISBLANK(JP!Q318),"","x")</f>
        <v/>
      </c>
      <c r="S314" t="str">
        <f>IF(ISBLANK(JP!R318),"","x")</f>
        <v/>
      </c>
      <c r="T314" t="str">
        <f>IF(ISBLANK(JP!T318),"","x")</f>
        <v/>
      </c>
      <c r="U314" t="str">
        <f>IF(ISBLANK(JP!U318),"","x")</f>
        <v/>
      </c>
      <c r="V314" t="str">
        <f>IF(ISBLANK(JP!V318),"","x")</f>
        <v/>
      </c>
      <c r="W314" t="str">
        <f>IF(ISBLANK(JP!W318),"","x")</f>
        <v/>
      </c>
      <c r="X314" t="str">
        <f>IF(ISBLANK(JP!X318),"","x")</f>
        <v/>
      </c>
      <c r="Y314" t="str">
        <f>IF(ISBLANK(JP!Y318),"","x")</f>
        <v/>
      </c>
      <c r="Z314" t="str">
        <f>IF(ISBLANK(JP!Z318),"","x")</f>
        <v/>
      </c>
      <c r="AA314" t="str">
        <f>IF(ISBLANK(JP!AB318),"","x")</f>
        <v/>
      </c>
      <c r="AB314" t="str">
        <f>IF(ISBLANK(JP!AC318),"","x")</f>
        <v/>
      </c>
      <c r="AC314" t="str">
        <f>IF(ISBLANK(JP!AD318),"","x")</f>
        <v/>
      </c>
      <c r="AD314" t="str">
        <f>IF(ISBLANK(JP!AE318),"","x")</f>
        <v/>
      </c>
      <c r="AE314" t="str">
        <f>IF(ISBLANK(JP!AF318),"","x")</f>
        <v/>
      </c>
      <c r="AF314" t="str">
        <f>IF(ISBLANK(JP!AG318),"","x")</f>
        <v/>
      </c>
      <c r="AG314" t="str">
        <f>IF(ISBLANK(JP!AH318),"","x")</f>
        <v/>
      </c>
      <c r="AH314" t="str">
        <f>IF(ISBLANK(JP!AJ318),"","x")</f>
        <v/>
      </c>
      <c r="AI314" t="str">
        <f>IF(ISBLANK(JP!AK318),"","x")</f>
        <v/>
      </c>
      <c r="AJ314" t="str">
        <f>IF(ISBLANK(JP!AL318),"","x")</f>
        <v/>
      </c>
      <c r="AK314" t="str">
        <f>IF(ISBLANK(JP!AM318),"","x")</f>
        <v/>
      </c>
      <c r="AL314" t="str">
        <f>IF(ISBLANK(JP!AN318),"","x")</f>
        <v/>
      </c>
      <c r="AM314" t="str">
        <f>IF(ISBLANK(JP!AO318),"","x")</f>
        <v/>
      </c>
      <c r="AN314" t="str">
        <f>IF(ISBLANK(JP!AP318),"","x")</f>
        <v/>
      </c>
      <c r="AO314" t="str">
        <f>IF(ISBLANK(JP!AR318),"","x")</f>
        <v/>
      </c>
      <c r="AP314" t="str">
        <f>IF(ISBLANK(JP!AS318),"","x")</f>
        <v/>
      </c>
      <c r="AQ314" t="str">
        <f>IF(ISBLANK(JP!AT318),"","x")</f>
        <v/>
      </c>
      <c r="AR314" t="str">
        <f>IF(ISBLANK(JP!AU318),"","x")</f>
        <v/>
      </c>
      <c r="AS314" t="str">
        <f>IF(ISBLANK(JP!AV318),"","x")</f>
        <v/>
      </c>
      <c r="AT314" t="str">
        <f>IF(ISBLANK(JP!AW318),"","x")</f>
        <v/>
      </c>
      <c r="AU314" t="str">
        <f>IF(ISBLANK(JP!AX318),"","x")</f>
        <v/>
      </c>
    </row>
    <row r="315" spans="2:47">
      <c r="B315" t="str">
        <f>IF(ISBLANK(JP!AZ319),"",JP!AZ319)</f>
        <v/>
      </c>
      <c r="C315" t="str">
        <f>IF(ISBLANK(JP!BA319),"",JP!BA319)</f>
        <v/>
      </c>
      <c r="D315" t="str">
        <f>IF(ISBLANK(JP!BC319),"",JP!BC319)</f>
        <v/>
      </c>
      <c r="E315" t="str">
        <f>IF(ISBLANK(JP!BB319),"",JP!BB319)</f>
        <v/>
      </c>
      <c r="F315" t="str">
        <f>IF(ISBLANK(JP!D319),"","x")</f>
        <v/>
      </c>
      <c r="G315" t="str">
        <f>IF(ISBLANK(JP!E319),"","x")</f>
        <v/>
      </c>
      <c r="H315" t="str">
        <f>IF(ISBLANK(JP!F319),"","x")</f>
        <v/>
      </c>
      <c r="I315" t="str">
        <f>IF(ISBLANK(JP!G319),"","x")</f>
        <v/>
      </c>
      <c r="J315" t="str">
        <f>IF(ISBLANK(JP!H319),"","x")</f>
        <v/>
      </c>
      <c r="K315" t="str">
        <f>IF(ISBLANK(JP!I319),"","x")</f>
        <v/>
      </c>
      <c r="L315" t="str">
        <f>IF(ISBLANK(JP!J319),"","x")</f>
        <v/>
      </c>
      <c r="M315" t="str">
        <f>IF(ISBLANK(JP!L319),"","x")</f>
        <v/>
      </c>
      <c r="N315" t="str">
        <f>IF(ISBLANK(JP!M319),"","x")</f>
        <v/>
      </c>
      <c r="O315" t="str">
        <f>IF(ISBLANK(JP!N319),"","x")</f>
        <v/>
      </c>
      <c r="P315" t="str">
        <f>IF(ISBLANK(JP!O319),"","x")</f>
        <v/>
      </c>
      <c r="Q315" t="str">
        <f>IF(ISBLANK(JP!P319),"","x")</f>
        <v/>
      </c>
      <c r="R315" t="str">
        <f>IF(ISBLANK(JP!Q319),"","x")</f>
        <v/>
      </c>
      <c r="S315" t="str">
        <f>IF(ISBLANK(JP!R319),"","x")</f>
        <v/>
      </c>
      <c r="T315" t="str">
        <f>IF(ISBLANK(JP!T319),"","x")</f>
        <v/>
      </c>
      <c r="U315" t="str">
        <f>IF(ISBLANK(JP!U319),"","x")</f>
        <v/>
      </c>
      <c r="V315" t="str">
        <f>IF(ISBLANK(JP!V319),"","x")</f>
        <v/>
      </c>
      <c r="W315" t="str">
        <f>IF(ISBLANK(JP!W319),"","x")</f>
        <v/>
      </c>
      <c r="X315" t="str">
        <f>IF(ISBLANK(JP!X319),"","x")</f>
        <v/>
      </c>
      <c r="Y315" t="str">
        <f>IF(ISBLANK(JP!Y319),"","x")</f>
        <v/>
      </c>
      <c r="Z315" t="str">
        <f>IF(ISBLANK(JP!Z319),"","x")</f>
        <v/>
      </c>
      <c r="AA315" t="str">
        <f>IF(ISBLANK(JP!AB319),"","x")</f>
        <v/>
      </c>
      <c r="AB315" t="str">
        <f>IF(ISBLANK(JP!AC319),"","x")</f>
        <v/>
      </c>
      <c r="AC315" t="str">
        <f>IF(ISBLANK(JP!AD319),"","x")</f>
        <v/>
      </c>
      <c r="AD315" t="str">
        <f>IF(ISBLANK(JP!AE319),"","x")</f>
        <v/>
      </c>
      <c r="AE315" t="str">
        <f>IF(ISBLANK(JP!AF319),"","x")</f>
        <v/>
      </c>
      <c r="AF315" t="str">
        <f>IF(ISBLANK(JP!AG319),"","x")</f>
        <v/>
      </c>
      <c r="AG315" t="str">
        <f>IF(ISBLANK(JP!AH319),"","x")</f>
        <v/>
      </c>
      <c r="AH315" t="str">
        <f>IF(ISBLANK(JP!AJ319),"","x")</f>
        <v/>
      </c>
      <c r="AI315" t="str">
        <f>IF(ISBLANK(JP!AK319),"","x")</f>
        <v/>
      </c>
      <c r="AJ315" t="str">
        <f>IF(ISBLANK(JP!AL319),"","x")</f>
        <v/>
      </c>
      <c r="AK315" t="str">
        <f>IF(ISBLANK(JP!AM319),"","x")</f>
        <v/>
      </c>
      <c r="AL315" t="str">
        <f>IF(ISBLANK(JP!AN319),"","x")</f>
        <v/>
      </c>
      <c r="AM315" t="str">
        <f>IF(ISBLANK(JP!AO319),"","x")</f>
        <v/>
      </c>
      <c r="AN315" t="str">
        <f>IF(ISBLANK(JP!AP319),"","x")</f>
        <v/>
      </c>
      <c r="AO315" t="str">
        <f>IF(ISBLANK(JP!AR319),"","x")</f>
        <v/>
      </c>
      <c r="AP315" t="str">
        <f>IF(ISBLANK(JP!AS319),"","x")</f>
        <v/>
      </c>
      <c r="AQ315" t="str">
        <f>IF(ISBLANK(JP!AT319),"","x")</f>
        <v/>
      </c>
      <c r="AR315" t="str">
        <f>IF(ISBLANK(JP!AU319),"","x")</f>
        <v/>
      </c>
      <c r="AS315" t="str">
        <f>IF(ISBLANK(JP!AV319),"","x")</f>
        <v/>
      </c>
      <c r="AT315" t="str">
        <f>IF(ISBLANK(JP!AW319),"","x")</f>
        <v/>
      </c>
      <c r="AU315" t="str">
        <f>IF(ISBLANK(JP!AX319),"","x")</f>
        <v/>
      </c>
    </row>
    <row r="316" spans="2:47">
      <c r="B316" t="str">
        <f>IF(ISBLANK(JP!AZ320),"",JP!AZ320)</f>
        <v/>
      </c>
      <c r="C316" t="str">
        <f>IF(ISBLANK(JP!BA320),"",JP!BA320)</f>
        <v/>
      </c>
      <c r="D316" t="str">
        <f>IF(ISBLANK(JP!BC320),"",JP!BC320)</f>
        <v/>
      </c>
      <c r="E316" t="str">
        <f>IF(ISBLANK(JP!BB320),"",JP!BB320)</f>
        <v/>
      </c>
      <c r="F316" t="str">
        <f>IF(ISBLANK(JP!D320),"","x")</f>
        <v/>
      </c>
      <c r="G316" t="str">
        <f>IF(ISBLANK(JP!E320),"","x")</f>
        <v/>
      </c>
      <c r="H316" t="str">
        <f>IF(ISBLANK(JP!F320),"","x")</f>
        <v/>
      </c>
      <c r="I316" t="str">
        <f>IF(ISBLANK(JP!G320),"","x")</f>
        <v/>
      </c>
      <c r="J316" t="str">
        <f>IF(ISBLANK(JP!H320),"","x")</f>
        <v/>
      </c>
      <c r="K316" t="str">
        <f>IF(ISBLANK(JP!I320),"","x")</f>
        <v/>
      </c>
      <c r="L316" t="str">
        <f>IF(ISBLANK(JP!J320),"","x")</f>
        <v/>
      </c>
      <c r="M316" t="str">
        <f>IF(ISBLANK(JP!L320),"","x")</f>
        <v/>
      </c>
      <c r="N316" t="str">
        <f>IF(ISBLANK(JP!M320),"","x")</f>
        <v/>
      </c>
      <c r="O316" t="str">
        <f>IF(ISBLANK(JP!N320),"","x")</f>
        <v/>
      </c>
      <c r="P316" t="str">
        <f>IF(ISBLANK(JP!O320),"","x")</f>
        <v/>
      </c>
      <c r="Q316" t="str">
        <f>IF(ISBLANK(JP!P320),"","x")</f>
        <v/>
      </c>
      <c r="R316" t="str">
        <f>IF(ISBLANK(JP!Q320),"","x")</f>
        <v/>
      </c>
      <c r="S316" t="str">
        <f>IF(ISBLANK(JP!R320),"","x")</f>
        <v/>
      </c>
      <c r="T316" t="str">
        <f>IF(ISBLANK(JP!T320),"","x")</f>
        <v/>
      </c>
      <c r="U316" t="str">
        <f>IF(ISBLANK(JP!U320),"","x")</f>
        <v/>
      </c>
      <c r="V316" t="str">
        <f>IF(ISBLANK(JP!V320),"","x")</f>
        <v/>
      </c>
      <c r="W316" t="str">
        <f>IF(ISBLANK(JP!W320),"","x")</f>
        <v/>
      </c>
      <c r="X316" t="str">
        <f>IF(ISBLANK(JP!X320),"","x")</f>
        <v/>
      </c>
      <c r="Y316" t="str">
        <f>IF(ISBLANK(JP!Y320),"","x")</f>
        <v/>
      </c>
      <c r="Z316" t="str">
        <f>IF(ISBLANK(JP!Z320),"","x")</f>
        <v/>
      </c>
      <c r="AA316" t="str">
        <f>IF(ISBLANK(JP!AB320),"","x")</f>
        <v/>
      </c>
      <c r="AB316" t="str">
        <f>IF(ISBLANK(JP!AC320),"","x")</f>
        <v/>
      </c>
      <c r="AC316" t="str">
        <f>IF(ISBLANK(JP!AD320),"","x")</f>
        <v/>
      </c>
      <c r="AD316" t="str">
        <f>IF(ISBLANK(JP!AE320),"","x")</f>
        <v/>
      </c>
      <c r="AE316" t="str">
        <f>IF(ISBLANK(JP!AF320),"","x")</f>
        <v/>
      </c>
      <c r="AF316" t="str">
        <f>IF(ISBLANK(JP!AG320),"","x")</f>
        <v/>
      </c>
      <c r="AG316" t="str">
        <f>IF(ISBLANK(JP!AH320),"","x")</f>
        <v/>
      </c>
      <c r="AH316" t="str">
        <f>IF(ISBLANK(JP!AJ320),"","x")</f>
        <v/>
      </c>
      <c r="AI316" t="str">
        <f>IF(ISBLANK(JP!AK320),"","x")</f>
        <v/>
      </c>
      <c r="AJ316" t="str">
        <f>IF(ISBLANK(JP!AL320),"","x")</f>
        <v/>
      </c>
      <c r="AK316" t="str">
        <f>IF(ISBLANK(JP!AM320),"","x")</f>
        <v/>
      </c>
      <c r="AL316" t="str">
        <f>IF(ISBLANK(JP!AN320),"","x")</f>
        <v/>
      </c>
      <c r="AM316" t="str">
        <f>IF(ISBLANK(JP!AO320),"","x")</f>
        <v/>
      </c>
      <c r="AN316" t="str">
        <f>IF(ISBLANK(JP!AP320),"","x")</f>
        <v/>
      </c>
      <c r="AO316" t="str">
        <f>IF(ISBLANK(JP!AR320),"","x")</f>
        <v/>
      </c>
      <c r="AP316" t="str">
        <f>IF(ISBLANK(JP!AS320),"","x")</f>
        <v/>
      </c>
      <c r="AQ316" t="str">
        <f>IF(ISBLANK(JP!AT320),"","x")</f>
        <v/>
      </c>
      <c r="AR316" t="str">
        <f>IF(ISBLANK(JP!AU320),"","x")</f>
        <v/>
      </c>
      <c r="AS316" t="str">
        <f>IF(ISBLANK(JP!AV320),"","x")</f>
        <v/>
      </c>
      <c r="AT316" t="str">
        <f>IF(ISBLANK(JP!AW320),"","x")</f>
        <v/>
      </c>
      <c r="AU316" t="str">
        <f>IF(ISBLANK(JP!AX320),"","x")</f>
        <v/>
      </c>
    </row>
    <row r="317" spans="2:47">
      <c r="B317" t="str">
        <f>IF(ISBLANK(JP!AZ321),"",JP!AZ321)</f>
        <v/>
      </c>
      <c r="C317" t="str">
        <f>IF(ISBLANK(JP!BA321),"",JP!BA321)</f>
        <v/>
      </c>
      <c r="D317" t="str">
        <f>IF(ISBLANK(JP!BC321),"",JP!BC321)</f>
        <v/>
      </c>
      <c r="E317" t="str">
        <f>IF(ISBLANK(JP!BB321),"",JP!BB321)</f>
        <v/>
      </c>
      <c r="F317" t="str">
        <f>IF(ISBLANK(JP!D321),"","x")</f>
        <v/>
      </c>
      <c r="G317" t="str">
        <f>IF(ISBLANK(JP!E321),"","x")</f>
        <v/>
      </c>
      <c r="H317" t="str">
        <f>IF(ISBLANK(JP!F321),"","x")</f>
        <v/>
      </c>
      <c r="I317" t="str">
        <f>IF(ISBLANK(JP!G321),"","x")</f>
        <v/>
      </c>
      <c r="J317" t="str">
        <f>IF(ISBLANK(JP!H321),"","x")</f>
        <v/>
      </c>
      <c r="K317" t="str">
        <f>IF(ISBLANK(JP!I321),"","x")</f>
        <v/>
      </c>
      <c r="L317" t="str">
        <f>IF(ISBLANK(JP!J321),"","x")</f>
        <v/>
      </c>
      <c r="M317" t="str">
        <f>IF(ISBLANK(JP!L321),"","x")</f>
        <v/>
      </c>
      <c r="N317" t="str">
        <f>IF(ISBLANK(JP!M321),"","x")</f>
        <v/>
      </c>
      <c r="O317" t="str">
        <f>IF(ISBLANK(JP!N321),"","x")</f>
        <v/>
      </c>
      <c r="P317" t="str">
        <f>IF(ISBLANK(JP!O321),"","x")</f>
        <v/>
      </c>
      <c r="Q317" t="str">
        <f>IF(ISBLANK(JP!P321),"","x")</f>
        <v/>
      </c>
      <c r="R317" t="str">
        <f>IF(ISBLANK(JP!Q321),"","x")</f>
        <v/>
      </c>
      <c r="S317" t="str">
        <f>IF(ISBLANK(JP!R321),"","x")</f>
        <v/>
      </c>
      <c r="T317" t="str">
        <f>IF(ISBLANK(JP!T321),"","x")</f>
        <v/>
      </c>
      <c r="U317" t="str">
        <f>IF(ISBLANK(JP!U321),"","x")</f>
        <v/>
      </c>
      <c r="V317" t="str">
        <f>IF(ISBLANK(JP!V321),"","x")</f>
        <v/>
      </c>
      <c r="W317" t="str">
        <f>IF(ISBLANK(JP!W321),"","x")</f>
        <v/>
      </c>
      <c r="X317" t="str">
        <f>IF(ISBLANK(JP!X321),"","x")</f>
        <v/>
      </c>
      <c r="Y317" t="str">
        <f>IF(ISBLANK(JP!Y321),"","x")</f>
        <v/>
      </c>
      <c r="Z317" t="str">
        <f>IF(ISBLANK(JP!Z321),"","x")</f>
        <v/>
      </c>
      <c r="AA317" t="str">
        <f>IF(ISBLANK(JP!AB321),"","x")</f>
        <v/>
      </c>
      <c r="AB317" t="str">
        <f>IF(ISBLANK(JP!AC321),"","x")</f>
        <v/>
      </c>
      <c r="AC317" t="str">
        <f>IF(ISBLANK(JP!AD321),"","x")</f>
        <v/>
      </c>
      <c r="AD317" t="str">
        <f>IF(ISBLANK(JP!AE321),"","x")</f>
        <v/>
      </c>
      <c r="AE317" t="str">
        <f>IF(ISBLANK(JP!AF321),"","x")</f>
        <v/>
      </c>
      <c r="AF317" t="str">
        <f>IF(ISBLANK(JP!AG321),"","x")</f>
        <v/>
      </c>
      <c r="AG317" t="str">
        <f>IF(ISBLANK(JP!AH321),"","x")</f>
        <v/>
      </c>
      <c r="AH317" t="str">
        <f>IF(ISBLANK(JP!AJ321),"","x")</f>
        <v/>
      </c>
      <c r="AI317" t="str">
        <f>IF(ISBLANK(JP!AK321),"","x")</f>
        <v/>
      </c>
      <c r="AJ317" t="str">
        <f>IF(ISBLANK(JP!AL321),"","x")</f>
        <v/>
      </c>
      <c r="AK317" t="str">
        <f>IF(ISBLANK(JP!AM321),"","x")</f>
        <v/>
      </c>
      <c r="AL317" t="str">
        <f>IF(ISBLANK(JP!AN321),"","x")</f>
        <v/>
      </c>
      <c r="AM317" t="str">
        <f>IF(ISBLANK(JP!AO321),"","x")</f>
        <v/>
      </c>
      <c r="AN317" t="str">
        <f>IF(ISBLANK(JP!AP321),"","x")</f>
        <v/>
      </c>
      <c r="AO317" t="str">
        <f>IF(ISBLANK(JP!AR321),"","x")</f>
        <v/>
      </c>
      <c r="AP317" t="str">
        <f>IF(ISBLANK(JP!AS321),"","x")</f>
        <v/>
      </c>
      <c r="AQ317" t="str">
        <f>IF(ISBLANK(JP!AT321),"","x")</f>
        <v/>
      </c>
      <c r="AR317" t="str">
        <f>IF(ISBLANK(JP!AU321),"","x")</f>
        <v/>
      </c>
      <c r="AS317" t="str">
        <f>IF(ISBLANK(JP!AV321),"","x")</f>
        <v/>
      </c>
      <c r="AT317" t="str">
        <f>IF(ISBLANK(JP!AW321),"","x")</f>
        <v/>
      </c>
      <c r="AU317" t="str">
        <f>IF(ISBLANK(JP!AX321),"","x")</f>
        <v/>
      </c>
    </row>
    <row r="318" spans="2:47">
      <c r="B318" t="str">
        <f>IF(ISBLANK(JP!AZ322),"",JP!AZ322)</f>
        <v/>
      </c>
      <c r="C318" t="str">
        <f>IF(ISBLANK(JP!BA322),"",JP!BA322)</f>
        <v/>
      </c>
      <c r="D318" t="str">
        <f>IF(ISBLANK(JP!BC322),"",JP!BC322)</f>
        <v/>
      </c>
      <c r="E318" t="str">
        <f>IF(ISBLANK(JP!BB322),"",JP!BB322)</f>
        <v/>
      </c>
      <c r="F318" t="str">
        <f>IF(ISBLANK(JP!D322),"","x")</f>
        <v/>
      </c>
      <c r="G318" t="str">
        <f>IF(ISBLANK(JP!E322),"","x")</f>
        <v/>
      </c>
      <c r="H318" t="str">
        <f>IF(ISBLANK(JP!F322),"","x")</f>
        <v/>
      </c>
      <c r="I318" t="str">
        <f>IF(ISBLANK(JP!G322),"","x")</f>
        <v/>
      </c>
      <c r="J318" t="str">
        <f>IF(ISBLANK(JP!H322),"","x")</f>
        <v/>
      </c>
      <c r="K318" t="str">
        <f>IF(ISBLANK(JP!I322),"","x")</f>
        <v/>
      </c>
      <c r="L318" t="str">
        <f>IF(ISBLANK(JP!J322),"","x")</f>
        <v/>
      </c>
      <c r="M318" t="str">
        <f>IF(ISBLANK(JP!L322),"","x")</f>
        <v/>
      </c>
      <c r="N318" t="str">
        <f>IF(ISBLANK(JP!M322),"","x")</f>
        <v/>
      </c>
      <c r="O318" t="str">
        <f>IF(ISBLANK(JP!N322),"","x")</f>
        <v/>
      </c>
      <c r="P318" t="str">
        <f>IF(ISBLANK(JP!O322),"","x")</f>
        <v/>
      </c>
      <c r="Q318" t="str">
        <f>IF(ISBLANK(JP!P322),"","x")</f>
        <v/>
      </c>
      <c r="R318" t="str">
        <f>IF(ISBLANK(JP!Q322),"","x")</f>
        <v/>
      </c>
      <c r="S318" t="str">
        <f>IF(ISBLANK(JP!R322),"","x")</f>
        <v/>
      </c>
      <c r="T318" t="str">
        <f>IF(ISBLANK(JP!T322),"","x")</f>
        <v/>
      </c>
      <c r="U318" t="str">
        <f>IF(ISBLANK(JP!U322),"","x")</f>
        <v/>
      </c>
      <c r="V318" t="str">
        <f>IF(ISBLANK(JP!V322),"","x")</f>
        <v/>
      </c>
      <c r="W318" t="str">
        <f>IF(ISBLANK(JP!W322),"","x")</f>
        <v/>
      </c>
      <c r="X318" t="str">
        <f>IF(ISBLANK(JP!X322),"","x")</f>
        <v/>
      </c>
      <c r="Y318" t="str">
        <f>IF(ISBLANK(JP!Y322),"","x")</f>
        <v/>
      </c>
      <c r="Z318" t="str">
        <f>IF(ISBLANK(JP!Z322),"","x")</f>
        <v/>
      </c>
      <c r="AA318" t="str">
        <f>IF(ISBLANK(JP!AB322),"","x")</f>
        <v/>
      </c>
      <c r="AB318" t="str">
        <f>IF(ISBLANK(JP!AC322),"","x")</f>
        <v/>
      </c>
      <c r="AC318" t="str">
        <f>IF(ISBLANK(JP!AD322),"","x")</f>
        <v/>
      </c>
      <c r="AD318" t="str">
        <f>IF(ISBLANK(JP!AE322),"","x")</f>
        <v/>
      </c>
      <c r="AE318" t="str">
        <f>IF(ISBLANK(JP!AF322),"","x")</f>
        <v/>
      </c>
      <c r="AF318" t="str">
        <f>IF(ISBLANK(JP!AG322),"","x")</f>
        <v/>
      </c>
      <c r="AG318" t="str">
        <f>IF(ISBLANK(JP!AH322),"","x")</f>
        <v/>
      </c>
      <c r="AH318" t="str">
        <f>IF(ISBLANK(JP!AJ322),"","x")</f>
        <v/>
      </c>
      <c r="AI318" t="str">
        <f>IF(ISBLANK(JP!AK322),"","x")</f>
        <v/>
      </c>
      <c r="AJ318" t="str">
        <f>IF(ISBLANK(JP!AL322),"","x")</f>
        <v/>
      </c>
      <c r="AK318" t="str">
        <f>IF(ISBLANK(JP!AM322),"","x")</f>
        <v/>
      </c>
      <c r="AL318" t="str">
        <f>IF(ISBLANK(JP!AN322),"","x")</f>
        <v/>
      </c>
      <c r="AM318" t="str">
        <f>IF(ISBLANK(JP!AO322),"","x")</f>
        <v/>
      </c>
      <c r="AN318" t="str">
        <f>IF(ISBLANK(JP!AP322),"","x")</f>
        <v/>
      </c>
      <c r="AO318" t="str">
        <f>IF(ISBLANK(JP!AR322),"","x")</f>
        <v/>
      </c>
      <c r="AP318" t="str">
        <f>IF(ISBLANK(JP!AS322),"","x")</f>
        <v/>
      </c>
      <c r="AQ318" t="str">
        <f>IF(ISBLANK(JP!AT322),"","x")</f>
        <v/>
      </c>
      <c r="AR318" t="str">
        <f>IF(ISBLANK(JP!AU322),"","x")</f>
        <v/>
      </c>
      <c r="AS318" t="str">
        <f>IF(ISBLANK(JP!AV322),"","x")</f>
        <v/>
      </c>
      <c r="AT318" t="str">
        <f>IF(ISBLANK(JP!AW322),"","x")</f>
        <v/>
      </c>
      <c r="AU318" t="str">
        <f>IF(ISBLANK(JP!AX322),"","x")</f>
        <v/>
      </c>
    </row>
    <row r="319" spans="2:47">
      <c r="B319" t="str">
        <f>IF(ISBLANK(JP!AZ323),"",JP!AZ323)</f>
        <v/>
      </c>
      <c r="C319" t="str">
        <f>IF(ISBLANK(JP!BA323),"",JP!BA323)</f>
        <v/>
      </c>
      <c r="D319" t="str">
        <f>IF(ISBLANK(JP!BC323),"",JP!BC323)</f>
        <v/>
      </c>
      <c r="E319" t="str">
        <f>IF(ISBLANK(JP!BB323),"",JP!BB323)</f>
        <v/>
      </c>
      <c r="F319" t="str">
        <f>IF(ISBLANK(JP!D323),"","x")</f>
        <v/>
      </c>
      <c r="G319" t="str">
        <f>IF(ISBLANK(JP!E323),"","x")</f>
        <v/>
      </c>
      <c r="H319" t="str">
        <f>IF(ISBLANK(JP!F323),"","x")</f>
        <v/>
      </c>
      <c r="I319" t="str">
        <f>IF(ISBLANK(JP!G323),"","x")</f>
        <v/>
      </c>
      <c r="J319" t="str">
        <f>IF(ISBLANK(JP!H323),"","x")</f>
        <v/>
      </c>
      <c r="K319" t="str">
        <f>IF(ISBLANK(JP!I323),"","x")</f>
        <v/>
      </c>
      <c r="L319" t="str">
        <f>IF(ISBLANK(JP!J323),"","x")</f>
        <v/>
      </c>
      <c r="M319" t="str">
        <f>IF(ISBLANK(JP!L323),"","x")</f>
        <v/>
      </c>
      <c r="N319" t="str">
        <f>IF(ISBLANK(JP!M323),"","x")</f>
        <v/>
      </c>
      <c r="O319" t="str">
        <f>IF(ISBLANK(JP!N323),"","x")</f>
        <v/>
      </c>
      <c r="P319" t="str">
        <f>IF(ISBLANK(JP!O323),"","x")</f>
        <v/>
      </c>
      <c r="Q319" t="str">
        <f>IF(ISBLANK(JP!P323),"","x")</f>
        <v/>
      </c>
      <c r="R319" t="str">
        <f>IF(ISBLANK(JP!Q323),"","x")</f>
        <v/>
      </c>
      <c r="S319" t="str">
        <f>IF(ISBLANK(JP!R323),"","x")</f>
        <v/>
      </c>
      <c r="T319" t="str">
        <f>IF(ISBLANK(JP!T323),"","x")</f>
        <v/>
      </c>
      <c r="U319" t="str">
        <f>IF(ISBLANK(JP!U323),"","x")</f>
        <v/>
      </c>
      <c r="V319" t="str">
        <f>IF(ISBLANK(JP!V323),"","x")</f>
        <v/>
      </c>
      <c r="W319" t="str">
        <f>IF(ISBLANK(JP!W323),"","x")</f>
        <v/>
      </c>
      <c r="X319" t="str">
        <f>IF(ISBLANK(JP!X323),"","x")</f>
        <v/>
      </c>
      <c r="Y319" t="str">
        <f>IF(ISBLANK(JP!Y323),"","x")</f>
        <v/>
      </c>
      <c r="Z319" t="str">
        <f>IF(ISBLANK(JP!Z323),"","x")</f>
        <v/>
      </c>
      <c r="AA319" t="str">
        <f>IF(ISBLANK(JP!AB323),"","x")</f>
        <v/>
      </c>
      <c r="AB319" t="str">
        <f>IF(ISBLANK(JP!AC323),"","x")</f>
        <v/>
      </c>
      <c r="AC319" t="str">
        <f>IF(ISBLANK(JP!AD323),"","x")</f>
        <v/>
      </c>
      <c r="AD319" t="str">
        <f>IF(ISBLANK(JP!AE323),"","x")</f>
        <v/>
      </c>
      <c r="AE319" t="str">
        <f>IF(ISBLANK(JP!AF323),"","x")</f>
        <v/>
      </c>
      <c r="AF319" t="str">
        <f>IF(ISBLANK(JP!AG323),"","x")</f>
        <v/>
      </c>
      <c r="AG319" t="str">
        <f>IF(ISBLANK(JP!AH323),"","x")</f>
        <v/>
      </c>
      <c r="AH319" t="str">
        <f>IF(ISBLANK(JP!AJ323),"","x")</f>
        <v/>
      </c>
      <c r="AI319" t="str">
        <f>IF(ISBLANK(JP!AK323),"","x")</f>
        <v/>
      </c>
      <c r="AJ319" t="str">
        <f>IF(ISBLANK(JP!AL323),"","x")</f>
        <v/>
      </c>
      <c r="AK319" t="str">
        <f>IF(ISBLANK(JP!AM323),"","x")</f>
        <v/>
      </c>
      <c r="AL319" t="str">
        <f>IF(ISBLANK(JP!AN323),"","x")</f>
        <v/>
      </c>
      <c r="AM319" t="str">
        <f>IF(ISBLANK(JP!AO323),"","x")</f>
        <v/>
      </c>
      <c r="AN319" t="str">
        <f>IF(ISBLANK(JP!AP323),"","x")</f>
        <v/>
      </c>
      <c r="AO319" t="str">
        <f>IF(ISBLANK(JP!AR323),"","x")</f>
        <v/>
      </c>
      <c r="AP319" t="str">
        <f>IF(ISBLANK(JP!AS323),"","x")</f>
        <v/>
      </c>
      <c r="AQ319" t="str">
        <f>IF(ISBLANK(JP!AT323),"","x")</f>
        <v/>
      </c>
      <c r="AR319" t="str">
        <f>IF(ISBLANK(JP!AU323),"","x")</f>
        <v/>
      </c>
      <c r="AS319" t="str">
        <f>IF(ISBLANK(JP!AV323),"","x")</f>
        <v/>
      </c>
      <c r="AT319" t="str">
        <f>IF(ISBLANK(JP!AW323),"","x")</f>
        <v/>
      </c>
      <c r="AU319" t="str">
        <f>IF(ISBLANK(JP!AX323),"","x")</f>
        <v/>
      </c>
    </row>
    <row r="320" spans="2:47">
      <c r="B320" t="str">
        <f>IF(ISBLANK(JP!AZ324),"",JP!AZ324)</f>
        <v/>
      </c>
      <c r="C320" t="str">
        <f>IF(ISBLANK(JP!BA324),"",JP!BA324)</f>
        <v/>
      </c>
      <c r="D320" t="str">
        <f>IF(ISBLANK(JP!BC324),"",JP!BC324)</f>
        <v/>
      </c>
      <c r="E320" t="str">
        <f>IF(ISBLANK(JP!BB324),"",JP!BB324)</f>
        <v/>
      </c>
      <c r="F320" t="str">
        <f>IF(ISBLANK(JP!D324),"","x")</f>
        <v/>
      </c>
      <c r="G320" t="str">
        <f>IF(ISBLANK(JP!E324),"","x")</f>
        <v/>
      </c>
      <c r="H320" t="str">
        <f>IF(ISBLANK(JP!F324),"","x")</f>
        <v/>
      </c>
      <c r="I320" t="str">
        <f>IF(ISBLANK(JP!G324),"","x")</f>
        <v/>
      </c>
      <c r="J320" t="str">
        <f>IF(ISBLANK(JP!H324),"","x")</f>
        <v/>
      </c>
      <c r="K320" t="str">
        <f>IF(ISBLANK(JP!I324),"","x")</f>
        <v/>
      </c>
      <c r="L320" t="str">
        <f>IF(ISBLANK(JP!J324),"","x")</f>
        <v/>
      </c>
      <c r="M320" t="str">
        <f>IF(ISBLANK(JP!L324),"","x")</f>
        <v/>
      </c>
      <c r="N320" t="str">
        <f>IF(ISBLANK(JP!M324),"","x")</f>
        <v/>
      </c>
      <c r="O320" t="str">
        <f>IF(ISBLANK(JP!N324),"","x")</f>
        <v/>
      </c>
      <c r="P320" t="str">
        <f>IF(ISBLANK(JP!O324),"","x")</f>
        <v/>
      </c>
      <c r="Q320" t="str">
        <f>IF(ISBLANK(JP!P324),"","x")</f>
        <v/>
      </c>
      <c r="R320" t="str">
        <f>IF(ISBLANK(JP!Q324),"","x")</f>
        <v/>
      </c>
      <c r="S320" t="str">
        <f>IF(ISBLANK(JP!R324),"","x")</f>
        <v/>
      </c>
      <c r="T320" t="str">
        <f>IF(ISBLANK(JP!T324),"","x")</f>
        <v/>
      </c>
      <c r="U320" t="str">
        <f>IF(ISBLANK(JP!U324),"","x")</f>
        <v/>
      </c>
      <c r="V320" t="str">
        <f>IF(ISBLANK(JP!V324),"","x")</f>
        <v/>
      </c>
      <c r="W320" t="str">
        <f>IF(ISBLANK(JP!W324),"","x")</f>
        <v/>
      </c>
      <c r="X320" t="str">
        <f>IF(ISBLANK(JP!X324),"","x")</f>
        <v/>
      </c>
      <c r="Y320" t="str">
        <f>IF(ISBLANK(JP!Y324),"","x")</f>
        <v/>
      </c>
      <c r="Z320" t="str">
        <f>IF(ISBLANK(JP!Z324),"","x")</f>
        <v/>
      </c>
      <c r="AA320" t="str">
        <f>IF(ISBLANK(JP!AB324),"","x")</f>
        <v/>
      </c>
      <c r="AB320" t="str">
        <f>IF(ISBLANK(JP!AC324),"","x")</f>
        <v/>
      </c>
      <c r="AC320" t="str">
        <f>IF(ISBLANK(JP!AD324),"","x")</f>
        <v/>
      </c>
      <c r="AD320" t="str">
        <f>IF(ISBLANK(JP!AE324),"","x")</f>
        <v/>
      </c>
      <c r="AE320" t="str">
        <f>IF(ISBLANK(JP!AF324),"","x")</f>
        <v/>
      </c>
      <c r="AF320" t="str">
        <f>IF(ISBLANK(JP!AG324),"","x")</f>
        <v/>
      </c>
      <c r="AG320" t="str">
        <f>IF(ISBLANK(JP!AH324),"","x")</f>
        <v/>
      </c>
      <c r="AH320" t="str">
        <f>IF(ISBLANK(JP!AJ324),"","x")</f>
        <v/>
      </c>
      <c r="AI320" t="str">
        <f>IF(ISBLANK(JP!AK324),"","x")</f>
        <v/>
      </c>
      <c r="AJ320" t="str">
        <f>IF(ISBLANK(JP!AL324),"","x")</f>
        <v/>
      </c>
      <c r="AK320" t="str">
        <f>IF(ISBLANK(JP!AM324),"","x")</f>
        <v/>
      </c>
      <c r="AL320" t="str">
        <f>IF(ISBLANK(JP!AN324),"","x")</f>
        <v/>
      </c>
      <c r="AM320" t="str">
        <f>IF(ISBLANK(JP!AO324),"","x")</f>
        <v/>
      </c>
      <c r="AN320" t="str">
        <f>IF(ISBLANK(JP!AP324),"","x")</f>
        <v/>
      </c>
      <c r="AO320" t="str">
        <f>IF(ISBLANK(JP!AR324),"","x")</f>
        <v/>
      </c>
      <c r="AP320" t="str">
        <f>IF(ISBLANK(JP!AS324),"","x")</f>
        <v/>
      </c>
      <c r="AQ320" t="str">
        <f>IF(ISBLANK(JP!AT324),"","x")</f>
        <v/>
      </c>
      <c r="AR320" t="str">
        <f>IF(ISBLANK(JP!AU324),"","x")</f>
        <v/>
      </c>
      <c r="AS320" t="str">
        <f>IF(ISBLANK(JP!AV324),"","x")</f>
        <v/>
      </c>
      <c r="AT320" t="str">
        <f>IF(ISBLANK(JP!AW324),"","x")</f>
        <v/>
      </c>
      <c r="AU320" t="str">
        <f>IF(ISBLANK(JP!AX324),"","x")</f>
        <v/>
      </c>
    </row>
    <row r="321" spans="2:47">
      <c r="B321" t="str">
        <f>IF(ISBLANK(JP!AZ325),"",JP!AZ325)</f>
        <v/>
      </c>
      <c r="C321" t="str">
        <f>IF(ISBLANK(JP!BA325),"",JP!BA325)</f>
        <v/>
      </c>
      <c r="D321" t="str">
        <f>IF(ISBLANK(JP!BC325),"",JP!BC325)</f>
        <v/>
      </c>
      <c r="E321" t="str">
        <f>IF(ISBLANK(JP!BB325),"",JP!BB325)</f>
        <v/>
      </c>
      <c r="F321" t="str">
        <f>IF(ISBLANK(JP!D325),"","x")</f>
        <v/>
      </c>
      <c r="G321" t="str">
        <f>IF(ISBLANK(JP!E325),"","x")</f>
        <v/>
      </c>
      <c r="H321" t="str">
        <f>IF(ISBLANK(JP!F325),"","x")</f>
        <v/>
      </c>
      <c r="I321" t="str">
        <f>IF(ISBLANK(JP!G325),"","x")</f>
        <v/>
      </c>
      <c r="J321" t="str">
        <f>IF(ISBLANK(JP!H325),"","x")</f>
        <v/>
      </c>
      <c r="K321" t="str">
        <f>IF(ISBLANK(JP!I325),"","x")</f>
        <v/>
      </c>
      <c r="L321" t="str">
        <f>IF(ISBLANK(JP!J325),"","x")</f>
        <v/>
      </c>
      <c r="M321" t="str">
        <f>IF(ISBLANK(JP!L325),"","x")</f>
        <v/>
      </c>
      <c r="N321" t="str">
        <f>IF(ISBLANK(JP!M325),"","x")</f>
        <v/>
      </c>
      <c r="O321" t="str">
        <f>IF(ISBLANK(JP!N325),"","x")</f>
        <v/>
      </c>
      <c r="P321" t="str">
        <f>IF(ISBLANK(JP!O325),"","x")</f>
        <v/>
      </c>
      <c r="Q321" t="str">
        <f>IF(ISBLANK(JP!P325),"","x")</f>
        <v/>
      </c>
      <c r="R321" t="str">
        <f>IF(ISBLANK(JP!Q325),"","x")</f>
        <v/>
      </c>
      <c r="S321" t="str">
        <f>IF(ISBLANK(JP!R325),"","x")</f>
        <v/>
      </c>
      <c r="T321" t="str">
        <f>IF(ISBLANK(JP!T325),"","x")</f>
        <v/>
      </c>
      <c r="U321" t="str">
        <f>IF(ISBLANK(JP!U325),"","x")</f>
        <v/>
      </c>
      <c r="V321" t="str">
        <f>IF(ISBLANK(JP!V325),"","x")</f>
        <v/>
      </c>
      <c r="W321" t="str">
        <f>IF(ISBLANK(JP!W325),"","x")</f>
        <v/>
      </c>
      <c r="X321" t="str">
        <f>IF(ISBLANK(JP!X325),"","x")</f>
        <v/>
      </c>
      <c r="Y321" t="str">
        <f>IF(ISBLANK(JP!Y325),"","x")</f>
        <v/>
      </c>
      <c r="Z321" t="str">
        <f>IF(ISBLANK(JP!Z325),"","x")</f>
        <v/>
      </c>
      <c r="AA321" t="str">
        <f>IF(ISBLANK(JP!AB325),"","x")</f>
        <v/>
      </c>
      <c r="AB321" t="str">
        <f>IF(ISBLANK(JP!AC325),"","x")</f>
        <v/>
      </c>
      <c r="AC321" t="str">
        <f>IF(ISBLANK(JP!AD325),"","x")</f>
        <v/>
      </c>
      <c r="AD321" t="str">
        <f>IF(ISBLANK(JP!AE325),"","x")</f>
        <v/>
      </c>
      <c r="AE321" t="str">
        <f>IF(ISBLANK(JP!AF325),"","x")</f>
        <v/>
      </c>
      <c r="AF321" t="str">
        <f>IF(ISBLANK(JP!AG325),"","x")</f>
        <v/>
      </c>
      <c r="AG321" t="str">
        <f>IF(ISBLANK(JP!AH325),"","x")</f>
        <v/>
      </c>
      <c r="AH321" t="str">
        <f>IF(ISBLANK(JP!AJ325),"","x")</f>
        <v/>
      </c>
      <c r="AI321" t="str">
        <f>IF(ISBLANK(JP!AK325),"","x")</f>
        <v/>
      </c>
      <c r="AJ321" t="str">
        <f>IF(ISBLANK(JP!AL325),"","x")</f>
        <v/>
      </c>
      <c r="AK321" t="str">
        <f>IF(ISBLANK(JP!AM325),"","x")</f>
        <v/>
      </c>
      <c r="AL321" t="str">
        <f>IF(ISBLANK(JP!AN325),"","x")</f>
        <v/>
      </c>
      <c r="AM321" t="str">
        <f>IF(ISBLANK(JP!AO325),"","x")</f>
        <v/>
      </c>
      <c r="AN321" t="str">
        <f>IF(ISBLANK(JP!AP325),"","x")</f>
        <v/>
      </c>
      <c r="AO321" t="str">
        <f>IF(ISBLANK(JP!AR325),"","x")</f>
        <v/>
      </c>
      <c r="AP321" t="str">
        <f>IF(ISBLANK(JP!AS325),"","x")</f>
        <v/>
      </c>
      <c r="AQ321" t="str">
        <f>IF(ISBLANK(JP!AT325),"","x")</f>
        <v/>
      </c>
      <c r="AR321" t="str">
        <f>IF(ISBLANK(JP!AU325),"","x")</f>
        <v/>
      </c>
      <c r="AS321" t="str">
        <f>IF(ISBLANK(JP!AV325),"","x")</f>
        <v/>
      </c>
      <c r="AT321" t="str">
        <f>IF(ISBLANK(JP!AW325),"","x")</f>
        <v/>
      </c>
      <c r="AU321" t="str">
        <f>IF(ISBLANK(JP!AX325),"","x")</f>
        <v/>
      </c>
    </row>
    <row r="322" spans="2:47">
      <c r="B322" t="str">
        <f>IF(ISBLANK(JP!AZ326),"",JP!AZ326)</f>
        <v/>
      </c>
      <c r="C322" t="str">
        <f>IF(ISBLANK(JP!BA326),"",JP!BA326)</f>
        <v/>
      </c>
      <c r="D322" t="str">
        <f>IF(ISBLANK(JP!BC326),"",JP!BC326)</f>
        <v/>
      </c>
      <c r="E322" t="str">
        <f>IF(ISBLANK(JP!BB326),"",JP!BB326)</f>
        <v/>
      </c>
      <c r="F322" t="str">
        <f>IF(ISBLANK(JP!D326),"","x")</f>
        <v/>
      </c>
      <c r="G322" t="str">
        <f>IF(ISBLANK(JP!E326),"","x")</f>
        <v/>
      </c>
      <c r="H322" t="str">
        <f>IF(ISBLANK(JP!F326),"","x")</f>
        <v/>
      </c>
      <c r="I322" t="str">
        <f>IF(ISBLANK(JP!G326),"","x")</f>
        <v/>
      </c>
      <c r="J322" t="str">
        <f>IF(ISBLANK(JP!H326),"","x")</f>
        <v/>
      </c>
      <c r="K322" t="str">
        <f>IF(ISBLANK(JP!I326),"","x")</f>
        <v/>
      </c>
      <c r="L322" t="str">
        <f>IF(ISBLANK(JP!J326),"","x")</f>
        <v/>
      </c>
      <c r="M322" t="str">
        <f>IF(ISBLANK(JP!L326),"","x")</f>
        <v/>
      </c>
      <c r="N322" t="str">
        <f>IF(ISBLANK(JP!M326),"","x")</f>
        <v/>
      </c>
      <c r="O322" t="str">
        <f>IF(ISBLANK(JP!N326),"","x")</f>
        <v/>
      </c>
      <c r="P322" t="str">
        <f>IF(ISBLANK(JP!O326),"","x")</f>
        <v/>
      </c>
      <c r="Q322" t="str">
        <f>IF(ISBLANK(JP!P326),"","x")</f>
        <v/>
      </c>
      <c r="R322" t="str">
        <f>IF(ISBLANK(JP!Q326),"","x")</f>
        <v/>
      </c>
      <c r="S322" t="str">
        <f>IF(ISBLANK(JP!R326),"","x")</f>
        <v/>
      </c>
      <c r="T322" t="str">
        <f>IF(ISBLANK(JP!T326),"","x")</f>
        <v/>
      </c>
      <c r="U322" t="str">
        <f>IF(ISBLANK(JP!U326),"","x")</f>
        <v/>
      </c>
      <c r="V322" t="str">
        <f>IF(ISBLANK(JP!V326),"","x")</f>
        <v/>
      </c>
      <c r="W322" t="str">
        <f>IF(ISBLANK(JP!W326),"","x")</f>
        <v/>
      </c>
      <c r="X322" t="str">
        <f>IF(ISBLANK(JP!X326),"","x")</f>
        <v/>
      </c>
      <c r="Y322" t="str">
        <f>IF(ISBLANK(JP!Y326),"","x")</f>
        <v/>
      </c>
      <c r="Z322" t="str">
        <f>IF(ISBLANK(JP!Z326),"","x")</f>
        <v/>
      </c>
      <c r="AA322" t="str">
        <f>IF(ISBLANK(JP!AB326),"","x")</f>
        <v/>
      </c>
      <c r="AB322" t="str">
        <f>IF(ISBLANK(JP!AC326),"","x")</f>
        <v/>
      </c>
      <c r="AC322" t="str">
        <f>IF(ISBLANK(JP!AD326),"","x")</f>
        <v/>
      </c>
      <c r="AD322" t="str">
        <f>IF(ISBLANK(JP!AE326),"","x")</f>
        <v/>
      </c>
      <c r="AE322" t="str">
        <f>IF(ISBLANK(JP!AF326),"","x")</f>
        <v/>
      </c>
      <c r="AF322" t="str">
        <f>IF(ISBLANK(JP!AG326),"","x")</f>
        <v/>
      </c>
      <c r="AG322" t="str">
        <f>IF(ISBLANK(JP!AH326),"","x")</f>
        <v/>
      </c>
      <c r="AH322" t="str">
        <f>IF(ISBLANK(JP!AJ326),"","x")</f>
        <v/>
      </c>
      <c r="AI322" t="str">
        <f>IF(ISBLANK(JP!AK326),"","x")</f>
        <v/>
      </c>
      <c r="AJ322" t="str">
        <f>IF(ISBLANK(JP!AL326),"","x")</f>
        <v/>
      </c>
      <c r="AK322" t="str">
        <f>IF(ISBLANK(JP!AM326),"","x")</f>
        <v/>
      </c>
      <c r="AL322" t="str">
        <f>IF(ISBLANK(JP!AN326),"","x")</f>
        <v/>
      </c>
      <c r="AM322" t="str">
        <f>IF(ISBLANK(JP!AO326),"","x")</f>
        <v/>
      </c>
      <c r="AN322" t="str">
        <f>IF(ISBLANK(JP!AP326),"","x")</f>
        <v/>
      </c>
      <c r="AO322" t="str">
        <f>IF(ISBLANK(JP!AR326),"","x")</f>
        <v/>
      </c>
      <c r="AP322" t="str">
        <f>IF(ISBLANK(JP!AS326),"","x")</f>
        <v/>
      </c>
      <c r="AQ322" t="str">
        <f>IF(ISBLANK(JP!AT326),"","x")</f>
        <v/>
      </c>
      <c r="AR322" t="str">
        <f>IF(ISBLANK(JP!AU326),"","x")</f>
        <v/>
      </c>
      <c r="AS322" t="str">
        <f>IF(ISBLANK(JP!AV326),"","x")</f>
        <v/>
      </c>
      <c r="AT322" t="str">
        <f>IF(ISBLANK(JP!AW326),"","x")</f>
        <v/>
      </c>
      <c r="AU322" t="str">
        <f>IF(ISBLANK(JP!AX326),"","x")</f>
        <v/>
      </c>
    </row>
    <row r="323" spans="2:47">
      <c r="B323" t="str">
        <f>IF(ISBLANK(JP!AZ327),"",JP!AZ327)</f>
        <v/>
      </c>
      <c r="C323" t="str">
        <f>IF(ISBLANK(JP!BA327),"",JP!BA327)</f>
        <v/>
      </c>
      <c r="D323" t="str">
        <f>IF(ISBLANK(JP!BC327),"",JP!BC327)</f>
        <v/>
      </c>
      <c r="E323" t="str">
        <f>IF(ISBLANK(JP!BB327),"",JP!BB327)</f>
        <v/>
      </c>
      <c r="F323" t="str">
        <f>IF(ISBLANK(JP!D327),"","x")</f>
        <v/>
      </c>
      <c r="G323" t="str">
        <f>IF(ISBLANK(JP!E327),"","x")</f>
        <v/>
      </c>
      <c r="H323" t="str">
        <f>IF(ISBLANK(JP!F327),"","x")</f>
        <v/>
      </c>
      <c r="I323" t="str">
        <f>IF(ISBLANK(JP!G327),"","x")</f>
        <v/>
      </c>
      <c r="J323" t="str">
        <f>IF(ISBLANK(JP!H327),"","x")</f>
        <v/>
      </c>
      <c r="K323" t="str">
        <f>IF(ISBLANK(JP!I327),"","x")</f>
        <v/>
      </c>
      <c r="L323" t="str">
        <f>IF(ISBLANK(JP!J327),"","x")</f>
        <v/>
      </c>
      <c r="M323" t="str">
        <f>IF(ISBLANK(JP!L327),"","x")</f>
        <v/>
      </c>
      <c r="N323" t="str">
        <f>IF(ISBLANK(JP!M327),"","x")</f>
        <v/>
      </c>
      <c r="O323" t="str">
        <f>IF(ISBLANK(JP!N327),"","x")</f>
        <v/>
      </c>
      <c r="P323" t="str">
        <f>IF(ISBLANK(JP!O327),"","x")</f>
        <v/>
      </c>
      <c r="Q323" t="str">
        <f>IF(ISBLANK(JP!P327),"","x")</f>
        <v/>
      </c>
      <c r="R323" t="str">
        <f>IF(ISBLANK(JP!Q327),"","x")</f>
        <v/>
      </c>
      <c r="S323" t="str">
        <f>IF(ISBLANK(JP!R327),"","x")</f>
        <v/>
      </c>
      <c r="T323" t="str">
        <f>IF(ISBLANK(JP!T327),"","x")</f>
        <v/>
      </c>
      <c r="U323" t="str">
        <f>IF(ISBLANK(JP!U327),"","x")</f>
        <v/>
      </c>
      <c r="V323" t="str">
        <f>IF(ISBLANK(JP!V327),"","x")</f>
        <v/>
      </c>
      <c r="W323" t="str">
        <f>IF(ISBLANK(JP!W327),"","x")</f>
        <v/>
      </c>
      <c r="X323" t="str">
        <f>IF(ISBLANK(JP!X327),"","x")</f>
        <v/>
      </c>
      <c r="Y323" t="str">
        <f>IF(ISBLANK(JP!Y327),"","x")</f>
        <v/>
      </c>
      <c r="Z323" t="str">
        <f>IF(ISBLANK(JP!Z327),"","x")</f>
        <v/>
      </c>
      <c r="AA323" t="str">
        <f>IF(ISBLANK(JP!AB327),"","x")</f>
        <v/>
      </c>
      <c r="AB323" t="str">
        <f>IF(ISBLANK(JP!AC327),"","x")</f>
        <v/>
      </c>
      <c r="AC323" t="str">
        <f>IF(ISBLANK(JP!AD327),"","x")</f>
        <v/>
      </c>
      <c r="AD323" t="str">
        <f>IF(ISBLANK(JP!AE327),"","x")</f>
        <v/>
      </c>
      <c r="AE323" t="str">
        <f>IF(ISBLANK(JP!AF327),"","x")</f>
        <v/>
      </c>
      <c r="AF323" t="str">
        <f>IF(ISBLANK(JP!AG327),"","x")</f>
        <v/>
      </c>
      <c r="AG323" t="str">
        <f>IF(ISBLANK(JP!AH327),"","x")</f>
        <v/>
      </c>
      <c r="AH323" t="str">
        <f>IF(ISBLANK(JP!AJ327),"","x")</f>
        <v/>
      </c>
      <c r="AI323" t="str">
        <f>IF(ISBLANK(JP!AK327),"","x")</f>
        <v/>
      </c>
      <c r="AJ323" t="str">
        <f>IF(ISBLANK(JP!AL327),"","x")</f>
        <v/>
      </c>
      <c r="AK323" t="str">
        <f>IF(ISBLANK(JP!AM327),"","x")</f>
        <v/>
      </c>
      <c r="AL323" t="str">
        <f>IF(ISBLANK(JP!AN327),"","x")</f>
        <v/>
      </c>
      <c r="AM323" t="str">
        <f>IF(ISBLANK(JP!AO327),"","x")</f>
        <v/>
      </c>
      <c r="AN323" t="str">
        <f>IF(ISBLANK(JP!AP327),"","x")</f>
        <v/>
      </c>
      <c r="AO323" t="str">
        <f>IF(ISBLANK(JP!AR327),"","x")</f>
        <v/>
      </c>
      <c r="AP323" t="str">
        <f>IF(ISBLANK(JP!AS327),"","x")</f>
        <v/>
      </c>
      <c r="AQ323" t="str">
        <f>IF(ISBLANK(JP!AT327),"","x")</f>
        <v/>
      </c>
      <c r="AR323" t="str">
        <f>IF(ISBLANK(JP!AU327),"","x")</f>
        <v/>
      </c>
      <c r="AS323" t="str">
        <f>IF(ISBLANK(JP!AV327),"","x")</f>
        <v/>
      </c>
      <c r="AT323" t="str">
        <f>IF(ISBLANK(JP!AW327),"","x")</f>
        <v/>
      </c>
      <c r="AU323" t="str">
        <f>IF(ISBLANK(JP!AX327),"","x")</f>
        <v/>
      </c>
    </row>
    <row r="324" spans="2:47">
      <c r="B324" t="str">
        <f>IF(ISBLANK(JP!AZ328),"",JP!AZ328)</f>
        <v/>
      </c>
      <c r="C324" t="str">
        <f>IF(ISBLANK(JP!BA328),"",JP!BA328)</f>
        <v/>
      </c>
      <c r="D324" t="str">
        <f>IF(ISBLANK(JP!BC328),"",JP!BC328)</f>
        <v/>
      </c>
      <c r="E324" t="str">
        <f>IF(ISBLANK(JP!BB328),"",JP!BB328)</f>
        <v/>
      </c>
      <c r="F324" t="str">
        <f>IF(ISBLANK(JP!D328),"","x")</f>
        <v/>
      </c>
      <c r="G324" t="str">
        <f>IF(ISBLANK(JP!E328),"","x")</f>
        <v/>
      </c>
      <c r="H324" t="str">
        <f>IF(ISBLANK(JP!F328),"","x")</f>
        <v/>
      </c>
      <c r="I324" t="str">
        <f>IF(ISBLANK(JP!G328),"","x")</f>
        <v/>
      </c>
      <c r="J324" t="str">
        <f>IF(ISBLANK(JP!H328),"","x")</f>
        <v/>
      </c>
      <c r="K324" t="str">
        <f>IF(ISBLANK(JP!I328),"","x")</f>
        <v/>
      </c>
      <c r="L324" t="str">
        <f>IF(ISBLANK(JP!J328),"","x")</f>
        <v/>
      </c>
      <c r="M324" t="str">
        <f>IF(ISBLANK(JP!L328),"","x")</f>
        <v/>
      </c>
      <c r="N324" t="str">
        <f>IF(ISBLANK(JP!M328),"","x")</f>
        <v/>
      </c>
      <c r="O324" t="str">
        <f>IF(ISBLANK(JP!N328),"","x")</f>
        <v/>
      </c>
      <c r="P324" t="str">
        <f>IF(ISBLANK(JP!O328),"","x")</f>
        <v/>
      </c>
      <c r="Q324" t="str">
        <f>IF(ISBLANK(JP!P328),"","x")</f>
        <v/>
      </c>
      <c r="R324" t="str">
        <f>IF(ISBLANK(JP!Q328),"","x")</f>
        <v/>
      </c>
      <c r="S324" t="str">
        <f>IF(ISBLANK(JP!R328),"","x")</f>
        <v/>
      </c>
      <c r="T324" t="str">
        <f>IF(ISBLANK(JP!T328),"","x")</f>
        <v/>
      </c>
      <c r="U324" t="str">
        <f>IF(ISBLANK(JP!U328),"","x")</f>
        <v/>
      </c>
      <c r="V324" t="str">
        <f>IF(ISBLANK(JP!V328),"","x")</f>
        <v/>
      </c>
      <c r="W324" t="str">
        <f>IF(ISBLANK(JP!W328),"","x")</f>
        <v/>
      </c>
      <c r="X324" t="str">
        <f>IF(ISBLANK(JP!X328),"","x")</f>
        <v/>
      </c>
      <c r="Y324" t="str">
        <f>IF(ISBLANK(JP!Y328),"","x")</f>
        <v/>
      </c>
      <c r="Z324" t="str">
        <f>IF(ISBLANK(JP!Z328),"","x")</f>
        <v/>
      </c>
      <c r="AA324" t="str">
        <f>IF(ISBLANK(JP!AB328),"","x")</f>
        <v/>
      </c>
      <c r="AB324" t="str">
        <f>IF(ISBLANK(JP!AC328),"","x")</f>
        <v/>
      </c>
      <c r="AC324" t="str">
        <f>IF(ISBLANK(JP!AD328),"","x")</f>
        <v/>
      </c>
      <c r="AD324" t="str">
        <f>IF(ISBLANK(JP!AE328),"","x")</f>
        <v/>
      </c>
      <c r="AE324" t="str">
        <f>IF(ISBLANK(JP!AF328),"","x")</f>
        <v/>
      </c>
      <c r="AF324" t="str">
        <f>IF(ISBLANK(JP!AG328),"","x")</f>
        <v/>
      </c>
      <c r="AG324" t="str">
        <f>IF(ISBLANK(JP!AH328),"","x")</f>
        <v/>
      </c>
      <c r="AH324" t="str">
        <f>IF(ISBLANK(JP!AJ328),"","x")</f>
        <v/>
      </c>
      <c r="AI324" t="str">
        <f>IF(ISBLANK(JP!AK328),"","x")</f>
        <v/>
      </c>
      <c r="AJ324" t="str">
        <f>IF(ISBLANK(JP!AL328),"","x")</f>
        <v/>
      </c>
      <c r="AK324" t="str">
        <f>IF(ISBLANK(JP!AM328),"","x")</f>
        <v/>
      </c>
      <c r="AL324" t="str">
        <f>IF(ISBLANK(JP!AN328),"","x")</f>
        <v/>
      </c>
      <c r="AM324" t="str">
        <f>IF(ISBLANK(JP!AO328),"","x")</f>
        <v/>
      </c>
      <c r="AN324" t="str">
        <f>IF(ISBLANK(JP!AP328),"","x")</f>
        <v/>
      </c>
      <c r="AO324" t="str">
        <f>IF(ISBLANK(JP!AR328),"","x")</f>
        <v/>
      </c>
      <c r="AP324" t="str">
        <f>IF(ISBLANK(JP!AS328),"","x")</f>
        <v/>
      </c>
      <c r="AQ324" t="str">
        <f>IF(ISBLANK(JP!AT328),"","x")</f>
        <v/>
      </c>
      <c r="AR324" t="str">
        <f>IF(ISBLANK(JP!AU328),"","x")</f>
        <v/>
      </c>
      <c r="AS324" t="str">
        <f>IF(ISBLANK(JP!AV328),"","x")</f>
        <v/>
      </c>
      <c r="AT324" t="str">
        <f>IF(ISBLANK(JP!AW328),"","x")</f>
        <v/>
      </c>
      <c r="AU324" t="str">
        <f>IF(ISBLANK(JP!AX328),"","x")</f>
        <v/>
      </c>
    </row>
    <row r="325" spans="2:47">
      <c r="B325" t="str">
        <f>IF(ISBLANK(JP!AZ329),"",JP!AZ329)</f>
        <v/>
      </c>
      <c r="C325" t="str">
        <f>IF(ISBLANK(JP!BA329),"",JP!BA329)</f>
        <v/>
      </c>
      <c r="D325" t="str">
        <f>IF(ISBLANK(JP!BC329),"",JP!BC329)</f>
        <v/>
      </c>
      <c r="E325" t="str">
        <f>IF(ISBLANK(JP!BB329),"",JP!BB329)</f>
        <v/>
      </c>
      <c r="F325" t="str">
        <f>IF(ISBLANK(JP!D329),"","x")</f>
        <v/>
      </c>
      <c r="G325" t="str">
        <f>IF(ISBLANK(JP!E329),"","x")</f>
        <v/>
      </c>
      <c r="H325" t="str">
        <f>IF(ISBLANK(JP!F329),"","x")</f>
        <v/>
      </c>
      <c r="I325" t="str">
        <f>IF(ISBLANK(JP!G329),"","x")</f>
        <v/>
      </c>
      <c r="J325" t="str">
        <f>IF(ISBLANK(JP!H329),"","x")</f>
        <v/>
      </c>
      <c r="K325" t="str">
        <f>IF(ISBLANK(JP!I329),"","x")</f>
        <v/>
      </c>
      <c r="L325" t="str">
        <f>IF(ISBLANK(JP!J329),"","x")</f>
        <v/>
      </c>
      <c r="M325" t="str">
        <f>IF(ISBLANK(JP!L329),"","x")</f>
        <v/>
      </c>
      <c r="N325" t="str">
        <f>IF(ISBLANK(JP!M329),"","x")</f>
        <v/>
      </c>
      <c r="O325" t="str">
        <f>IF(ISBLANK(JP!N329),"","x")</f>
        <v/>
      </c>
      <c r="P325" t="str">
        <f>IF(ISBLANK(JP!O329),"","x")</f>
        <v/>
      </c>
      <c r="Q325" t="str">
        <f>IF(ISBLANK(JP!P329),"","x")</f>
        <v/>
      </c>
      <c r="R325" t="str">
        <f>IF(ISBLANK(JP!Q329),"","x")</f>
        <v/>
      </c>
      <c r="S325" t="str">
        <f>IF(ISBLANK(JP!R329),"","x")</f>
        <v/>
      </c>
      <c r="T325" t="str">
        <f>IF(ISBLANK(JP!T329),"","x")</f>
        <v/>
      </c>
      <c r="U325" t="str">
        <f>IF(ISBLANK(JP!U329),"","x")</f>
        <v/>
      </c>
      <c r="V325" t="str">
        <f>IF(ISBLANK(JP!V329),"","x")</f>
        <v/>
      </c>
      <c r="W325" t="str">
        <f>IF(ISBLANK(JP!W329),"","x")</f>
        <v/>
      </c>
      <c r="X325" t="str">
        <f>IF(ISBLANK(JP!X329),"","x")</f>
        <v/>
      </c>
      <c r="Y325" t="str">
        <f>IF(ISBLANK(JP!Y329),"","x")</f>
        <v/>
      </c>
      <c r="Z325" t="str">
        <f>IF(ISBLANK(JP!Z329),"","x")</f>
        <v/>
      </c>
      <c r="AA325" t="str">
        <f>IF(ISBLANK(JP!AB329),"","x")</f>
        <v/>
      </c>
      <c r="AB325" t="str">
        <f>IF(ISBLANK(JP!AC329),"","x")</f>
        <v/>
      </c>
      <c r="AC325" t="str">
        <f>IF(ISBLANK(JP!AD329),"","x")</f>
        <v/>
      </c>
      <c r="AD325" t="str">
        <f>IF(ISBLANK(JP!AE329),"","x")</f>
        <v/>
      </c>
      <c r="AE325" t="str">
        <f>IF(ISBLANK(JP!AF329),"","x")</f>
        <v/>
      </c>
      <c r="AF325" t="str">
        <f>IF(ISBLANK(JP!AG329),"","x")</f>
        <v/>
      </c>
      <c r="AG325" t="str">
        <f>IF(ISBLANK(JP!AH329),"","x")</f>
        <v/>
      </c>
      <c r="AH325" t="str">
        <f>IF(ISBLANK(JP!AJ329),"","x")</f>
        <v/>
      </c>
      <c r="AI325" t="str">
        <f>IF(ISBLANK(JP!AK329),"","x")</f>
        <v/>
      </c>
      <c r="AJ325" t="str">
        <f>IF(ISBLANK(JP!AL329),"","x")</f>
        <v/>
      </c>
      <c r="AK325" t="str">
        <f>IF(ISBLANK(JP!AM329),"","x")</f>
        <v/>
      </c>
      <c r="AL325" t="str">
        <f>IF(ISBLANK(JP!AN329),"","x")</f>
        <v/>
      </c>
      <c r="AM325" t="str">
        <f>IF(ISBLANK(JP!AO329),"","x")</f>
        <v/>
      </c>
      <c r="AN325" t="str">
        <f>IF(ISBLANK(JP!AP329),"","x")</f>
        <v/>
      </c>
      <c r="AO325" t="str">
        <f>IF(ISBLANK(JP!AR329),"","x")</f>
        <v/>
      </c>
      <c r="AP325" t="str">
        <f>IF(ISBLANK(JP!AS329),"","x")</f>
        <v/>
      </c>
      <c r="AQ325" t="str">
        <f>IF(ISBLANK(JP!AT329),"","x")</f>
        <v/>
      </c>
      <c r="AR325" t="str">
        <f>IF(ISBLANK(JP!AU329),"","x")</f>
        <v/>
      </c>
      <c r="AS325" t="str">
        <f>IF(ISBLANK(JP!AV329),"","x")</f>
        <v/>
      </c>
      <c r="AT325" t="str">
        <f>IF(ISBLANK(JP!AW329),"","x")</f>
        <v/>
      </c>
      <c r="AU325" t="str">
        <f>IF(ISBLANK(JP!AX329),"","x")</f>
        <v/>
      </c>
    </row>
    <row r="326" spans="2:47">
      <c r="B326" t="str">
        <f>IF(ISBLANK(JP!AZ330),"",JP!AZ330)</f>
        <v/>
      </c>
      <c r="C326" t="str">
        <f>IF(ISBLANK(JP!BA330),"",JP!BA330)</f>
        <v/>
      </c>
      <c r="D326" t="str">
        <f>IF(ISBLANK(JP!BC330),"",JP!BC330)</f>
        <v/>
      </c>
      <c r="E326" t="str">
        <f>IF(ISBLANK(JP!BB330),"",JP!BB330)</f>
        <v/>
      </c>
      <c r="F326" t="str">
        <f>IF(ISBLANK(JP!D330),"","x")</f>
        <v/>
      </c>
      <c r="G326" t="str">
        <f>IF(ISBLANK(JP!E330),"","x")</f>
        <v/>
      </c>
      <c r="H326" t="str">
        <f>IF(ISBLANK(JP!F330),"","x")</f>
        <v/>
      </c>
      <c r="I326" t="str">
        <f>IF(ISBLANK(JP!G330),"","x")</f>
        <v/>
      </c>
      <c r="J326" t="str">
        <f>IF(ISBLANK(JP!H330),"","x")</f>
        <v/>
      </c>
      <c r="K326" t="str">
        <f>IF(ISBLANK(JP!I330),"","x")</f>
        <v/>
      </c>
      <c r="L326" t="str">
        <f>IF(ISBLANK(JP!J330),"","x")</f>
        <v/>
      </c>
      <c r="M326" t="str">
        <f>IF(ISBLANK(JP!L330),"","x")</f>
        <v/>
      </c>
      <c r="N326" t="str">
        <f>IF(ISBLANK(JP!M330),"","x")</f>
        <v/>
      </c>
      <c r="O326" t="str">
        <f>IF(ISBLANK(JP!N330),"","x")</f>
        <v/>
      </c>
      <c r="P326" t="str">
        <f>IF(ISBLANK(JP!O330),"","x")</f>
        <v/>
      </c>
      <c r="Q326" t="str">
        <f>IF(ISBLANK(JP!P330),"","x")</f>
        <v/>
      </c>
      <c r="R326" t="str">
        <f>IF(ISBLANK(JP!Q330),"","x")</f>
        <v/>
      </c>
      <c r="S326" t="str">
        <f>IF(ISBLANK(JP!R330),"","x")</f>
        <v/>
      </c>
      <c r="T326" t="str">
        <f>IF(ISBLANK(JP!T330),"","x")</f>
        <v/>
      </c>
      <c r="U326" t="str">
        <f>IF(ISBLANK(JP!U330),"","x")</f>
        <v/>
      </c>
      <c r="V326" t="str">
        <f>IF(ISBLANK(JP!V330),"","x")</f>
        <v/>
      </c>
      <c r="W326" t="str">
        <f>IF(ISBLANK(JP!W330),"","x")</f>
        <v/>
      </c>
      <c r="X326" t="str">
        <f>IF(ISBLANK(JP!X330),"","x")</f>
        <v/>
      </c>
      <c r="Y326" t="str">
        <f>IF(ISBLANK(JP!Y330),"","x")</f>
        <v/>
      </c>
      <c r="Z326" t="str">
        <f>IF(ISBLANK(JP!Z330),"","x")</f>
        <v/>
      </c>
      <c r="AA326" t="str">
        <f>IF(ISBLANK(JP!AB330),"","x")</f>
        <v/>
      </c>
      <c r="AB326" t="str">
        <f>IF(ISBLANK(JP!AC330),"","x")</f>
        <v/>
      </c>
      <c r="AC326" t="str">
        <f>IF(ISBLANK(JP!AD330),"","x")</f>
        <v/>
      </c>
      <c r="AD326" t="str">
        <f>IF(ISBLANK(JP!AE330),"","x")</f>
        <v/>
      </c>
      <c r="AE326" t="str">
        <f>IF(ISBLANK(JP!AF330),"","x")</f>
        <v/>
      </c>
      <c r="AF326" t="str">
        <f>IF(ISBLANK(JP!AG330),"","x")</f>
        <v/>
      </c>
      <c r="AG326" t="str">
        <f>IF(ISBLANK(JP!AH330),"","x")</f>
        <v/>
      </c>
      <c r="AH326" t="str">
        <f>IF(ISBLANK(JP!AJ330),"","x")</f>
        <v/>
      </c>
      <c r="AI326" t="str">
        <f>IF(ISBLANK(JP!AK330),"","x")</f>
        <v/>
      </c>
      <c r="AJ326" t="str">
        <f>IF(ISBLANK(JP!AL330),"","x")</f>
        <v/>
      </c>
      <c r="AK326" t="str">
        <f>IF(ISBLANK(JP!AM330),"","x")</f>
        <v/>
      </c>
      <c r="AL326" t="str">
        <f>IF(ISBLANK(JP!AN330),"","x")</f>
        <v/>
      </c>
      <c r="AM326" t="str">
        <f>IF(ISBLANK(JP!AO330),"","x")</f>
        <v/>
      </c>
      <c r="AN326" t="str">
        <f>IF(ISBLANK(JP!AP330),"","x")</f>
        <v/>
      </c>
      <c r="AO326" t="str">
        <f>IF(ISBLANK(JP!AR330),"","x")</f>
        <v/>
      </c>
      <c r="AP326" t="str">
        <f>IF(ISBLANK(JP!AS330),"","x")</f>
        <v/>
      </c>
      <c r="AQ326" t="str">
        <f>IF(ISBLANK(JP!AT330),"","x")</f>
        <v/>
      </c>
      <c r="AR326" t="str">
        <f>IF(ISBLANK(JP!AU330),"","x")</f>
        <v/>
      </c>
      <c r="AS326" t="str">
        <f>IF(ISBLANK(JP!AV330),"","x")</f>
        <v/>
      </c>
      <c r="AT326" t="str">
        <f>IF(ISBLANK(JP!AW330),"","x")</f>
        <v/>
      </c>
      <c r="AU326" t="str">
        <f>IF(ISBLANK(JP!AX330),"","x")</f>
        <v/>
      </c>
    </row>
    <row r="327" spans="2:47">
      <c r="B327" t="str">
        <f>IF(ISBLANK(JP!AZ331),"",JP!AZ331)</f>
        <v/>
      </c>
      <c r="C327" t="str">
        <f>IF(ISBLANK(JP!BA331),"",JP!BA331)</f>
        <v/>
      </c>
      <c r="D327" t="str">
        <f>IF(ISBLANK(JP!BC331),"",JP!BC331)</f>
        <v/>
      </c>
      <c r="E327" t="str">
        <f>IF(ISBLANK(JP!BB331),"",JP!BB331)</f>
        <v/>
      </c>
      <c r="F327" t="str">
        <f>IF(ISBLANK(JP!D331),"","x")</f>
        <v/>
      </c>
      <c r="G327" t="str">
        <f>IF(ISBLANK(JP!E331),"","x")</f>
        <v/>
      </c>
      <c r="H327" t="str">
        <f>IF(ISBLANK(JP!F331),"","x")</f>
        <v/>
      </c>
      <c r="I327" t="str">
        <f>IF(ISBLANK(JP!G331),"","x")</f>
        <v/>
      </c>
      <c r="J327" t="str">
        <f>IF(ISBLANK(JP!H331),"","x")</f>
        <v/>
      </c>
      <c r="K327" t="str">
        <f>IF(ISBLANK(JP!I331),"","x")</f>
        <v/>
      </c>
      <c r="L327" t="str">
        <f>IF(ISBLANK(JP!J331),"","x")</f>
        <v/>
      </c>
      <c r="M327" t="str">
        <f>IF(ISBLANK(JP!L331),"","x")</f>
        <v/>
      </c>
      <c r="N327" t="str">
        <f>IF(ISBLANK(JP!M331),"","x")</f>
        <v/>
      </c>
      <c r="O327" t="str">
        <f>IF(ISBLANK(JP!N331),"","x")</f>
        <v/>
      </c>
      <c r="P327" t="str">
        <f>IF(ISBLANK(JP!O331),"","x")</f>
        <v/>
      </c>
      <c r="Q327" t="str">
        <f>IF(ISBLANK(JP!P331),"","x")</f>
        <v/>
      </c>
      <c r="R327" t="str">
        <f>IF(ISBLANK(JP!Q331),"","x")</f>
        <v/>
      </c>
      <c r="S327" t="str">
        <f>IF(ISBLANK(JP!R331),"","x")</f>
        <v/>
      </c>
      <c r="T327" t="str">
        <f>IF(ISBLANK(JP!T331),"","x")</f>
        <v/>
      </c>
      <c r="U327" t="str">
        <f>IF(ISBLANK(JP!U331),"","x")</f>
        <v/>
      </c>
      <c r="V327" t="str">
        <f>IF(ISBLANK(JP!V331),"","x")</f>
        <v/>
      </c>
      <c r="W327" t="str">
        <f>IF(ISBLANK(JP!W331),"","x")</f>
        <v/>
      </c>
      <c r="X327" t="str">
        <f>IF(ISBLANK(JP!X331),"","x")</f>
        <v/>
      </c>
      <c r="Y327" t="str">
        <f>IF(ISBLANK(JP!Y331),"","x")</f>
        <v/>
      </c>
      <c r="Z327" t="str">
        <f>IF(ISBLANK(JP!Z331),"","x")</f>
        <v/>
      </c>
      <c r="AA327" t="str">
        <f>IF(ISBLANK(JP!AB331),"","x")</f>
        <v/>
      </c>
      <c r="AB327" t="str">
        <f>IF(ISBLANK(JP!AC331),"","x")</f>
        <v/>
      </c>
      <c r="AC327" t="str">
        <f>IF(ISBLANK(JP!AD331),"","x")</f>
        <v/>
      </c>
      <c r="AD327" t="str">
        <f>IF(ISBLANK(JP!AE331),"","x")</f>
        <v/>
      </c>
      <c r="AE327" t="str">
        <f>IF(ISBLANK(JP!AF331),"","x")</f>
        <v/>
      </c>
      <c r="AF327" t="str">
        <f>IF(ISBLANK(JP!AG331),"","x")</f>
        <v/>
      </c>
      <c r="AG327" t="str">
        <f>IF(ISBLANK(JP!AH331),"","x")</f>
        <v/>
      </c>
      <c r="AH327" t="str">
        <f>IF(ISBLANK(JP!AJ331),"","x")</f>
        <v/>
      </c>
      <c r="AI327" t="str">
        <f>IF(ISBLANK(JP!AK331),"","x")</f>
        <v/>
      </c>
      <c r="AJ327" t="str">
        <f>IF(ISBLANK(JP!AL331),"","x")</f>
        <v/>
      </c>
      <c r="AK327" t="str">
        <f>IF(ISBLANK(JP!AM331),"","x")</f>
        <v/>
      </c>
      <c r="AL327" t="str">
        <f>IF(ISBLANK(JP!AN331),"","x")</f>
        <v/>
      </c>
      <c r="AM327" t="str">
        <f>IF(ISBLANK(JP!AO331),"","x")</f>
        <v/>
      </c>
      <c r="AN327" t="str">
        <f>IF(ISBLANK(JP!AP331),"","x")</f>
        <v/>
      </c>
      <c r="AO327" t="str">
        <f>IF(ISBLANK(JP!AR331),"","x")</f>
        <v/>
      </c>
      <c r="AP327" t="str">
        <f>IF(ISBLANK(JP!AS331),"","x")</f>
        <v/>
      </c>
      <c r="AQ327" t="str">
        <f>IF(ISBLANK(JP!AT331),"","x")</f>
        <v/>
      </c>
      <c r="AR327" t="str">
        <f>IF(ISBLANK(JP!AU331),"","x")</f>
        <v/>
      </c>
      <c r="AS327" t="str">
        <f>IF(ISBLANK(JP!AV331),"","x")</f>
        <v/>
      </c>
      <c r="AT327" t="str">
        <f>IF(ISBLANK(JP!AW331),"","x")</f>
        <v/>
      </c>
      <c r="AU327" t="str">
        <f>IF(ISBLANK(JP!AX331),"","x")</f>
        <v/>
      </c>
    </row>
    <row r="328" spans="2:47">
      <c r="B328" t="str">
        <f>IF(ISBLANK(JP!AZ332),"",JP!AZ332)</f>
        <v/>
      </c>
      <c r="C328" t="str">
        <f>IF(ISBLANK(JP!BA332),"",JP!BA332)</f>
        <v/>
      </c>
      <c r="D328" t="str">
        <f>IF(ISBLANK(JP!BC332),"",JP!BC332)</f>
        <v/>
      </c>
      <c r="E328" t="str">
        <f>IF(ISBLANK(JP!BB332),"",JP!BB332)</f>
        <v/>
      </c>
      <c r="F328" t="str">
        <f>IF(ISBLANK(JP!D332),"","x")</f>
        <v/>
      </c>
      <c r="G328" t="str">
        <f>IF(ISBLANK(JP!E332),"","x")</f>
        <v/>
      </c>
      <c r="H328" t="str">
        <f>IF(ISBLANK(JP!F332),"","x")</f>
        <v/>
      </c>
      <c r="I328" t="str">
        <f>IF(ISBLANK(JP!G332),"","x")</f>
        <v/>
      </c>
      <c r="J328" t="str">
        <f>IF(ISBLANK(JP!H332),"","x")</f>
        <v/>
      </c>
      <c r="K328" t="str">
        <f>IF(ISBLANK(JP!I332),"","x")</f>
        <v/>
      </c>
      <c r="L328" t="str">
        <f>IF(ISBLANK(JP!J332),"","x")</f>
        <v/>
      </c>
      <c r="M328" t="str">
        <f>IF(ISBLANK(JP!L332),"","x")</f>
        <v/>
      </c>
      <c r="N328" t="str">
        <f>IF(ISBLANK(JP!M332),"","x")</f>
        <v/>
      </c>
      <c r="O328" t="str">
        <f>IF(ISBLANK(JP!N332),"","x")</f>
        <v/>
      </c>
      <c r="P328" t="str">
        <f>IF(ISBLANK(JP!O332),"","x")</f>
        <v/>
      </c>
      <c r="Q328" t="str">
        <f>IF(ISBLANK(JP!P332),"","x")</f>
        <v/>
      </c>
      <c r="R328" t="str">
        <f>IF(ISBLANK(JP!Q332),"","x")</f>
        <v/>
      </c>
      <c r="S328" t="str">
        <f>IF(ISBLANK(JP!R332),"","x")</f>
        <v/>
      </c>
      <c r="T328" t="str">
        <f>IF(ISBLANK(JP!T332),"","x")</f>
        <v/>
      </c>
      <c r="U328" t="str">
        <f>IF(ISBLANK(JP!U332),"","x")</f>
        <v/>
      </c>
      <c r="V328" t="str">
        <f>IF(ISBLANK(JP!V332),"","x")</f>
        <v/>
      </c>
      <c r="W328" t="str">
        <f>IF(ISBLANK(JP!W332),"","x")</f>
        <v/>
      </c>
      <c r="X328" t="str">
        <f>IF(ISBLANK(JP!X332),"","x")</f>
        <v/>
      </c>
      <c r="Y328" t="str">
        <f>IF(ISBLANK(JP!Y332),"","x")</f>
        <v/>
      </c>
      <c r="Z328" t="str">
        <f>IF(ISBLANK(JP!Z332),"","x")</f>
        <v/>
      </c>
      <c r="AA328" t="str">
        <f>IF(ISBLANK(JP!AB332),"","x")</f>
        <v/>
      </c>
      <c r="AB328" t="str">
        <f>IF(ISBLANK(JP!AC332),"","x")</f>
        <v/>
      </c>
      <c r="AC328" t="str">
        <f>IF(ISBLANK(JP!AD332),"","x")</f>
        <v/>
      </c>
      <c r="AD328" t="str">
        <f>IF(ISBLANK(JP!AE332),"","x")</f>
        <v/>
      </c>
      <c r="AE328" t="str">
        <f>IF(ISBLANK(JP!AF332),"","x")</f>
        <v/>
      </c>
      <c r="AF328" t="str">
        <f>IF(ISBLANK(JP!AG332),"","x")</f>
        <v/>
      </c>
      <c r="AG328" t="str">
        <f>IF(ISBLANK(JP!AH332),"","x")</f>
        <v/>
      </c>
      <c r="AH328" t="str">
        <f>IF(ISBLANK(JP!AJ332),"","x")</f>
        <v/>
      </c>
      <c r="AI328" t="str">
        <f>IF(ISBLANK(JP!AK332),"","x")</f>
        <v/>
      </c>
      <c r="AJ328" t="str">
        <f>IF(ISBLANK(JP!AL332),"","x")</f>
        <v/>
      </c>
      <c r="AK328" t="str">
        <f>IF(ISBLANK(JP!AM332),"","x")</f>
        <v/>
      </c>
      <c r="AL328" t="str">
        <f>IF(ISBLANK(JP!AN332),"","x")</f>
        <v/>
      </c>
      <c r="AM328" t="str">
        <f>IF(ISBLANK(JP!AO332),"","x")</f>
        <v/>
      </c>
      <c r="AN328" t="str">
        <f>IF(ISBLANK(JP!AP332),"","x")</f>
        <v/>
      </c>
      <c r="AO328" t="str">
        <f>IF(ISBLANK(JP!AR332),"","x")</f>
        <v/>
      </c>
      <c r="AP328" t="str">
        <f>IF(ISBLANK(JP!AS332),"","x")</f>
        <v/>
      </c>
      <c r="AQ328" t="str">
        <f>IF(ISBLANK(JP!AT332),"","x")</f>
        <v/>
      </c>
      <c r="AR328" t="str">
        <f>IF(ISBLANK(JP!AU332),"","x")</f>
        <v/>
      </c>
      <c r="AS328" t="str">
        <f>IF(ISBLANK(JP!AV332),"","x")</f>
        <v/>
      </c>
      <c r="AT328" t="str">
        <f>IF(ISBLANK(JP!AW332),"","x")</f>
        <v/>
      </c>
      <c r="AU328" t="str">
        <f>IF(ISBLANK(JP!AX332),"","x")</f>
        <v/>
      </c>
    </row>
    <row r="329" spans="2:47">
      <c r="B329" t="str">
        <f>IF(ISBLANK(JP!AZ333),"",JP!AZ333)</f>
        <v/>
      </c>
      <c r="C329" t="str">
        <f>IF(ISBLANK(JP!BA333),"",JP!BA333)</f>
        <v/>
      </c>
      <c r="D329" t="str">
        <f>IF(ISBLANK(JP!BC333),"",JP!BC333)</f>
        <v/>
      </c>
      <c r="E329" t="str">
        <f>IF(ISBLANK(JP!BB333),"",JP!BB333)</f>
        <v/>
      </c>
      <c r="F329" t="str">
        <f>IF(ISBLANK(JP!D333),"","x")</f>
        <v/>
      </c>
      <c r="G329" t="str">
        <f>IF(ISBLANK(JP!E333),"","x")</f>
        <v/>
      </c>
      <c r="H329" t="str">
        <f>IF(ISBLANK(JP!F333),"","x")</f>
        <v/>
      </c>
      <c r="I329" t="str">
        <f>IF(ISBLANK(JP!G333),"","x")</f>
        <v/>
      </c>
      <c r="J329" t="str">
        <f>IF(ISBLANK(JP!H333),"","x")</f>
        <v/>
      </c>
      <c r="K329" t="str">
        <f>IF(ISBLANK(JP!I333),"","x")</f>
        <v/>
      </c>
      <c r="L329" t="str">
        <f>IF(ISBLANK(JP!J333),"","x")</f>
        <v/>
      </c>
      <c r="M329" t="str">
        <f>IF(ISBLANK(JP!L333),"","x")</f>
        <v/>
      </c>
      <c r="N329" t="str">
        <f>IF(ISBLANK(JP!M333),"","x")</f>
        <v/>
      </c>
      <c r="O329" t="str">
        <f>IF(ISBLANK(JP!N333),"","x")</f>
        <v/>
      </c>
      <c r="P329" t="str">
        <f>IF(ISBLANK(JP!O333),"","x")</f>
        <v/>
      </c>
      <c r="Q329" t="str">
        <f>IF(ISBLANK(JP!P333),"","x")</f>
        <v/>
      </c>
      <c r="R329" t="str">
        <f>IF(ISBLANK(JP!Q333),"","x")</f>
        <v/>
      </c>
      <c r="S329" t="str">
        <f>IF(ISBLANK(JP!R333),"","x")</f>
        <v/>
      </c>
      <c r="T329" t="str">
        <f>IF(ISBLANK(JP!T333),"","x")</f>
        <v/>
      </c>
      <c r="U329" t="str">
        <f>IF(ISBLANK(JP!U333),"","x")</f>
        <v/>
      </c>
      <c r="V329" t="str">
        <f>IF(ISBLANK(JP!V333),"","x")</f>
        <v/>
      </c>
      <c r="W329" t="str">
        <f>IF(ISBLANK(JP!W333),"","x")</f>
        <v/>
      </c>
      <c r="X329" t="str">
        <f>IF(ISBLANK(JP!X333),"","x")</f>
        <v/>
      </c>
      <c r="Y329" t="str">
        <f>IF(ISBLANK(JP!Y333),"","x")</f>
        <v/>
      </c>
      <c r="Z329" t="str">
        <f>IF(ISBLANK(JP!Z333),"","x")</f>
        <v/>
      </c>
      <c r="AA329" t="str">
        <f>IF(ISBLANK(JP!AB333),"","x")</f>
        <v/>
      </c>
      <c r="AB329" t="str">
        <f>IF(ISBLANK(JP!AC333),"","x")</f>
        <v/>
      </c>
      <c r="AC329" t="str">
        <f>IF(ISBLANK(JP!AD333),"","x")</f>
        <v/>
      </c>
      <c r="AD329" t="str">
        <f>IF(ISBLANK(JP!AE333),"","x")</f>
        <v/>
      </c>
      <c r="AE329" t="str">
        <f>IF(ISBLANK(JP!AF333),"","x")</f>
        <v/>
      </c>
      <c r="AF329" t="str">
        <f>IF(ISBLANK(JP!AG333),"","x")</f>
        <v/>
      </c>
      <c r="AG329" t="str">
        <f>IF(ISBLANK(JP!AH333),"","x")</f>
        <v/>
      </c>
      <c r="AH329" t="str">
        <f>IF(ISBLANK(JP!AJ333),"","x")</f>
        <v/>
      </c>
      <c r="AI329" t="str">
        <f>IF(ISBLANK(JP!AK333),"","x")</f>
        <v/>
      </c>
      <c r="AJ329" t="str">
        <f>IF(ISBLANK(JP!AL333),"","x")</f>
        <v/>
      </c>
      <c r="AK329" t="str">
        <f>IF(ISBLANK(JP!AM333),"","x")</f>
        <v/>
      </c>
      <c r="AL329" t="str">
        <f>IF(ISBLANK(JP!AN333),"","x")</f>
        <v/>
      </c>
      <c r="AM329" t="str">
        <f>IF(ISBLANK(JP!AO333),"","x")</f>
        <v/>
      </c>
      <c r="AN329" t="str">
        <f>IF(ISBLANK(JP!AP333),"","x")</f>
        <v/>
      </c>
      <c r="AO329" t="str">
        <f>IF(ISBLANK(JP!AR333),"","x")</f>
        <v/>
      </c>
      <c r="AP329" t="str">
        <f>IF(ISBLANK(JP!AS333),"","x")</f>
        <v/>
      </c>
      <c r="AQ329" t="str">
        <f>IF(ISBLANK(JP!AT333),"","x")</f>
        <v/>
      </c>
      <c r="AR329" t="str">
        <f>IF(ISBLANK(JP!AU333),"","x")</f>
        <v/>
      </c>
      <c r="AS329" t="str">
        <f>IF(ISBLANK(JP!AV333),"","x")</f>
        <v/>
      </c>
      <c r="AT329" t="str">
        <f>IF(ISBLANK(JP!AW333),"","x")</f>
        <v/>
      </c>
      <c r="AU329" t="str">
        <f>IF(ISBLANK(JP!AX333),"","x")</f>
        <v/>
      </c>
    </row>
    <row r="330" spans="2:47">
      <c r="B330" t="str">
        <f>IF(ISBLANK(JP!AZ334),"",JP!AZ334)</f>
        <v/>
      </c>
      <c r="C330" t="str">
        <f>IF(ISBLANK(JP!BA334),"",JP!BA334)</f>
        <v/>
      </c>
      <c r="D330" t="str">
        <f>IF(ISBLANK(JP!BC334),"",JP!BC334)</f>
        <v/>
      </c>
      <c r="E330" t="str">
        <f>IF(ISBLANK(JP!BB334),"",JP!BB334)</f>
        <v/>
      </c>
      <c r="F330" t="str">
        <f>IF(ISBLANK(JP!D334),"","x")</f>
        <v/>
      </c>
      <c r="G330" t="str">
        <f>IF(ISBLANK(JP!E334),"","x")</f>
        <v/>
      </c>
      <c r="H330" t="str">
        <f>IF(ISBLANK(JP!F334),"","x")</f>
        <v/>
      </c>
      <c r="I330" t="str">
        <f>IF(ISBLANK(JP!G334),"","x")</f>
        <v/>
      </c>
      <c r="J330" t="str">
        <f>IF(ISBLANK(JP!H334),"","x")</f>
        <v/>
      </c>
      <c r="K330" t="str">
        <f>IF(ISBLANK(JP!I334),"","x")</f>
        <v/>
      </c>
      <c r="L330" t="str">
        <f>IF(ISBLANK(JP!J334),"","x")</f>
        <v/>
      </c>
      <c r="M330" t="str">
        <f>IF(ISBLANK(JP!L334),"","x")</f>
        <v/>
      </c>
      <c r="N330" t="str">
        <f>IF(ISBLANK(JP!M334),"","x")</f>
        <v/>
      </c>
      <c r="O330" t="str">
        <f>IF(ISBLANK(JP!N334),"","x")</f>
        <v/>
      </c>
      <c r="P330" t="str">
        <f>IF(ISBLANK(JP!O334),"","x")</f>
        <v/>
      </c>
      <c r="Q330" t="str">
        <f>IF(ISBLANK(JP!P334),"","x")</f>
        <v/>
      </c>
      <c r="R330" t="str">
        <f>IF(ISBLANK(JP!Q334),"","x")</f>
        <v/>
      </c>
      <c r="S330" t="str">
        <f>IF(ISBLANK(JP!R334),"","x")</f>
        <v/>
      </c>
      <c r="T330" t="str">
        <f>IF(ISBLANK(JP!T334),"","x")</f>
        <v/>
      </c>
      <c r="U330" t="str">
        <f>IF(ISBLANK(JP!U334),"","x")</f>
        <v/>
      </c>
      <c r="V330" t="str">
        <f>IF(ISBLANK(JP!V334),"","x")</f>
        <v/>
      </c>
      <c r="W330" t="str">
        <f>IF(ISBLANK(JP!W334),"","x")</f>
        <v/>
      </c>
      <c r="X330" t="str">
        <f>IF(ISBLANK(JP!X334),"","x")</f>
        <v/>
      </c>
      <c r="Y330" t="str">
        <f>IF(ISBLANK(JP!Y334),"","x")</f>
        <v/>
      </c>
      <c r="Z330" t="str">
        <f>IF(ISBLANK(JP!Z334),"","x")</f>
        <v/>
      </c>
      <c r="AA330" t="str">
        <f>IF(ISBLANK(JP!AB334),"","x")</f>
        <v/>
      </c>
      <c r="AB330" t="str">
        <f>IF(ISBLANK(JP!AC334),"","x")</f>
        <v/>
      </c>
      <c r="AC330" t="str">
        <f>IF(ISBLANK(JP!AD334),"","x")</f>
        <v/>
      </c>
      <c r="AD330" t="str">
        <f>IF(ISBLANK(JP!AE334),"","x")</f>
        <v/>
      </c>
      <c r="AE330" t="str">
        <f>IF(ISBLANK(JP!AF334),"","x")</f>
        <v/>
      </c>
      <c r="AF330" t="str">
        <f>IF(ISBLANK(JP!AG334),"","x")</f>
        <v/>
      </c>
      <c r="AG330" t="str">
        <f>IF(ISBLANK(JP!AH334),"","x")</f>
        <v/>
      </c>
      <c r="AH330" t="str">
        <f>IF(ISBLANK(JP!AJ334),"","x")</f>
        <v/>
      </c>
      <c r="AI330" t="str">
        <f>IF(ISBLANK(JP!AK334),"","x")</f>
        <v/>
      </c>
      <c r="AJ330" t="str">
        <f>IF(ISBLANK(JP!AL334),"","x")</f>
        <v/>
      </c>
      <c r="AK330" t="str">
        <f>IF(ISBLANK(JP!AM334),"","x")</f>
        <v/>
      </c>
      <c r="AL330" t="str">
        <f>IF(ISBLANK(JP!AN334),"","x")</f>
        <v/>
      </c>
      <c r="AM330" t="str">
        <f>IF(ISBLANK(JP!AO334),"","x")</f>
        <v/>
      </c>
      <c r="AN330" t="str">
        <f>IF(ISBLANK(JP!AP334),"","x")</f>
        <v/>
      </c>
      <c r="AO330" t="str">
        <f>IF(ISBLANK(JP!AR334),"","x")</f>
        <v/>
      </c>
      <c r="AP330" t="str">
        <f>IF(ISBLANK(JP!AS334),"","x")</f>
        <v/>
      </c>
      <c r="AQ330" t="str">
        <f>IF(ISBLANK(JP!AT334),"","x")</f>
        <v/>
      </c>
      <c r="AR330" t="str">
        <f>IF(ISBLANK(JP!AU334),"","x")</f>
        <v/>
      </c>
      <c r="AS330" t="str">
        <f>IF(ISBLANK(JP!AV334),"","x")</f>
        <v/>
      </c>
      <c r="AT330" t="str">
        <f>IF(ISBLANK(JP!AW334),"","x")</f>
        <v/>
      </c>
      <c r="AU330" t="str">
        <f>IF(ISBLANK(JP!AX334),"","x")</f>
        <v/>
      </c>
    </row>
    <row r="331" spans="2:47">
      <c r="B331" t="str">
        <f>IF(ISBLANK(JP!AZ335),"",JP!AZ335)</f>
        <v/>
      </c>
      <c r="C331" t="str">
        <f>IF(ISBLANK(JP!BA335),"",JP!BA335)</f>
        <v/>
      </c>
      <c r="D331" t="str">
        <f>IF(ISBLANK(JP!BC335),"",JP!BC335)</f>
        <v/>
      </c>
      <c r="E331" t="str">
        <f>IF(ISBLANK(JP!BB335),"",JP!BB335)</f>
        <v/>
      </c>
      <c r="F331" t="str">
        <f>IF(ISBLANK(JP!D335),"","x")</f>
        <v/>
      </c>
      <c r="G331" t="str">
        <f>IF(ISBLANK(JP!E335),"","x")</f>
        <v/>
      </c>
      <c r="H331" t="str">
        <f>IF(ISBLANK(JP!F335),"","x")</f>
        <v/>
      </c>
      <c r="I331" t="str">
        <f>IF(ISBLANK(JP!G335),"","x")</f>
        <v/>
      </c>
      <c r="J331" t="str">
        <f>IF(ISBLANK(JP!H335),"","x")</f>
        <v/>
      </c>
      <c r="K331" t="str">
        <f>IF(ISBLANK(JP!I335),"","x")</f>
        <v/>
      </c>
      <c r="L331" t="str">
        <f>IF(ISBLANK(JP!J335),"","x")</f>
        <v/>
      </c>
      <c r="M331" t="str">
        <f>IF(ISBLANK(JP!L335),"","x")</f>
        <v/>
      </c>
      <c r="N331" t="str">
        <f>IF(ISBLANK(JP!M335),"","x")</f>
        <v/>
      </c>
      <c r="O331" t="str">
        <f>IF(ISBLANK(JP!N335),"","x")</f>
        <v/>
      </c>
      <c r="P331" t="str">
        <f>IF(ISBLANK(JP!O335),"","x")</f>
        <v/>
      </c>
      <c r="Q331" t="str">
        <f>IF(ISBLANK(JP!P335),"","x")</f>
        <v/>
      </c>
      <c r="R331" t="str">
        <f>IF(ISBLANK(JP!Q335),"","x")</f>
        <v/>
      </c>
      <c r="S331" t="str">
        <f>IF(ISBLANK(JP!R335),"","x")</f>
        <v/>
      </c>
      <c r="T331" t="str">
        <f>IF(ISBLANK(JP!T335),"","x")</f>
        <v/>
      </c>
      <c r="U331" t="str">
        <f>IF(ISBLANK(JP!U335),"","x")</f>
        <v/>
      </c>
      <c r="V331" t="str">
        <f>IF(ISBLANK(JP!V335),"","x")</f>
        <v/>
      </c>
      <c r="W331" t="str">
        <f>IF(ISBLANK(JP!W335),"","x")</f>
        <v/>
      </c>
      <c r="X331" t="str">
        <f>IF(ISBLANK(JP!X335),"","x")</f>
        <v/>
      </c>
      <c r="Y331" t="str">
        <f>IF(ISBLANK(JP!Y335),"","x")</f>
        <v/>
      </c>
      <c r="Z331" t="str">
        <f>IF(ISBLANK(JP!Z335),"","x")</f>
        <v/>
      </c>
      <c r="AA331" t="str">
        <f>IF(ISBLANK(JP!AB335),"","x")</f>
        <v/>
      </c>
      <c r="AB331" t="str">
        <f>IF(ISBLANK(JP!AC335),"","x")</f>
        <v/>
      </c>
      <c r="AC331" t="str">
        <f>IF(ISBLANK(JP!AD335),"","x")</f>
        <v/>
      </c>
      <c r="AD331" t="str">
        <f>IF(ISBLANK(JP!AE335),"","x")</f>
        <v/>
      </c>
      <c r="AE331" t="str">
        <f>IF(ISBLANK(JP!AF335),"","x")</f>
        <v/>
      </c>
      <c r="AF331" t="str">
        <f>IF(ISBLANK(JP!AG335),"","x")</f>
        <v/>
      </c>
      <c r="AG331" t="str">
        <f>IF(ISBLANK(JP!AH335),"","x")</f>
        <v/>
      </c>
      <c r="AH331" t="str">
        <f>IF(ISBLANK(JP!AJ335),"","x")</f>
        <v/>
      </c>
      <c r="AI331" t="str">
        <f>IF(ISBLANK(JP!AK335),"","x")</f>
        <v/>
      </c>
      <c r="AJ331" t="str">
        <f>IF(ISBLANK(JP!AL335),"","x")</f>
        <v/>
      </c>
      <c r="AK331" t="str">
        <f>IF(ISBLANK(JP!AM335),"","x")</f>
        <v/>
      </c>
      <c r="AL331" t="str">
        <f>IF(ISBLANK(JP!AN335),"","x")</f>
        <v/>
      </c>
      <c r="AM331" t="str">
        <f>IF(ISBLANK(JP!AO335),"","x")</f>
        <v/>
      </c>
      <c r="AN331" t="str">
        <f>IF(ISBLANK(JP!AP335),"","x")</f>
        <v/>
      </c>
      <c r="AO331" t="str">
        <f>IF(ISBLANK(JP!AR335),"","x")</f>
        <v/>
      </c>
      <c r="AP331" t="str">
        <f>IF(ISBLANK(JP!AS335),"","x")</f>
        <v/>
      </c>
      <c r="AQ331" t="str">
        <f>IF(ISBLANK(JP!AT335),"","x")</f>
        <v/>
      </c>
      <c r="AR331" t="str">
        <f>IF(ISBLANK(JP!AU335),"","x")</f>
        <v/>
      </c>
      <c r="AS331" t="str">
        <f>IF(ISBLANK(JP!AV335),"","x")</f>
        <v/>
      </c>
      <c r="AT331" t="str">
        <f>IF(ISBLANK(JP!AW335),"","x")</f>
        <v/>
      </c>
      <c r="AU331" t="str">
        <f>IF(ISBLANK(JP!AX335),"","x")</f>
        <v/>
      </c>
    </row>
    <row r="332" spans="2:47">
      <c r="B332" t="str">
        <f>IF(ISBLANK(JP!AZ336),"",JP!AZ336)</f>
        <v/>
      </c>
      <c r="C332" t="str">
        <f>IF(ISBLANK(JP!BA336),"",JP!BA336)</f>
        <v/>
      </c>
      <c r="D332" t="str">
        <f>IF(ISBLANK(JP!BC336),"",JP!BC336)</f>
        <v/>
      </c>
      <c r="E332" t="str">
        <f>IF(ISBLANK(JP!BB336),"",JP!BB336)</f>
        <v/>
      </c>
      <c r="F332" t="str">
        <f>IF(ISBLANK(JP!D336),"","x")</f>
        <v/>
      </c>
      <c r="G332" t="str">
        <f>IF(ISBLANK(JP!E336),"","x")</f>
        <v/>
      </c>
      <c r="H332" t="str">
        <f>IF(ISBLANK(JP!F336),"","x")</f>
        <v/>
      </c>
      <c r="I332" t="str">
        <f>IF(ISBLANK(JP!G336),"","x")</f>
        <v/>
      </c>
      <c r="J332" t="str">
        <f>IF(ISBLANK(JP!H336),"","x")</f>
        <v/>
      </c>
      <c r="K332" t="str">
        <f>IF(ISBLANK(JP!I336),"","x")</f>
        <v/>
      </c>
      <c r="L332" t="str">
        <f>IF(ISBLANK(JP!J336),"","x")</f>
        <v/>
      </c>
      <c r="M332" t="str">
        <f>IF(ISBLANK(JP!L336),"","x")</f>
        <v/>
      </c>
      <c r="N332" t="str">
        <f>IF(ISBLANK(JP!M336),"","x")</f>
        <v/>
      </c>
      <c r="O332" t="str">
        <f>IF(ISBLANK(JP!N336),"","x")</f>
        <v/>
      </c>
      <c r="P332" t="str">
        <f>IF(ISBLANK(JP!O336),"","x")</f>
        <v/>
      </c>
      <c r="Q332" t="str">
        <f>IF(ISBLANK(JP!P336),"","x")</f>
        <v/>
      </c>
      <c r="R332" t="str">
        <f>IF(ISBLANK(JP!Q336),"","x")</f>
        <v/>
      </c>
      <c r="S332" t="str">
        <f>IF(ISBLANK(JP!R336),"","x")</f>
        <v/>
      </c>
      <c r="T332" t="str">
        <f>IF(ISBLANK(JP!T336),"","x")</f>
        <v/>
      </c>
      <c r="U332" t="str">
        <f>IF(ISBLANK(JP!U336),"","x")</f>
        <v/>
      </c>
      <c r="V332" t="str">
        <f>IF(ISBLANK(JP!V336),"","x")</f>
        <v/>
      </c>
      <c r="W332" t="str">
        <f>IF(ISBLANK(JP!W336),"","x")</f>
        <v/>
      </c>
      <c r="X332" t="str">
        <f>IF(ISBLANK(JP!X336),"","x")</f>
        <v/>
      </c>
      <c r="Y332" t="str">
        <f>IF(ISBLANK(JP!Y336),"","x")</f>
        <v/>
      </c>
      <c r="Z332" t="str">
        <f>IF(ISBLANK(JP!Z336),"","x")</f>
        <v/>
      </c>
      <c r="AA332" t="str">
        <f>IF(ISBLANK(JP!AB336),"","x")</f>
        <v/>
      </c>
      <c r="AB332" t="str">
        <f>IF(ISBLANK(JP!AC336),"","x")</f>
        <v/>
      </c>
      <c r="AC332" t="str">
        <f>IF(ISBLANK(JP!AD336),"","x")</f>
        <v/>
      </c>
      <c r="AD332" t="str">
        <f>IF(ISBLANK(JP!AE336),"","x")</f>
        <v/>
      </c>
      <c r="AE332" t="str">
        <f>IF(ISBLANK(JP!AF336),"","x")</f>
        <v/>
      </c>
      <c r="AF332" t="str">
        <f>IF(ISBLANK(JP!AG336),"","x")</f>
        <v/>
      </c>
      <c r="AG332" t="str">
        <f>IF(ISBLANK(JP!AH336),"","x")</f>
        <v/>
      </c>
      <c r="AH332" t="str">
        <f>IF(ISBLANK(JP!AJ336),"","x")</f>
        <v/>
      </c>
      <c r="AI332" t="str">
        <f>IF(ISBLANK(JP!AK336),"","x")</f>
        <v/>
      </c>
      <c r="AJ332" t="str">
        <f>IF(ISBLANK(JP!AL336),"","x")</f>
        <v/>
      </c>
      <c r="AK332" t="str">
        <f>IF(ISBLANK(JP!AM336),"","x")</f>
        <v/>
      </c>
      <c r="AL332" t="str">
        <f>IF(ISBLANK(JP!AN336),"","x")</f>
        <v/>
      </c>
      <c r="AM332" t="str">
        <f>IF(ISBLANK(JP!AO336),"","x")</f>
        <v/>
      </c>
      <c r="AN332" t="str">
        <f>IF(ISBLANK(JP!AP336),"","x")</f>
        <v/>
      </c>
      <c r="AO332" t="str">
        <f>IF(ISBLANK(JP!AR336),"","x")</f>
        <v/>
      </c>
      <c r="AP332" t="str">
        <f>IF(ISBLANK(JP!AS336),"","x")</f>
        <v/>
      </c>
      <c r="AQ332" t="str">
        <f>IF(ISBLANK(JP!AT336),"","x")</f>
        <v/>
      </c>
      <c r="AR332" t="str">
        <f>IF(ISBLANK(JP!AU336),"","x")</f>
        <v/>
      </c>
      <c r="AS332" t="str">
        <f>IF(ISBLANK(JP!AV336),"","x")</f>
        <v/>
      </c>
      <c r="AT332" t="str">
        <f>IF(ISBLANK(JP!AW336),"","x")</f>
        <v/>
      </c>
      <c r="AU332" t="str">
        <f>IF(ISBLANK(JP!AX336),"","x")</f>
        <v/>
      </c>
    </row>
    <row r="333" spans="2:47">
      <c r="B333" t="str">
        <f>IF(ISBLANK(JP!AZ337),"",JP!AZ337)</f>
        <v/>
      </c>
      <c r="C333" t="str">
        <f>IF(ISBLANK(JP!BA337),"",JP!BA337)</f>
        <v/>
      </c>
      <c r="D333" t="str">
        <f>IF(ISBLANK(JP!BC337),"",JP!BC337)</f>
        <v/>
      </c>
      <c r="E333" t="str">
        <f>IF(ISBLANK(JP!BB337),"",JP!BB337)</f>
        <v/>
      </c>
      <c r="F333" t="str">
        <f>IF(ISBLANK(JP!D337),"","x")</f>
        <v/>
      </c>
      <c r="G333" t="str">
        <f>IF(ISBLANK(JP!E337),"","x")</f>
        <v/>
      </c>
      <c r="H333" t="str">
        <f>IF(ISBLANK(JP!F337),"","x")</f>
        <v/>
      </c>
      <c r="I333" t="str">
        <f>IF(ISBLANK(JP!G337),"","x")</f>
        <v/>
      </c>
      <c r="J333" t="str">
        <f>IF(ISBLANK(JP!H337),"","x")</f>
        <v/>
      </c>
      <c r="K333" t="str">
        <f>IF(ISBLANK(JP!I337),"","x")</f>
        <v/>
      </c>
      <c r="L333" t="str">
        <f>IF(ISBLANK(JP!J337),"","x")</f>
        <v/>
      </c>
      <c r="M333" t="str">
        <f>IF(ISBLANK(JP!L337),"","x")</f>
        <v/>
      </c>
      <c r="N333" t="str">
        <f>IF(ISBLANK(JP!M337),"","x")</f>
        <v/>
      </c>
      <c r="O333" t="str">
        <f>IF(ISBLANK(JP!N337),"","x")</f>
        <v/>
      </c>
      <c r="P333" t="str">
        <f>IF(ISBLANK(JP!O337),"","x")</f>
        <v/>
      </c>
      <c r="Q333" t="str">
        <f>IF(ISBLANK(JP!P337),"","x")</f>
        <v/>
      </c>
      <c r="R333" t="str">
        <f>IF(ISBLANK(JP!Q337),"","x")</f>
        <v/>
      </c>
      <c r="S333" t="str">
        <f>IF(ISBLANK(JP!R337),"","x")</f>
        <v/>
      </c>
      <c r="T333" t="str">
        <f>IF(ISBLANK(JP!T337),"","x")</f>
        <v/>
      </c>
      <c r="U333" t="str">
        <f>IF(ISBLANK(JP!U337),"","x")</f>
        <v/>
      </c>
      <c r="V333" t="str">
        <f>IF(ISBLANK(JP!V337),"","x")</f>
        <v/>
      </c>
      <c r="W333" t="str">
        <f>IF(ISBLANK(JP!W337),"","x")</f>
        <v/>
      </c>
      <c r="X333" t="str">
        <f>IF(ISBLANK(JP!X337),"","x")</f>
        <v/>
      </c>
      <c r="Y333" t="str">
        <f>IF(ISBLANK(JP!Y337),"","x")</f>
        <v/>
      </c>
      <c r="Z333" t="str">
        <f>IF(ISBLANK(JP!Z337),"","x")</f>
        <v/>
      </c>
      <c r="AA333" t="str">
        <f>IF(ISBLANK(JP!AB337),"","x")</f>
        <v/>
      </c>
      <c r="AB333" t="str">
        <f>IF(ISBLANK(JP!AC337),"","x")</f>
        <v/>
      </c>
      <c r="AC333" t="str">
        <f>IF(ISBLANK(JP!AD337),"","x")</f>
        <v/>
      </c>
      <c r="AD333" t="str">
        <f>IF(ISBLANK(JP!AE337),"","x")</f>
        <v/>
      </c>
      <c r="AE333" t="str">
        <f>IF(ISBLANK(JP!AF337),"","x")</f>
        <v/>
      </c>
      <c r="AF333" t="str">
        <f>IF(ISBLANK(JP!AG337),"","x")</f>
        <v/>
      </c>
      <c r="AG333" t="str">
        <f>IF(ISBLANK(JP!AH337),"","x")</f>
        <v/>
      </c>
      <c r="AH333" t="str">
        <f>IF(ISBLANK(JP!AJ337),"","x")</f>
        <v/>
      </c>
      <c r="AI333" t="str">
        <f>IF(ISBLANK(JP!AK337),"","x")</f>
        <v/>
      </c>
      <c r="AJ333" t="str">
        <f>IF(ISBLANK(JP!AL337),"","x")</f>
        <v/>
      </c>
      <c r="AK333" t="str">
        <f>IF(ISBLANK(JP!AM337),"","x")</f>
        <v/>
      </c>
      <c r="AL333" t="str">
        <f>IF(ISBLANK(JP!AN337),"","x")</f>
        <v/>
      </c>
      <c r="AM333" t="str">
        <f>IF(ISBLANK(JP!AO337),"","x")</f>
        <v/>
      </c>
      <c r="AN333" t="str">
        <f>IF(ISBLANK(JP!AP337),"","x")</f>
        <v/>
      </c>
      <c r="AO333" t="str">
        <f>IF(ISBLANK(JP!AR337),"","x")</f>
        <v/>
      </c>
      <c r="AP333" t="str">
        <f>IF(ISBLANK(JP!AS337),"","x")</f>
        <v/>
      </c>
      <c r="AQ333" t="str">
        <f>IF(ISBLANK(JP!AT337),"","x")</f>
        <v/>
      </c>
      <c r="AR333" t="str">
        <f>IF(ISBLANK(JP!AU337),"","x")</f>
        <v/>
      </c>
      <c r="AS333" t="str">
        <f>IF(ISBLANK(JP!AV337),"","x")</f>
        <v/>
      </c>
      <c r="AT333" t="str">
        <f>IF(ISBLANK(JP!AW337),"","x")</f>
        <v/>
      </c>
      <c r="AU333" t="str">
        <f>IF(ISBLANK(JP!AX337),"","x")</f>
        <v/>
      </c>
    </row>
    <row r="334" spans="2:47">
      <c r="B334" t="str">
        <f>IF(ISBLANK(JP!AZ338),"",JP!AZ338)</f>
        <v/>
      </c>
      <c r="C334" t="str">
        <f>IF(ISBLANK(JP!BA338),"",JP!BA338)</f>
        <v/>
      </c>
      <c r="D334" t="str">
        <f>IF(ISBLANK(JP!BC338),"",JP!BC338)</f>
        <v/>
      </c>
      <c r="E334" t="str">
        <f>IF(ISBLANK(JP!BB338),"",JP!BB338)</f>
        <v/>
      </c>
      <c r="F334" t="str">
        <f>IF(ISBLANK(JP!D338),"","x")</f>
        <v/>
      </c>
      <c r="G334" t="str">
        <f>IF(ISBLANK(JP!E338),"","x")</f>
        <v/>
      </c>
      <c r="H334" t="str">
        <f>IF(ISBLANK(JP!F338),"","x")</f>
        <v/>
      </c>
      <c r="I334" t="str">
        <f>IF(ISBLANK(JP!G338),"","x")</f>
        <v/>
      </c>
      <c r="J334" t="str">
        <f>IF(ISBLANK(JP!H338),"","x")</f>
        <v/>
      </c>
      <c r="K334" t="str">
        <f>IF(ISBLANK(JP!I338),"","x")</f>
        <v/>
      </c>
      <c r="L334" t="str">
        <f>IF(ISBLANK(JP!J338),"","x")</f>
        <v/>
      </c>
      <c r="M334" t="str">
        <f>IF(ISBLANK(JP!L338),"","x")</f>
        <v/>
      </c>
      <c r="N334" t="str">
        <f>IF(ISBLANK(JP!M338),"","x")</f>
        <v/>
      </c>
      <c r="O334" t="str">
        <f>IF(ISBLANK(JP!N338),"","x")</f>
        <v/>
      </c>
      <c r="P334" t="str">
        <f>IF(ISBLANK(JP!O338),"","x")</f>
        <v/>
      </c>
      <c r="Q334" t="str">
        <f>IF(ISBLANK(JP!P338),"","x")</f>
        <v/>
      </c>
      <c r="R334" t="str">
        <f>IF(ISBLANK(JP!Q338),"","x")</f>
        <v/>
      </c>
      <c r="S334" t="str">
        <f>IF(ISBLANK(JP!R338),"","x")</f>
        <v/>
      </c>
      <c r="T334" t="str">
        <f>IF(ISBLANK(JP!T338),"","x")</f>
        <v/>
      </c>
      <c r="U334" t="str">
        <f>IF(ISBLANK(JP!U338),"","x")</f>
        <v/>
      </c>
      <c r="V334" t="str">
        <f>IF(ISBLANK(JP!V338),"","x")</f>
        <v/>
      </c>
      <c r="W334" t="str">
        <f>IF(ISBLANK(JP!W338),"","x")</f>
        <v/>
      </c>
      <c r="X334" t="str">
        <f>IF(ISBLANK(JP!X338),"","x")</f>
        <v/>
      </c>
      <c r="Y334" t="str">
        <f>IF(ISBLANK(JP!Y338),"","x")</f>
        <v/>
      </c>
      <c r="Z334" t="str">
        <f>IF(ISBLANK(JP!Z338),"","x")</f>
        <v/>
      </c>
      <c r="AA334" t="str">
        <f>IF(ISBLANK(JP!AB338),"","x")</f>
        <v/>
      </c>
      <c r="AB334" t="str">
        <f>IF(ISBLANK(JP!AC338),"","x")</f>
        <v/>
      </c>
      <c r="AC334" t="str">
        <f>IF(ISBLANK(JP!AD338),"","x")</f>
        <v/>
      </c>
      <c r="AD334" t="str">
        <f>IF(ISBLANK(JP!AE338),"","x")</f>
        <v/>
      </c>
      <c r="AE334" t="str">
        <f>IF(ISBLANK(JP!AF338),"","x")</f>
        <v/>
      </c>
      <c r="AF334" t="str">
        <f>IF(ISBLANK(JP!AG338),"","x")</f>
        <v/>
      </c>
      <c r="AG334" t="str">
        <f>IF(ISBLANK(JP!AH338),"","x")</f>
        <v/>
      </c>
      <c r="AH334" t="str">
        <f>IF(ISBLANK(JP!AJ338),"","x")</f>
        <v/>
      </c>
      <c r="AI334" t="str">
        <f>IF(ISBLANK(JP!AK338),"","x")</f>
        <v/>
      </c>
      <c r="AJ334" t="str">
        <f>IF(ISBLANK(JP!AL338),"","x")</f>
        <v/>
      </c>
      <c r="AK334" t="str">
        <f>IF(ISBLANK(JP!AM338),"","x")</f>
        <v/>
      </c>
      <c r="AL334" t="str">
        <f>IF(ISBLANK(JP!AN338),"","x")</f>
        <v/>
      </c>
      <c r="AM334" t="str">
        <f>IF(ISBLANK(JP!AO338),"","x")</f>
        <v/>
      </c>
      <c r="AN334" t="str">
        <f>IF(ISBLANK(JP!AP338),"","x")</f>
        <v/>
      </c>
      <c r="AO334" t="str">
        <f>IF(ISBLANK(JP!AR338),"","x")</f>
        <v/>
      </c>
      <c r="AP334" t="str">
        <f>IF(ISBLANK(JP!AS338),"","x")</f>
        <v/>
      </c>
      <c r="AQ334" t="str">
        <f>IF(ISBLANK(JP!AT338),"","x")</f>
        <v/>
      </c>
      <c r="AR334" t="str">
        <f>IF(ISBLANK(JP!AU338),"","x")</f>
        <v/>
      </c>
      <c r="AS334" t="str">
        <f>IF(ISBLANK(JP!AV338),"","x")</f>
        <v/>
      </c>
      <c r="AT334" t="str">
        <f>IF(ISBLANK(JP!AW338),"","x")</f>
        <v/>
      </c>
      <c r="AU334" t="str">
        <f>IF(ISBLANK(JP!AX338),"","x")</f>
        <v/>
      </c>
    </row>
    <row r="335" spans="2:47">
      <c r="B335" t="str">
        <f>IF(ISBLANK(JP!AZ339),"",JP!AZ339)</f>
        <v/>
      </c>
      <c r="C335" t="str">
        <f>IF(ISBLANK(JP!BA339),"",JP!BA339)</f>
        <v/>
      </c>
      <c r="D335" t="str">
        <f>IF(ISBLANK(JP!BC339),"",JP!BC339)</f>
        <v/>
      </c>
      <c r="E335" t="str">
        <f>IF(ISBLANK(JP!BB339),"",JP!BB339)</f>
        <v/>
      </c>
      <c r="F335" t="str">
        <f>IF(ISBLANK(JP!D339),"","x")</f>
        <v/>
      </c>
      <c r="G335" t="str">
        <f>IF(ISBLANK(JP!E339),"","x")</f>
        <v/>
      </c>
      <c r="H335" t="str">
        <f>IF(ISBLANK(JP!F339),"","x")</f>
        <v/>
      </c>
      <c r="I335" t="str">
        <f>IF(ISBLANK(JP!G339),"","x")</f>
        <v/>
      </c>
      <c r="J335" t="str">
        <f>IF(ISBLANK(JP!H339),"","x")</f>
        <v/>
      </c>
      <c r="K335" t="str">
        <f>IF(ISBLANK(JP!I339),"","x")</f>
        <v/>
      </c>
      <c r="L335" t="str">
        <f>IF(ISBLANK(JP!J339),"","x")</f>
        <v/>
      </c>
      <c r="M335" t="str">
        <f>IF(ISBLANK(JP!L339),"","x")</f>
        <v/>
      </c>
      <c r="N335" t="str">
        <f>IF(ISBLANK(JP!M339),"","x")</f>
        <v/>
      </c>
      <c r="O335" t="str">
        <f>IF(ISBLANK(JP!N339),"","x")</f>
        <v/>
      </c>
      <c r="P335" t="str">
        <f>IF(ISBLANK(JP!O339),"","x")</f>
        <v/>
      </c>
      <c r="Q335" t="str">
        <f>IF(ISBLANK(JP!P339),"","x")</f>
        <v/>
      </c>
      <c r="R335" t="str">
        <f>IF(ISBLANK(JP!Q339),"","x")</f>
        <v/>
      </c>
      <c r="S335" t="str">
        <f>IF(ISBLANK(JP!R339),"","x")</f>
        <v/>
      </c>
      <c r="T335" t="str">
        <f>IF(ISBLANK(JP!T339),"","x")</f>
        <v/>
      </c>
      <c r="U335" t="str">
        <f>IF(ISBLANK(JP!U339),"","x")</f>
        <v/>
      </c>
      <c r="V335" t="str">
        <f>IF(ISBLANK(JP!V339),"","x")</f>
        <v/>
      </c>
      <c r="W335" t="str">
        <f>IF(ISBLANK(JP!W339),"","x")</f>
        <v/>
      </c>
      <c r="X335" t="str">
        <f>IF(ISBLANK(JP!X339),"","x")</f>
        <v/>
      </c>
      <c r="Y335" t="str">
        <f>IF(ISBLANK(JP!Y339),"","x")</f>
        <v/>
      </c>
      <c r="Z335" t="str">
        <f>IF(ISBLANK(JP!Z339),"","x")</f>
        <v/>
      </c>
      <c r="AA335" t="str">
        <f>IF(ISBLANK(JP!AB339),"","x")</f>
        <v/>
      </c>
      <c r="AB335" t="str">
        <f>IF(ISBLANK(JP!AC339),"","x")</f>
        <v/>
      </c>
      <c r="AC335" t="str">
        <f>IF(ISBLANK(JP!AD339),"","x")</f>
        <v/>
      </c>
      <c r="AD335" t="str">
        <f>IF(ISBLANK(JP!AE339),"","x")</f>
        <v/>
      </c>
      <c r="AE335" t="str">
        <f>IF(ISBLANK(JP!AF339),"","x")</f>
        <v/>
      </c>
      <c r="AF335" t="str">
        <f>IF(ISBLANK(JP!AG339),"","x")</f>
        <v/>
      </c>
      <c r="AG335" t="str">
        <f>IF(ISBLANK(JP!AH339),"","x")</f>
        <v/>
      </c>
      <c r="AH335" t="str">
        <f>IF(ISBLANK(JP!AJ339),"","x")</f>
        <v/>
      </c>
      <c r="AI335" t="str">
        <f>IF(ISBLANK(JP!AK339),"","x")</f>
        <v/>
      </c>
      <c r="AJ335" t="str">
        <f>IF(ISBLANK(JP!AL339),"","x")</f>
        <v/>
      </c>
      <c r="AK335" t="str">
        <f>IF(ISBLANK(JP!AM339),"","x")</f>
        <v/>
      </c>
      <c r="AL335" t="str">
        <f>IF(ISBLANK(JP!AN339),"","x")</f>
        <v/>
      </c>
      <c r="AM335" t="str">
        <f>IF(ISBLANK(JP!AO339),"","x")</f>
        <v/>
      </c>
      <c r="AN335" t="str">
        <f>IF(ISBLANK(JP!AP339),"","x")</f>
        <v/>
      </c>
      <c r="AO335" t="str">
        <f>IF(ISBLANK(JP!AR339),"","x")</f>
        <v/>
      </c>
      <c r="AP335" t="str">
        <f>IF(ISBLANK(JP!AS339),"","x")</f>
        <v/>
      </c>
      <c r="AQ335" t="str">
        <f>IF(ISBLANK(JP!AT339),"","x")</f>
        <v/>
      </c>
      <c r="AR335" t="str">
        <f>IF(ISBLANK(JP!AU339),"","x")</f>
        <v/>
      </c>
      <c r="AS335" t="str">
        <f>IF(ISBLANK(JP!AV339),"","x")</f>
        <v/>
      </c>
      <c r="AT335" t="str">
        <f>IF(ISBLANK(JP!AW339),"","x")</f>
        <v/>
      </c>
      <c r="AU335" t="str">
        <f>IF(ISBLANK(JP!AX339),"","x")</f>
        <v/>
      </c>
    </row>
    <row r="336" spans="2:47">
      <c r="B336" t="str">
        <f>IF(ISBLANK(JP!AZ340),"",JP!AZ340)</f>
        <v/>
      </c>
      <c r="C336" t="str">
        <f>IF(ISBLANK(JP!BA340),"",JP!BA340)</f>
        <v/>
      </c>
      <c r="D336" t="str">
        <f>IF(ISBLANK(JP!BC340),"",JP!BC340)</f>
        <v/>
      </c>
      <c r="E336" t="str">
        <f>IF(ISBLANK(JP!BB340),"",JP!BB340)</f>
        <v/>
      </c>
      <c r="F336" t="str">
        <f>IF(ISBLANK(JP!D340),"","x")</f>
        <v/>
      </c>
      <c r="G336" t="str">
        <f>IF(ISBLANK(JP!E340),"","x")</f>
        <v/>
      </c>
      <c r="H336" t="str">
        <f>IF(ISBLANK(JP!F340),"","x")</f>
        <v/>
      </c>
      <c r="I336" t="str">
        <f>IF(ISBLANK(JP!G340),"","x")</f>
        <v/>
      </c>
      <c r="J336" t="str">
        <f>IF(ISBLANK(JP!H340),"","x")</f>
        <v/>
      </c>
      <c r="K336" t="str">
        <f>IF(ISBLANK(JP!I340),"","x")</f>
        <v/>
      </c>
      <c r="L336" t="str">
        <f>IF(ISBLANK(JP!J340),"","x")</f>
        <v/>
      </c>
      <c r="M336" t="str">
        <f>IF(ISBLANK(JP!L340),"","x")</f>
        <v/>
      </c>
      <c r="N336" t="str">
        <f>IF(ISBLANK(JP!M340),"","x")</f>
        <v/>
      </c>
      <c r="O336" t="str">
        <f>IF(ISBLANK(JP!N340),"","x")</f>
        <v/>
      </c>
      <c r="P336" t="str">
        <f>IF(ISBLANK(JP!O340),"","x")</f>
        <v/>
      </c>
      <c r="Q336" t="str">
        <f>IF(ISBLANK(JP!P340),"","x")</f>
        <v/>
      </c>
      <c r="R336" t="str">
        <f>IF(ISBLANK(JP!Q340),"","x")</f>
        <v/>
      </c>
      <c r="S336" t="str">
        <f>IF(ISBLANK(JP!R340),"","x")</f>
        <v/>
      </c>
      <c r="T336" t="str">
        <f>IF(ISBLANK(JP!T340),"","x")</f>
        <v/>
      </c>
      <c r="U336" t="str">
        <f>IF(ISBLANK(JP!U340),"","x")</f>
        <v/>
      </c>
      <c r="V336" t="str">
        <f>IF(ISBLANK(JP!V340),"","x")</f>
        <v/>
      </c>
      <c r="W336" t="str">
        <f>IF(ISBLANK(JP!W340),"","x")</f>
        <v/>
      </c>
      <c r="X336" t="str">
        <f>IF(ISBLANK(JP!X340),"","x")</f>
        <v/>
      </c>
      <c r="Y336" t="str">
        <f>IF(ISBLANK(JP!Y340),"","x")</f>
        <v/>
      </c>
      <c r="Z336" t="str">
        <f>IF(ISBLANK(JP!Z340),"","x")</f>
        <v/>
      </c>
      <c r="AA336" t="str">
        <f>IF(ISBLANK(JP!AB340),"","x")</f>
        <v/>
      </c>
      <c r="AB336" t="str">
        <f>IF(ISBLANK(JP!AC340),"","x")</f>
        <v/>
      </c>
      <c r="AC336" t="str">
        <f>IF(ISBLANK(JP!AD340),"","x")</f>
        <v/>
      </c>
      <c r="AD336" t="str">
        <f>IF(ISBLANK(JP!AE340),"","x")</f>
        <v/>
      </c>
      <c r="AE336" t="str">
        <f>IF(ISBLANK(JP!AF340),"","x")</f>
        <v/>
      </c>
      <c r="AF336" t="str">
        <f>IF(ISBLANK(JP!AG340),"","x")</f>
        <v/>
      </c>
      <c r="AG336" t="str">
        <f>IF(ISBLANK(JP!AH340),"","x")</f>
        <v/>
      </c>
      <c r="AH336" t="str">
        <f>IF(ISBLANK(JP!AJ340),"","x")</f>
        <v/>
      </c>
      <c r="AI336" t="str">
        <f>IF(ISBLANK(JP!AK340),"","x")</f>
        <v/>
      </c>
      <c r="AJ336" t="str">
        <f>IF(ISBLANK(JP!AL340),"","x")</f>
        <v/>
      </c>
      <c r="AK336" t="str">
        <f>IF(ISBLANK(JP!AM340),"","x")</f>
        <v/>
      </c>
      <c r="AL336" t="str">
        <f>IF(ISBLANK(JP!AN340),"","x")</f>
        <v/>
      </c>
      <c r="AM336" t="str">
        <f>IF(ISBLANK(JP!AO340),"","x")</f>
        <v/>
      </c>
      <c r="AN336" t="str">
        <f>IF(ISBLANK(JP!AP340),"","x")</f>
        <v/>
      </c>
      <c r="AO336" t="str">
        <f>IF(ISBLANK(JP!AR340),"","x")</f>
        <v/>
      </c>
      <c r="AP336" t="str">
        <f>IF(ISBLANK(JP!AS340),"","x")</f>
        <v/>
      </c>
      <c r="AQ336" t="str">
        <f>IF(ISBLANK(JP!AT340),"","x")</f>
        <v/>
      </c>
      <c r="AR336" t="str">
        <f>IF(ISBLANK(JP!AU340),"","x")</f>
        <v/>
      </c>
      <c r="AS336" t="str">
        <f>IF(ISBLANK(JP!AV340),"","x")</f>
        <v/>
      </c>
      <c r="AT336" t="str">
        <f>IF(ISBLANK(JP!AW340),"","x")</f>
        <v/>
      </c>
      <c r="AU336" t="str">
        <f>IF(ISBLANK(JP!AX340),"","x")</f>
        <v/>
      </c>
    </row>
    <row r="337" spans="2:47">
      <c r="B337" t="str">
        <f>IF(ISBLANK(JP!AZ341),"",JP!AZ341)</f>
        <v/>
      </c>
      <c r="C337" t="str">
        <f>IF(ISBLANK(JP!BA341),"",JP!BA341)</f>
        <v/>
      </c>
      <c r="D337" t="str">
        <f>IF(ISBLANK(JP!BC341),"",JP!BC341)</f>
        <v/>
      </c>
      <c r="E337" t="str">
        <f>IF(ISBLANK(JP!BB341),"",JP!BB341)</f>
        <v/>
      </c>
      <c r="F337" t="str">
        <f>IF(ISBLANK(JP!D341),"","x")</f>
        <v/>
      </c>
      <c r="G337" t="str">
        <f>IF(ISBLANK(JP!E341),"","x")</f>
        <v/>
      </c>
      <c r="H337" t="str">
        <f>IF(ISBLANK(JP!F341),"","x")</f>
        <v/>
      </c>
      <c r="I337" t="str">
        <f>IF(ISBLANK(JP!G341),"","x")</f>
        <v/>
      </c>
      <c r="J337" t="str">
        <f>IF(ISBLANK(JP!H341),"","x")</f>
        <v/>
      </c>
      <c r="K337" t="str">
        <f>IF(ISBLANK(JP!I341),"","x")</f>
        <v/>
      </c>
      <c r="L337" t="str">
        <f>IF(ISBLANK(JP!J341),"","x")</f>
        <v/>
      </c>
      <c r="M337" t="str">
        <f>IF(ISBLANK(JP!L341),"","x")</f>
        <v/>
      </c>
      <c r="N337" t="str">
        <f>IF(ISBLANK(JP!M341),"","x")</f>
        <v/>
      </c>
      <c r="O337" t="str">
        <f>IF(ISBLANK(JP!N341),"","x")</f>
        <v/>
      </c>
      <c r="P337" t="str">
        <f>IF(ISBLANK(JP!O341),"","x")</f>
        <v/>
      </c>
      <c r="Q337" t="str">
        <f>IF(ISBLANK(JP!P341),"","x")</f>
        <v/>
      </c>
      <c r="R337" t="str">
        <f>IF(ISBLANK(JP!Q341),"","x")</f>
        <v/>
      </c>
      <c r="S337" t="str">
        <f>IF(ISBLANK(JP!R341),"","x")</f>
        <v/>
      </c>
      <c r="T337" t="str">
        <f>IF(ISBLANK(JP!T341),"","x")</f>
        <v/>
      </c>
      <c r="U337" t="str">
        <f>IF(ISBLANK(JP!U341),"","x")</f>
        <v/>
      </c>
      <c r="V337" t="str">
        <f>IF(ISBLANK(JP!V341),"","x")</f>
        <v/>
      </c>
      <c r="W337" t="str">
        <f>IF(ISBLANK(JP!W341),"","x")</f>
        <v/>
      </c>
      <c r="X337" t="str">
        <f>IF(ISBLANK(JP!X341),"","x")</f>
        <v/>
      </c>
      <c r="Y337" t="str">
        <f>IF(ISBLANK(JP!Y341),"","x")</f>
        <v/>
      </c>
      <c r="Z337" t="str">
        <f>IF(ISBLANK(JP!Z341),"","x")</f>
        <v/>
      </c>
      <c r="AA337" t="str">
        <f>IF(ISBLANK(JP!AB341),"","x")</f>
        <v/>
      </c>
      <c r="AB337" t="str">
        <f>IF(ISBLANK(JP!AC341),"","x")</f>
        <v/>
      </c>
      <c r="AC337" t="str">
        <f>IF(ISBLANK(JP!AD341),"","x")</f>
        <v/>
      </c>
      <c r="AD337" t="str">
        <f>IF(ISBLANK(JP!AE341),"","x")</f>
        <v/>
      </c>
      <c r="AE337" t="str">
        <f>IF(ISBLANK(JP!AF341),"","x")</f>
        <v/>
      </c>
      <c r="AF337" t="str">
        <f>IF(ISBLANK(JP!AG341),"","x")</f>
        <v/>
      </c>
      <c r="AG337" t="str">
        <f>IF(ISBLANK(JP!AH341),"","x")</f>
        <v/>
      </c>
      <c r="AH337" t="str">
        <f>IF(ISBLANK(JP!AJ341),"","x")</f>
        <v/>
      </c>
      <c r="AI337" t="str">
        <f>IF(ISBLANK(JP!AK341),"","x")</f>
        <v/>
      </c>
      <c r="AJ337" t="str">
        <f>IF(ISBLANK(JP!AL341),"","x")</f>
        <v/>
      </c>
      <c r="AK337" t="str">
        <f>IF(ISBLANK(JP!AM341),"","x")</f>
        <v/>
      </c>
      <c r="AL337" t="str">
        <f>IF(ISBLANK(JP!AN341),"","x")</f>
        <v/>
      </c>
      <c r="AM337" t="str">
        <f>IF(ISBLANK(JP!AO341),"","x")</f>
        <v/>
      </c>
      <c r="AN337" t="str">
        <f>IF(ISBLANK(JP!AP341),"","x")</f>
        <v/>
      </c>
      <c r="AO337" t="str">
        <f>IF(ISBLANK(JP!AR341),"","x")</f>
        <v/>
      </c>
      <c r="AP337" t="str">
        <f>IF(ISBLANK(JP!AS341),"","x")</f>
        <v/>
      </c>
      <c r="AQ337" t="str">
        <f>IF(ISBLANK(JP!AT341),"","x")</f>
        <v/>
      </c>
      <c r="AR337" t="str">
        <f>IF(ISBLANK(JP!AU341),"","x")</f>
        <v/>
      </c>
      <c r="AS337" t="str">
        <f>IF(ISBLANK(JP!AV341),"","x")</f>
        <v/>
      </c>
      <c r="AT337" t="str">
        <f>IF(ISBLANK(JP!AW341),"","x")</f>
        <v/>
      </c>
      <c r="AU337" t="str">
        <f>IF(ISBLANK(JP!AX341),"","x")</f>
        <v/>
      </c>
    </row>
    <row r="338" spans="2:47">
      <c r="B338" t="str">
        <f>IF(ISBLANK(JP!AZ342),"",JP!AZ342)</f>
        <v/>
      </c>
      <c r="C338" t="str">
        <f>IF(ISBLANK(JP!BA342),"",JP!BA342)</f>
        <v/>
      </c>
      <c r="D338" t="str">
        <f>IF(ISBLANK(JP!BC342),"",JP!BC342)</f>
        <v/>
      </c>
      <c r="E338" t="str">
        <f>IF(ISBLANK(JP!BB342),"",JP!BB342)</f>
        <v/>
      </c>
      <c r="F338" t="str">
        <f>IF(ISBLANK(JP!D342),"","x")</f>
        <v/>
      </c>
      <c r="G338" t="str">
        <f>IF(ISBLANK(JP!E342),"","x")</f>
        <v/>
      </c>
      <c r="H338" t="str">
        <f>IF(ISBLANK(JP!F342),"","x")</f>
        <v/>
      </c>
      <c r="I338" t="str">
        <f>IF(ISBLANK(JP!G342),"","x")</f>
        <v/>
      </c>
      <c r="J338" t="str">
        <f>IF(ISBLANK(JP!H342),"","x")</f>
        <v/>
      </c>
      <c r="K338" t="str">
        <f>IF(ISBLANK(JP!I342),"","x")</f>
        <v/>
      </c>
      <c r="L338" t="str">
        <f>IF(ISBLANK(JP!J342),"","x")</f>
        <v/>
      </c>
      <c r="M338" t="str">
        <f>IF(ISBLANK(JP!L342),"","x")</f>
        <v/>
      </c>
      <c r="N338" t="str">
        <f>IF(ISBLANK(JP!M342),"","x")</f>
        <v/>
      </c>
      <c r="O338" t="str">
        <f>IF(ISBLANK(JP!N342),"","x")</f>
        <v/>
      </c>
      <c r="P338" t="str">
        <f>IF(ISBLANK(JP!O342),"","x")</f>
        <v/>
      </c>
      <c r="Q338" t="str">
        <f>IF(ISBLANK(JP!P342),"","x")</f>
        <v/>
      </c>
      <c r="R338" t="str">
        <f>IF(ISBLANK(JP!Q342),"","x")</f>
        <v/>
      </c>
      <c r="S338" t="str">
        <f>IF(ISBLANK(JP!R342),"","x")</f>
        <v/>
      </c>
      <c r="T338" t="str">
        <f>IF(ISBLANK(JP!T342),"","x")</f>
        <v/>
      </c>
      <c r="U338" t="str">
        <f>IF(ISBLANK(JP!U342),"","x")</f>
        <v/>
      </c>
      <c r="V338" t="str">
        <f>IF(ISBLANK(JP!V342),"","x")</f>
        <v/>
      </c>
      <c r="W338" t="str">
        <f>IF(ISBLANK(JP!W342),"","x")</f>
        <v/>
      </c>
      <c r="X338" t="str">
        <f>IF(ISBLANK(JP!X342),"","x")</f>
        <v/>
      </c>
      <c r="Y338" t="str">
        <f>IF(ISBLANK(JP!Y342),"","x")</f>
        <v/>
      </c>
      <c r="Z338" t="str">
        <f>IF(ISBLANK(JP!Z342),"","x")</f>
        <v/>
      </c>
      <c r="AA338" t="str">
        <f>IF(ISBLANK(JP!AB342),"","x")</f>
        <v/>
      </c>
      <c r="AB338" t="str">
        <f>IF(ISBLANK(JP!AC342),"","x")</f>
        <v/>
      </c>
      <c r="AC338" t="str">
        <f>IF(ISBLANK(JP!AD342),"","x")</f>
        <v/>
      </c>
      <c r="AD338" t="str">
        <f>IF(ISBLANK(JP!AE342),"","x")</f>
        <v/>
      </c>
      <c r="AE338" t="str">
        <f>IF(ISBLANK(JP!AF342),"","x")</f>
        <v/>
      </c>
      <c r="AF338" t="str">
        <f>IF(ISBLANK(JP!AG342),"","x")</f>
        <v/>
      </c>
      <c r="AG338" t="str">
        <f>IF(ISBLANK(JP!AH342),"","x")</f>
        <v/>
      </c>
      <c r="AH338" t="str">
        <f>IF(ISBLANK(JP!AJ342),"","x")</f>
        <v/>
      </c>
      <c r="AI338" t="str">
        <f>IF(ISBLANK(JP!AK342),"","x")</f>
        <v/>
      </c>
      <c r="AJ338" t="str">
        <f>IF(ISBLANK(JP!AL342),"","x")</f>
        <v/>
      </c>
      <c r="AK338" t="str">
        <f>IF(ISBLANK(JP!AM342),"","x")</f>
        <v/>
      </c>
      <c r="AL338" t="str">
        <f>IF(ISBLANK(JP!AN342),"","x")</f>
        <v/>
      </c>
      <c r="AM338" t="str">
        <f>IF(ISBLANK(JP!AO342),"","x")</f>
        <v/>
      </c>
      <c r="AN338" t="str">
        <f>IF(ISBLANK(JP!AP342),"","x")</f>
        <v/>
      </c>
      <c r="AO338" t="str">
        <f>IF(ISBLANK(JP!AR342),"","x")</f>
        <v/>
      </c>
      <c r="AP338" t="str">
        <f>IF(ISBLANK(JP!AS342),"","x")</f>
        <v/>
      </c>
      <c r="AQ338" t="str">
        <f>IF(ISBLANK(JP!AT342),"","x")</f>
        <v/>
      </c>
      <c r="AR338" t="str">
        <f>IF(ISBLANK(JP!AU342),"","x")</f>
        <v/>
      </c>
      <c r="AS338" t="str">
        <f>IF(ISBLANK(JP!AV342),"","x")</f>
        <v/>
      </c>
      <c r="AT338" t="str">
        <f>IF(ISBLANK(JP!AW342),"","x")</f>
        <v/>
      </c>
      <c r="AU338" t="str">
        <f>IF(ISBLANK(JP!AX342),"","x")</f>
        <v/>
      </c>
    </row>
    <row r="339" spans="2:47">
      <c r="B339" t="str">
        <f>IF(ISBLANK(JP!AZ343),"",JP!AZ343)</f>
        <v/>
      </c>
      <c r="C339" t="str">
        <f>IF(ISBLANK(JP!BA343),"",JP!BA343)</f>
        <v/>
      </c>
      <c r="D339" t="str">
        <f>IF(ISBLANK(JP!BC343),"",JP!BC343)</f>
        <v/>
      </c>
      <c r="E339" t="str">
        <f>IF(ISBLANK(JP!BB343),"",JP!BB343)</f>
        <v/>
      </c>
      <c r="F339" t="str">
        <f>IF(ISBLANK(JP!D343),"","x")</f>
        <v/>
      </c>
      <c r="G339" t="str">
        <f>IF(ISBLANK(JP!E343),"","x")</f>
        <v/>
      </c>
      <c r="H339" t="str">
        <f>IF(ISBLANK(JP!F343),"","x")</f>
        <v/>
      </c>
      <c r="I339" t="str">
        <f>IF(ISBLANK(JP!G343),"","x")</f>
        <v/>
      </c>
      <c r="J339" t="str">
        <f>IF(ISBLANK(JP!H343),"","x")</f>
        <v/>
      </c>
      <c r="K339" t="str">
        <f>IF(ISBLANK(JP!I343),"","x")</f>
        <v/>
      </c>
      <c r="L339" t="str">
        <f>IF(ISBLANK(JP!J343),"","x")</f>
        <v/>
      </c>
      <c r="M339" t="str">
        <f>IF(ISBLANK(JP!L343),"","x")</f>
        <v/>
      </c>
      <c r="N339" t="str">
        <f>IF(ISBLANK(JP!M343),"","x")</f>
        <v/>
      </c>
      <c r="O339" t="str">
        <f>IF(ISBLANK(JP!N343),"","x")</f>
        <v/>
      </c>
      <c r="P339" t="str">
        <f>IF(ISBLANK(JP!O343),"","x")</f>
        <v/>
      </c>
      <c r="Q339" t="str">
        <f>IF(ISBLANK(JP!P343),"","x")</f>
        <v/>
      </c>
      <c r="R339" t="str">
        <f>IF(ISBLANK(JP!Q343),"","x")</f>
        <v/>
      </c>
      <c r="S339" t="str">
        <f>IF(ISBLANK(JP!R343),"","x")</f>
        <v/>
      </c>
      <c r="T339" t="str">
        <f>IF(ISBLANK(JP!T343),"","x")</f>
        <v/>
      </c>
      <c r="U339" t="str">
        <f>IF(ISBLANK(JP!U343),"","x")</f>
        <v/>
      </c>
      <c r="V339" t="str">
        <f>IF(ISBLANK(JP!V343),"","x")</f>
        <v/>
      </c>
      <c r="W339" t="str">
        <f>IF(ISBLANK(JP!W343),"","x")</f>
        <v/>
      </c>
      <c r="X339" t="str">
        <f>IF(ISBLANK(JP!X343),"","x")</f>
        <v/>
      </c>
      <c r="Y339" t="str">
        <f>IF(ISBLANK(JP!Y343),"","x")</f>
        <v/>
      </c>
      <c r="Z339" t="str">
        <f>IF(ISBLANK(JP!Z343),"","x")</f>
        <v/>
      </c>
      <c r="AA339" t="str">
        <f>IF(ISBLANK(JP!AB343),"","x")</f>
        <v/>
      </c>
      <c r="AB339" t="str">
        <f>IF(ISBLANK(JP!AC343),"","x")</f>
        <v/>
      </c>
      <c r="AC339" t="str">
        <f>IF(ISBLANK(JP!AD343),"","x")</f>
        <v/>
      </c>
      <c r="AD339" t="str">
        <f>IF(ISBLANK(JP!AE343),"","x")</f>
        <v/>
      </c>
      <c r="AE339" t="str">
        <f>IF(ISBLANK(JP!AF343),"","x")</f>
        <v/>
      </c>
      <c r="AF339" t="str">
        <f>IF(ISBLANK(JP!AG343),"","x")</f>
        <v/>
      </c>
      <c r="AG339" t="str">
        <f>IF(ISBLANK(JP!AH343),"","x")</f>
        <v/>
      </c>
      <c r="AH339" t="str">
        <f>IF(ISBLANK(JP!AJ343),"","x")</f>
        <v/>
      </c>
      <c r="AI339" t="str">
        <f>IF(ISBLANK(JP!AK343),"","x")</f>
        <v/>
      </c>
      <c r="AJ339" t="str">
        <f>IF(ISBLANK(JP!AL343),"","x")</f>
        <v/>
      </c>
      <c r="AK339" t="str">
        <f>IF(ISBLANK(JP!AM343),"","x")</f>
        <v/>
      </c>
      <c r="AL339" t="str">
        <f>IF(ISBLANK(JP!AN343),"","x")</f>
        <v/>
      </c>
      <c r="AM339" t="str">
        <f>IF(ISBLANK(JP!AO343),"","x")</f>
        <v/>
      </c>
      <c r="AN339" t="str">
        <f>IF(ISBLANK(JP!AP343),"","x")</f>
        <v/>
      </c>
      <c r="AO339" t="str">
        <f>IF(ISBLANK(JP!AR343),"","x")</f>
        <v/>
      </c>
      <c r="AP339" t="str">
        <f>IF(ISBLANK(JP!AS343),"","x")</f>
        <v/>
      </c>
      <c r="AQ339" t="str">
        <f>IF(ISBLANK(JP!AT343),"","x")</f>
        <v/>
      </c>
      <c r="AR339" t="str">
        <f>IF(ISBLANK(JP!AU343),"","x")</f>
        <v/>
      </c>
      <c r="AS339" t="str">
        <f>IF(ISBLANK(JP!AV343),"","x")</f>
        <v/>
      </c>
      <c r="AT339" t="str">
        <f>IF(ISBLANK(JP!AW343),"","x")</f>
        <v/>
      </c>
      <c r="AU339" t="str">
        <f>IF(ISBLANK(JP!AX343),"","x")</f>
        <v/>
      </c>
    </row>
    <row r="340" spans="2:47">
      <c r="B340" t="str">
        <f>IF(ISBLANK(JP!AZ344),"",JP!AZ344)</f>
        <v/>
      </c>
      <c r="C340" t="str">
        <f>IF(ISBLANK(JP!BA344),"",JP!BA344)</f>
        <v/>
      </c>
      <c r="D340" t="str">
        <f>IF(ISBLANK(JP!BC344),"",JP!BC344)</f>
        <v/>
      </c>
      <c r="E340" t="str">
        <f>IF(ISBLANK(JP!BB344),"",JP!BB344)</f>
        <v/>
      </c>
      <c r="F340" t="str">
        <f>IF(ISBLANK(JP!D344),"","x")</f>
        <v/>
      </c>
      <c r="G340" t="str">
        <f>IF(ISBLANK(JP!E344),"","x")</f>
        <v/>
      </c>
      <c r="H340" t="str">
        <f>IF(ISBLANK(JP!F344),"","x")</f>
        <v/>
      </c>
      <c r="I340" t="str">
        <f>IF(ISBLANK(JP!G344),"","x")</f>
        <v/>
      </c>
      <c r="J340" t="str">
        <f>IF(ISBLANK(JP!H344),"","x")</f>
        <v/>
      </c>
      <c r="K340" t="str">
        <f>IF(ISBLANK(JP!I344),"","x")</f>
        <v/>
      </c>
      <c r="L340" t="str">
        <f>IF(ISBLANK(JP!J344),"","x")</f>
        <v/>
      </c>
      <c r="M340" t="str">
        <f>IF(ISBLANK(JP!L344),"","x")</f>
        <v/>
      </c>
      <c r="N340" t="str">
        <f>IF(ISBLANK(JP!M344),"","x")</f>
        <v/>
      </c>
      <c r="O340" t="str">
        <f>IF(ISBLANK(JP!N344),"","x")</f>
        <v/>
      </c>
      <c r="P340" t="str">
        <f>IF(ISBLANK(JP!O344),"","x")</f>
        <v/>
      </c>
      <c r="Q340" t="str">
        <f>IF(ISBLANK(JP!P344),"","x")</f>
        <v/>
      </c>
      <c r="R340" t="str">
        <f>IF(ISBLANK(JP!Q344),"","x")</f>
        <v/>
      </c>
      <c r="S340" t="str">
        <f>IF(ISBLANK(JP!R344),"","x")</f>
        <v/>
      </c>
      <c r="T340" t="str">
        <f>IF(ISBLANK(JP!T344),"","x")</f>
        <v/>
      </c>
      <c r="U340" t="str">
        <f>IF(ISBLANK(JP!U344),"","x")</f>
        <v/>
      </c>
      <c r="V340" t="str">
        <f>IF(ISBLANK(JP!V344),"","x")</f>
        <v/>
      </c>
      <c r="W340" t="str">
        <f>IF(ISBLANK(JP!W344),"","x")</f>
        <v/>
      </c>
      <c r="X340" t="str">
        <f>IF(ISBLANK(JP!X344),"","x")</f>
        <v/>
      </c>
      <c r="Y340" t="str">
        <f>IF(ISBLANK(JP!Y344),"","x")</f>
        <v/>
      </c>
      <c r="Z340" t="str">
        <f>IF(ISBLANK(JP!Z344),"","x")</f>
        <v/>
      </c>
      <c r="AA340" t="str">
        <f>IF(ISBLANK(JP!AB344),"","x")</f>
        <v/>
      </c>
      <c r="AB340" t="str">
        <f>IF(ISBLANK(JP!AC344),"","x")</f>
        <v/>
      </c>
      <c r="AC340" t="str">
        <f>IF(ISBLANK(JP!AD344),"","x")</f>
        <v/>
      </c>
      <c r="AD340" t="str">
        <f>IF(ISBLANK(JP!AE344),"","x")</f>
        <v/>
      </c>
      <c r="AE340" t="str">
        <f>IF(ISBLANK(JP!AF344),"","x")</f>
        <v/>
      </c>
      <c r="AF340" t="str">
        <f>IF(ISBLANK(JP!AG344),"","x")</f>
        <v/>
      </c>
      <c r="AG340" t="str">
        <f>IF(ISBLANK(JP!AH344),"","x")</f>
        <v/>
      </c>
      <c r="AH340" t="str">
        <f>IF(ISBLANK(JP!AJ344),"","x")</f>
        <v/>
      </c>
      <c r="AI340" t="str">
        <f>IF(ISBLANK(JP!AK344),"","x")</f>
        <v/>
      </c>
      <c r="AJ340" t="str">
        <f>IF(ISBLANK(JP!AL344),"","x")</f>
        <v/>
      </c>
      <c r="AK340" t="str">
        <f>IF(ISBLANK(JP!AM344),"","x")</f>
        <v/>
      </c>
      <c r="AL340" t="str">
        <f>IF(ISBLANK(JP!AN344),"","x")</f>
        <v/>
      </c>
      <c r="AM340" t="str">
        <f>IF(ISBLANK(JP!AO344),"","x")</f>
        <v/>
      </c>
      <c r="AN340" t="str">
        <f>IF(ISBLANK(JP!AP344),"","x")</f>
        <v/>
      </c>
      <c r="AO340" t="str">
        <f>IF(ISBLANK(JP!AR344),"","x")</f>
        <v/>
      </c>
      <c r="AP340" t="str">
        <f>IF(ISBLANK(JP!AS344),"","x")</f>
        <v/>
      </c>
      <c r="AQ340" t="str">
        <f>IF(ISBLANK(JP!AT344),"","x")</f>
        <v/>
      </c>
      <c r="AR340" t="str">
        <f>IF(ISBLANK(JP!AU344),"","x")</f>
        <v/>
      </c>
      <c r="AS340" t="str">
        <f>IF(ISBLANK(JP!AV344),"","x")</f>
        <v/>
      </c>
      <c r="AT340" t="str">
        <f>IF(ISBLANK(JP!AW344),"","x")</f>
        <v/>
      </c>
      <c r="AU340" t="str">
        <f>IF(ISBLANK(JP!AX344),"","x")</f>
        <v/>
      </c>
    </row>
    <row r="341" spans="2:47">
      <c r="B341" t="str">
        <f>IF(ISBLANK(JP!AZ345),"",JP!AZ345)</f>
        <v/>
      </c>
      <c r="C341" t="str">
        <f>IF(ISBLANK(JP!BA345),"",JP!BA345)</f>
        <v/>
      </c>
      <c r="D341" t="str">
        <f>IF(ISBLANK(JP!BC345),"",JP!BC345)</f>
        <v/>
      </c>
      <c r="E341" t="str">
        <f>IF(ISBLANK(JP!BB345),"",JP!BB345)</f>
        <v/>
      </c>
      <c r="F341" t="str">
        <f>IF(ISBLANK(JP!D345),"","x")</f>
        <v/>
      </c>
      <c r="G341" t="str">
        <f>IF(ISBLANK(JP!E345),"","x")</f>
        <v/>
      </c>
      <c r="H341" t="str">
        <f>IF(ISBLANK(JP!F345),"","x")</f>
        <v/>
      </c>
      <c r="I341" t="str">
        <f>IF(ISBLANK(JP!G345),"","x")</f>
        <v/>
      </c>
      <c r="J341" t="str">
        <f>IF(ISBLANK(JP!H345),"","x")</f>
        <v/>
      </c>
      <c r="K341" t="str">
        <f>IF(ISBLANK(JP!I345),"","x")</f>
        <v/>
      </c>
      <c r="L341" t="str">
        <f>IF(ISBLANK(JP!J345),"","x")</f>
        <v/>
      </c>
      <c r="M341" t="str">
        <f>IF(ISBLANK(JP!L345),"","x")</f>
        <v/>
      </c>
      <c r="N341" t="str">
        <f>IF(ISBLANK(JP!M345),"","x")</f>
        <v/>
      </c>
      <c r="O341" t="str">
        <f>IF(ISBLANK(JP!N345),"","x")</f>
        <v/>
      </c>
      <c r="P341" t="str">
        <f>IF(ISBLANK(JP!O345),"","x")</f>
        <v/>
      </c>
      <c r="Q341" t="str">
        <f>IF(ISBLANK(JP!P345),"","x")</f>
        <v/>
      </c>
      <c r="R341" t="str">
        <f>IF(ISBLANK(JP!Q345),"","x")</f>
        <v/>
      </c>
      <c r="S341" t="str">
        <f>IF(ISBLANK(JP!R345),"","x")</f>
        <v/>
      </c>
      <c r="T341" t="str">
        <f>IF(ISBLANK(JP!T345),"","x")</f>
        <v/>
      </c>
      <c r="U341" t="str">
        <f>IF(ISBLANK(JP!U345),"","x")</f>
        <v/>
      </c>
      <c r="V341" t="str">
        <f>IF(ISBLANK(JP!V345),"","x")</f>
        <v/>
      </c>
      <c r="W341" t="str">
        <f>IF(ISBLANK(JP!W345),"","x")</f>
        <v/>
      </c>
      <c r="X341" t="str">
        <f>IF(ISBLANK(JP!X345),"","x")</f>
        <v/>
      </c>
      <c r="Y341" t="str">
        <f>IF(ISBLANK(JP!Y345),"","x")</f>
        <v/>
      </c>
      <c r="Z341" t="str">
        <f>IF(ISBLANK(JP!Z345),"","x")</f>
        <v/>
      </c>
      <c r="AA341" t="str">
        <f>IF(ISBLANK(JP!AB345),"","x")</f>
        <v/>
      </c>
      <c r="AB341" t="str">
        <f>IF(ISBLANK(JP!AC345),"","x")</f>
        <v/>
      </c>
      <c r="AC341" t="str">
        <f>IF(ISBLANK(JP!AD345),"","x")</f>
        <v/>
      </c>
      <c r="AD341" t="str">
        <f>IF(ISBLANK(JP!AE345),"","x")</f>
        <v/>
      </c>
      <c r="AE341" t="str">
        <f>IF(ISBLANK(JP!AF345),"","x")</f>
        <v/>
      </c>
      <c r="AF341" t="str">
        <f>IF(ISBLANK(JP!AG345),"","x")</f>
        <v/>
      </c>
      <c r="AG341" t="str">
        <f>IF(ISBLANK(JP!AH345),"","x")</f>
        <v/>
      </c>
      <c r="AH341" t="str">
        <f>IF(ISBLANK(JP!AJ345),"","x")</f>
        <v/>
      </c>
      <c r="AI341" t="str">
        <f>IF(ISBLANK(JP!AK345),"","x")</f>
        <v/>
      </c>
      <c r="AJ341" t="str">
        <f>IF(ISBLANK(JP!AL345),"","x")</f>
        <v/>
      </c>
      <c r="AK341" t="str">
        <f>IF(ISBLANK(JP!AM345),"","x")</f>
        <v/>
      </c>
      <c r="AL341" t="str">
        <f>IF(ISBLANK(JP!AN345),"","x")</f>
        <v/>
      </c>
      <c r="AM341" t="str">
        <f>IF(ISBLANK(JP!AO345),"","x")</f>
        <v/>
      </c>
      <c r="AN341" t="str">
        <f>IF(ISBLANK(JP!AP345),"","x")</f>
        <v/>
      </c>
      <c r="AO341" t="str">
        <f>IF(ISBLANK(JP!AR345),"","x")</f>
        <v/>
      </c>
      <c r="AP341" t="str">
        <f>IF(ISBLANK(JP!AS345),"","x")</f>
        <v/>
      </c>
      <c r="AQ341" t="str">
        <f>IF(ISBLANK(JP!AT345),"","x")</f>
        <v/>
      </c>
      <c r="AR341" t="str">
        <f>IF(ISBLANK(JP!AU345),"","x")</f>
        <v/>
      </c>
      <c r="AS341" t="str">
        <f>IF(ISBLANK(JP!AV345),"","x")</f>
        <v/>
      </c>
      <c r="AT341" t="str">
        <f>IF(ISBLANK(JP!AW345),"","x")</f>
        <v/>
      </c>
      <c r="AU341" t="str">
        <f>IF(ISBLANK(JP!AX345),"","x")</f>
        <v/>
      </c>
    </row>
    <row r="342" spans="2:47">
      <c r="B342" t="str">
        <f>IF(ISBLANK(JP!AZ346),"",JP!AZ346)</f>
        <v/>
      </c>
      <c r="C342" t="str">
        <f>IF(ISBLANK(JP!BA346),"",JP!BA346)</f>
        <v/>
      </c>
      <c r="D342" t="str">
        <f>IF(ISBLANK(JP!BC346),"",JP!BC346)</f>
        <v/>
      </c>
      <c r="E342" t="str">
        <f>IF(ISBLANK(JP!BB346),"",JP!BB346)</f>
        <v/>
      </c>
      <c r="F342" t="str">
        <f>IF(ISBLANK(JP!D346),"","x")</f>
        <v/>
      </c>
      <c r="G342" t="str">
        <f>IF(ISBLANK(JP!E346),"","x")</f>
        <v/>
      </c>
      <c r="H342" t="str">
        <f>IF(ISBLANK(JP!F346),"","x")</f>
        <v/>
      </c>
      <c r="I342" t="str">
        <f>IF(ISBLANK(JP!G346),"","x")</f>
        <v/>
      </c>
      <c r="J342" t="str">
        <f>IF(ISBLANK(JP!H346),"","x")</f>
        <v/>
      </c>
      <c r="K342" t="str">
        <f>IF(ISBLANK(JP!I346),"","x")</f>
        <v/>
      </c>
      <c r="L342" t="str">
        <f>IF(ISBLANK(JP!J346),"","x")</f>
        <v/>
      </c>
      <c r="M342" t="str">
        <f>IF(ISBLANK(JP!L346),"","x")</f>
        <v/>
      </c>
      <c r="N342" t="str">
        <f>IF(ISBLANK(JP!M346),"","x")</f>
        <v/>
      </c>
      <c r="O342" t="str">
        <f>IF(ISBLANK(JP!N346),"","x")</f>
        <v/>
      </c>
      <c r="P342" t="str">
        <f>IF(ISBLANK(JP!O346),"","x")</f>
        <v/>
      </c>
      <c r="Q342" t="str">
        <f>IF(ISBLANK(JP!P346),"","x")</f>
        <v/>
      </c>
      <c r="R342" t="str">
        <f>IF(ISBLANK(JP!Q346),"","x")</f>
        <v/>
      </c>
      <c r="S342" t="str">
        <f>IF(ISBLANK(JP!R346),"","x")</f>
        <v/>
      </c>
      <c r="T342" t="str">
        <f>IF(ISBLANK(JP!T346),"","x")</f>
        <v/>
      </c>
      <c r="U342" t="str">
        <f>IF(ISBLANK(JP!U346),"","x")</f>
        <v/>
      </c>
      <c r="V342" t="str">
        <f>IF(ISBLANK(JP!V346),"","x")</f>
        <v/>
      </c>
      <c r="W342" t="str">
        <f>IF(ISBLANK(JP!W346),"","x")</f>
        <v/>
      </c>
      <c r="X342" t="str">
        <f>IF(ISBLANK(JP!X346),"","x")</f>
        <v/>
      </c>
      <c r="Y342" t="str">
        <f>IF(ISBLANK(JP!Y346),"","x")</f>
        <v/>
      </c>
      <c r="Z342" t="str">
        <f>IF(ISBLANK(JP!Z346),"","x")</f>
        <v/>
      </c>
      <c r="AA342" t="str">
        <f>IF(ISBLANK(JP!AB346),"","x")</f>
        <v/>
      </c>
      <c r="AB342" t="str">
        <f>IF(ISBLANK(JP!AC346),"","x")</f>
        <v/>
      </c>
      <c r="AC342" t="str">
        <f>IF(ISBLANK(JP!AD346),"","x")</f>
        <v/>
      </c>
      <c r="AD342" t="str">
        <f>IF(ISBLANK(JP!AE346),"","x")</f>
        <v/>
      </c>
      <c r="AE342" t="str">
        <f>IF(ISBLANK(JP!AF346),"","x")</f>
        <v/>
      </c>
      <c r="AF342" t="str">
        <f>IF(ISBLANK(JP!AG346),"","x")</f>
        <v/>
      </c>
      <c r="AG342" t="str">
        <f>IF(ISBLANK(JP!AH346),"","x")</f>
        <v/>
      </c>
      <c r="AH342" t="str">
        <f>IF(ISBLANK(JP!AJ346),"","x")</f>
        <v/>
      </c>
      <c r="AI342" t="str">
        <f>IF(ISBLANK(JP!AK346),"","x")</f>
        <v/>
      </c>
      <c r="AJ342" t="str">
        <f>IF(ISBLANK(JP!AL346),"","x")</f>
        <v/>
      </c>
      <c r="AK342" t="str">
        <f>IF(ISBLANK(JP!AM346),"","x")</f>
        <v/>
      </c>
      <c r="AL342" t="str">
        <f>IF(ISBLANK(JP!AN346),"","x")</f>
        <v/>
      </c>
      <c r="AM342" t="str">
        <f>IF(ISBLANK(JP!AO346),"","x")</f>
        <v/>
      </c>
      <c r="AN342" t="str">
        <f>IF(ISBLANK(JP!AP346),"","x")</f>
        <v/>
      </c>
      <c r="AO342" t="str">
        <f>IF(ISBLANK(JP!AR346),"","x")</f>
        <v/>
      </c>
      <c r="AP342" t="str">
        <f>IF(ISBLANK(JP!AS346),"","x")</f>
        <v/>
      </c>
      <c r="AQ342" t="str">
        <f>IF(ISBLANK(JP!AT346),"","x")</f>
        <v/>
      </c>
      <c r="AR342" t="str">
        <f>IF(ISBLANK(JP!AU346),"","x")</f>
        <v/>
      </c>
      <c r="AS342" t="str">
        <f>IF(ISBLANK(JP!AV346),"","x")</f>
        <v/>
      </c>
      <c r="AT342" t="str">
        <f>IF(ISBLANK(JP!AW346),"","x")</f>
        <v/>
      </c>
      <c r="AU342" t="str">
        <f>IF(ISBLANK(JP!AX346),"","x")</f>
        <v/>
      </c>
    </row>
    <row r="343" spans="2:47">
      <c r="B343" t="str">
        <f>IF(ISBLANK(JP!AZ347),"",JP!AZ347)</f>
        <v/>
      </c>
      <c r="C343" t="str">
        <f>IF(ISBLANK(JP!BA347),"",JP!BA347)</f>
        <v/>
      </c>
      <c r="D343" t="str">
        <f>IF(ISBLANK(JP!BC347),"",JP!BC347)</f>
        <v/>
      </c>
      <c r="E343" t="str">
        <f>IF(ISBLANK(JP!BB347),"",JP!BB347)</f>
        <v/>
      </c>
      <c r="F343" t="str">
        <f>IF(ISBLANK(JP!D347),"","x")</f>
        <v/>
      </c>
      <c r="G343" t="str">
        <f>IF(ISBLANK(JP!E347),"","x")</f>
        <v/>
      </c>
      <c r="H343" t="str">
        <f>IF(ISBLANK(JP!F347),"","x")</f>
        <v/>
      </c>
      <c r="I343" t="str">
        <f>IF(ISBLANK(JP!G347),"","x")</f>
        <v/>
      </c>
      <c r="J343" t="str">
        <f>IF(ISBLANK(JP!H347),"","x")</f>
        <v/>
      </c>
      <c r="K343" t="str">
        <f>IF(ISBLANK(JP!I347),"","x")</f>
        <v/>
      </c>
      <c r="L343" t="str">
        <f>IF(ISBLANK(JP!J347),"","x")</f>
        <v/>
      </c>
      <c r="M343" t="str">
        <f>IF(ISBLANK(JP!L347),"","x")</f>
        <v/>
      </c>
      <c r="N343" t="str">
        <f>IF(ISBLANK(JP!M347),"","x")</f>
        <v/>
      </c>
      <c r="O343" t="str">
        <f>IF(ISBLANK(JP!N347),"","x")</f>
        <v/>
      </c>
      <c r="P343" t="str">
        <f>IF(ISBLANK(JP!O347),"","x")</f>
        <v/>
      </c>
      <c r="Q343" t="str">
        <f>IF(ISBLANK(JP!P347),"","x")</f>
        <v/>
      </c>
      <c r="R343" t="str">
        <f>IF(ISBLANK(JP!Q347),"","x")</f>
        <v/>
      </c>
      <c r="S343" t="str">
        <f>IF(ISBLANK(JP!R347),"","x")</f>
        <v/>
      </c>
      <c r="T343" t="str">
        <f>IF(ISBLANK(JP!T347),"","x")</f>
        <v/>
      </c>
      <c r="U343" t="str">
        <f>IF(ISBLANK(JP!U347),"","x")</f>
        <v/>
      </c>
      <c r="V343" t="str">
        <f>IF(ISBLANK(JP!V347),"","x")</f>
        <v/>
      </c>
      <c r="W343" t="str">
        <f>IF(ISBLANK(JP!W347),"","x")</f>
        <v/>
      </c>
      <c r="X343" t="str">
        <f>IF(ISBLANK(JP!X347),"","x")</f>
        <v/>
      </c>
      <c r="Y343" t="str">
        <f>IF(ISBLANK(JP!Y347),"","x")</f>
        <v/>
      </c>
      <c r="Z343" t="str">
        <f>IF(ISBLANK(JP!Z347),"","x")</f>
        <v/>
      </c>
      <c r="AA343" t="str">
        <f>IF(ISBLANK(JP!AB347),"","x")</f>
        <v/>
      </c>
      <c r="AB343" t="str">
        <f>IF(ISBLANK(JP!AC347),"","x")</f>
        <v/>
      </c>
      <c r="AC343" t="str">
        <f>IF(ISBLANK(JP!AD347),"","x")</f>
        <v/>
      </c>
      <c r="AD343" t="str">
        <f>IF(ISBLANK(JP!AE347),"","x")</f>
        <v/>
      </c>
      <c r="AE343" t="str">
        <f>IF(ISBLANK(JP!AF347),"","x")</f>
        <v/>
      </c>
      <c r="AF343" t="str">
        <f>IF(ISBLANK(JP!AG347),"","x")</f>
        <v/>
      </c>
      <c r="AG343" t="str">
        <f>IF(ISBLANK(JP!AH347),"","x")</f>
        <v/>
      </c>
      <c r="AH343" t="str">
        <f>IF(ISBLANK(JP!AJ347),"","x")</f>
        <v/>
      </c>
      <c r="AI343" t="str">
        <f>IF(ISBLANK(JP!AK347),"","x")</f>
        <v/>
      </c>
      <c r="AJ343" t="str">
        <f>IF(ISBLANK(JP!AL347),"","x")</f>
        <v/>
      </c>
      <c r="AK343" t="str">
        <f>IF(ISBLANK(JP!AM347),"","x")</f>
        <v/>
      </c>
      <c r="AL343" t="str">
        <f>IF(ISBLANK(JP!AN347),"","x")</f>
        <v/>
      </c>
      <c r="AM343" t="str">
        <f>IF(ISBLANK(JP!AO347),"","x")</f>
        <v/>
      </c>
      <c r="AN343" t="str">
        <f>IF(ISBLANK(JP!AP347),"","x")</f>
        <v/>
      </c>
      <c r="AO343" t="str">
        <f>IF(ISBLANK(JP!AR347),"","x")</f>
        <v/>
      </c>
      <c r="AP343" t="str">
        <f>IF(ISBLANK(JP!AS347),"","x")</f>
        <v/>
      </c>
      <c r="AQ343" t="str">
        <f>IF(ISBLANK(JP!AT347),"","x")</f>
        <v/>
      </c>
      <c r="AR343" t="str">
        <f>IF(ISBLANK(JP!AU347),"","x")</f>
        <v/>
      </c>
      <c r="AS343" t="str">
        <f>IF(ISBLANK(JP!AV347),"","x")</f>
        <v/>
      </c>
      <c r="AT343" t="str">
        <f>IF(ISBLANK(JP!AW347),"","x")</f>
        <v/>
      </c>
      <c r="AU343" t="str">
        <f>IF(ISBLANK(JP!AX347),"","x")</f>
        <v/>
      </c>
    </row>
    <row r="344" spans="2:47">
      <c r="B344" t="str">
        <f>IF(ISBLANK(JP!AZ348),"",JP!AZ348)</f>
        <v/>
      </c>
      <c r="C344" t="str">
        <f>IF(ISBLANK(JP!BA348),"",JP!BA348)</f>
        <v/>
      </c>
      <c r="D344" t="str">
        <f>IF(ISBLANK(JP!BC348),"",JP!BC348)</f>
        <v/>
      </c>
      <c r="E344" t="str">
        <f>IF(ISBLANK(JP!BB348),"",JP!BB348)</f>
        <v/>
      </c>
      <c r="F344" t="str">
        <f>IF(ISBLANK(JP!D348),"","x")</f>
        <v/>
      </c>
      <c r="G344" t="str">
        <f>IF(ISBLANK(JP!E348),"","x")</f>
        <v/>
      </c>
      <c r="H344" t="str">
        <f>IF(ISBLANK(JP!F348),"","x")</f>
        <v/>
      </c>
      <c r="I344" t="str">
        <f>IF(ISBLANK(JP!G348),"","x")</f>
        <v/>
      </c>
      <c r="J344" t="str">
        <f>IF(ISBLANK(JP!H348),"","x")</f>
        <v/>
      </c>
      <c r="K344" t="str">
        <f>IF(ISBLANK(JP!I348),"","x")</f>
        <v/>
      </c>
      <c r="L344" t="str">
        <f>IF(ISBLANK(JP!J348),"","x")</f>
        <v/>
      </c>
      <c r="M344" t="str">
        <f>IF(ISBLANK(JP!L348),"","x")</f>
        <v/>
      </c>
      <c r="N344" t="str">
        <f>IF(ISBLANK(JP!M348),"","x")</f>
        <v/>
      </c>
      <c r="O344" t="str">
        <f>IF(ISBLANK(JP!N348),"","x")</f>
        <v/>
      </c>
      <c r="P344" t="str">
        <f>IF(ISBLANK(JP!O348),"","x")</f>
        <v/>
      </c>
      <c r="Q344" t="str">
        <f>IF(ISBLANK(JP!P348),"","x")</f>
        <v/>
      </c>
      <c r="R344" t="str">
        <f>IF(ISBLANK(JP!Q348),"","x")</f>
        <v/>
      </c>
      <c r="S344" t="str">
        <f>IF(ISBLANK(JP!R348),"","x")</f>
        <v/>
      </c>
      <c r="T344" t="str">
        <f>IF(ISBLANK(JP!T348),"","x")</f>
        <v/>
      </c>
      <c r="U344" t="str">
        <f>IF(ISBLANK(JP!U348),"","x")</f>
        <v/>
      </c>
      <c r="V344" t="str">
        <f>IF(ISBLANK(JP!V348),"","x")</f>
        <v/>
      </c>
      <c r="W344" t="str">
        <f>IF(ISBLANK(JP!W348),"","x")</f>
        <v/>
      </c>
      <c r="X344" t="str">
        <f>IF(ISBLANK(JP!X348),"","x")</f>
        <v/>
      </c>
      <c r="Y344" t="str">
        <f>IF(ISBLANK(JP!Y348),"","x")</f>
        <v/>
      </c>
      <c r="Z344" t="str">
        <f>IF(ISBLANK(JP!Z348),"","x")</f>
        <v/>
      </c>
      <c r="AA344" t="str">
        <f>IF(ISBLANK(JP!AB348),"","x")</f>
        <v/>
      </c>
      <c r="AB344" t="str">
        <f>IF(ISBLANK(JP!AC348),"","x")</f>
        <v/>
      </c>
      <c r="AC344" t="str">
        <f>IF(ISBLANK(JP!AD348),"","x")</f>
        <v/>
      </c>
      <c r="AD344" t="str">
        <f>IF(ISBLANK(JP!AE348),"","x")</f>
        <v/>
      </c>
      <c r="AE344" t="str">
        <f>IF(ISBLANK(JP!AF348),"","x")</f>
        <v/>
      </c>
      <c r="AF344" t="str">
        <f>IF(ISBLANK(JP!AG348),"","x")</f>
        <v/>
      </c>
      <c r="AG344" t="str">
        <f>IF(ISBLANK(JP!AH348),"","x")</f>
        <v/>
      </c>
      <c r="AH344" t="str">
        <f>IF(ISBLANK(JP!AJ348),"","x")</f>
        <v/>
      </c>
      <c r="AI344" t="str">
        <f>IF(ISBLANK(JP!AK348),"","x")</f>
        <v/>
      </c>
      <c r="AJ344" t="str">
        <f>IF(ISBLANK(JP!AL348),"","x")</f>
        <v/>
      </c>
      <c r="AK344" t="str">
        <f>IF(ISBLANK(JP!AM348),"","x")</f>
        <v/>
      </c>
      <c r="AL344" t="str">
        <f>IF(ISBLANK(JP!AN348),"","x")</f>
        <v/>
      </c>
      <c r="AM344" t="str">
        <f>IF(ISBLANK(JP!AO348),"","x")</f>
        <v/>
      </c>
      <c r="AN344" t="str">
        <f>IF(ISBLANK(JP!AP348),"","x")</f>
        <v/>
      </c>
      <c r="AO344" t="str">
        <f>IF(ISBLANK(JP!AR348),"","x")</f>
        <v/>
      </c>
      <c r="AP344" t="str">
        <f>IF(ISBLANK(JP!AS348),"","x")</f>
        <v/>
      </c>
      <c r="AQ344" t="str">
        <f>IF(ISBLANK(JP!AT348),"","x")</f>
        <v/>
      </c>
      <c r="AR344" t="str">
        <f>IF(ISBLANK(JP!AU348),"","x")</f>
        <v/>
      </c>
      <c r="AS344" t="str">
        <f>IF(ISBLANK(JP!AV348),"","x")</f>
        <v/>
      </c>
      <c r="AT344" t="str">
        <f>IF(ISBLANK(JP!AW348),"","x")</f>
        <v/>
      </c>
      <c r="AU344" t="str">
        <f>IF(ISBLANK(JP!AX348),"","x")</f>
        <v/>
      </c>
    </row>
    <row r="345" spans="2:47">
      <c r="B345" t="str">
        <f>IF(ISBLANK(JP!AZ349),"",JP!AZ349)</f>
        <v/>
      </c>
      <c r="C345" t="str">
        <f>IF(ISBLANK(JP!BA349),"",JP!BA349)</f>
        <v/>
      </c>
      <c r="D345" t="str">
        <f>IF(ISBLANK(JP!BC349),"",JP!BC349)</f>
        <v/>
      </c>
      <c r="E345" t="str">
        <f>IF(ISBLANK(JP!BB349),"",JP!BB349)</f>
        <v/>
      </c>
      <c r="F345" t="str">
        <f>IF(ISBLANK(JP!D349),"","x")</f>
        <v/>
      </c>
      <c r="G345" t="str">
        <f>IF(ISBLANK(JP!E349),"","x")</f>
        <v/>
      </c>
      <c r="H345" t="str">
        <f>IF(ISBLANK(JP!F349),"","x")</f>
        <v/>
      </c>
      <c r="I345" t="str">
        <f>IF(ISBLANK(JP!G349),"","x")</f>
        <v/>
      </c>
      <c r="J345" t="str">
        <f>IF(ISBLANK(JP!H349),"","x")</f>
        <v/>
      </c>
      <c r="K345" t="str">
        <f>IF(ISBLANK(JP!I349),"","x")</f>
        <v/>
      </c>
      <c r="L345" t="str">
        <f>IF(ISBLANK(JP!J349),"","x")</f>
        <v/>
      </c>
      <c r="M345" t="str">
        <f>IF(ISBLANK(JP!L349),"","x")</f>
        <v/>
      </c>
      <c r="N345" t="str">
        <f>IF(ISBLANK(JP!M349),"","x")</f>
        <v/>
      </c>
      <c r="O345" t="str">
        <f>IF(ISBLANK(JP!N349),"","x")</f>
        <v/>
      </c>
      <c r="P345" t="str">
        <f>IF(ISBLANK(JP!O349),"","x")</f>
        <v/>
      </c>
      <c r="Q345" t="str">
        <f>IF(ISBLANK(JP!P349),"","x")</f>
        <v/>
      </c>
      <c r="R345" t="str">
        <f>IF(ISBLANK(JP!Q349),"","x")</f>
        <v/>
      </c>
      <c r="S345" t="str">
        <f>IF(ISBLANK(JP!R349),"","x")</f>
        <v/>
      </c>
      <c r="T345" t="str">
        <f>IF(ISBLANK(JP!T349),"","x")</f>
        <v/>
      </c>
      <c r="U345" t="str">
        <f>IF(ISBLANK(JP!U349),"","x")</f>
        <v/>
      </c>
      <c r="V345" t="str">
        <f>IF(ISBLANK(JP!V349),"","x")</f>
        <v/>
      </c>
      <c r="W345" t="str">
        <f>IF(ISBLANK(JP!W349),"","x")</f>
        <v/>
      </c>
      <c r="X345" t="str">
        <f>IF(ISBLANK(JP!X349),"","x")</f>
        <v/>
      </c>
      <c r="Y345" t="str">
        <f>IF(ISBLANK(JP!Y349),"","x")</f>
        <v/>
      </c>
      <c r="Z345" t="str">
        <f>IF(ISBLANK(JP!Z349),"","x")</f>
        <v/>
      </c>
      <c r="AA345" t="str">
        <f>IF(ISBLANK(JP!AB349),"","x")</f>
        <v/>
      </c>
      <c r="AB345" t="str">
        <f>IF(ISBLANK(JP!AC349),"","x")</f>
        <v/>
      </c>
      <c r="AC345" t="str">
        <f>IF(ISBLANK(JP!AD349),"","x")</f>
        <v/>
      </c>
      <c r="AD345" t="str">
        <f>IF(ISBLANK(JP!AE349),"","x")</f>
        <v/>
      </c>
      <c r="AE345" t="str">
        <f>IF(ISBLANK(JP!AF349),"","x")</f>
        <v/>
      </c>
      <c r="AF345" t="str">
        <f>IF(ISBLANK(JP!AG349),"","x")</f>
        <v/>
      </c>
      <c r="AG345" t="str">
        <f>IF(ISBLANK(JP!AH349),"","x")</f>
        <v/>
      </c>
      <c r="AH345" t="str">
        <f>IF(ISBLANK(JP!AJ349),"","x")</f>
        <v/>
      </c>
      <c r="AI345" t="str">
        <f>IF(ISBLANK(JP!AK349),"","x")</f>
        <v/>
      </c>
      <c r="AJ345" t="str">
        <f>IF(ISBLANK(JP!AL349),"","x")</f>
        <v/>
      </c>
      <c r="AK345" t="str">
        <f>IF(ISBLANK(JP!AM349),"","x")</f>
        <v/>
      </c>
      <c r="AL345" t="str">
        <f>IF(ISBLANK(JP!AN349),"","x")</f>
        <v/>
      </c>
      <c r="AM345" t="str">
        <f>IF(ISBLANK(JP!AO349),"","x")</f>
        <v/>
      </c>
      <c r="AN345" t="str">
        <f>IF(ISBLANK(JP!AP349),"","x")</f>
        <v/>
      </c>
      <c r="AO345" t="str">
        <f>IF(ISBLANK(JP!AR349),"","x")</f>
        <v/>
      </c>
      <c r="AP345" t="str">
        <f>IF(ISBLANK(JP!AS349),"","x")</f>
        <v/>
      </c>
      <c r="AQ345" t="str">
        <f>IF(ISBLANK(JP!AT349),"","x")</f>
        <v/>
      </c>
      <c r="AR345" t="str">
        <f>IF(ISBLANK(JP!AU349),"","x")</f>
        <v/>
      </c>
      <c r="AS345" t="str">
        <f>IF(ISBLANK(JP!AV349),"","x")</f>
        <v/>
      </c>
      <c r="AT345" t="str">
        <f>IF(ISBLANK(JP!AW349),"","x")</f>
        <v/>
      </c>
      <c r="AU345" t="str">
        <f>IF(ISBLANK(JP!AX349),"","x")</f>
        <v/>
      </c>
    </row>
    <row r="346" spans="2:47">
      <c r="B346" t="str">
        <f>IF(ISBLANK(JP!AZ350),"",JP!AZ350)</f>
        <v/>
      </c>
      <c r="C346" t="str">
        <f>IF(ISBLANK(JP!BA350),"",JP!BA350)</f>
        <v/>
      </c>
      <c r="D346" t="str">
        <f>IF(ISBLANK(JP!BC350),"",JP!BC350)</f>
        <v/>
      </c>
      <c r="E346" t="str">
        <f>IF(ISBLANK(JP!BB350),"",JP!BB350)</f>
        <v/>
      </c>
      <c r="F346" t="str">
        <f>IF(ISBLANK(JP!D350),"","x")</f>
        <v/>
      </c>
      <c r="G346" t="str">
        <f>IF(ISBLANK(JP!E350),"","x")</f>
        <v/>
      </c>
      <c r="H346" t="str">
        <f>IF(ISBLANK(JP!F350),"","x")</f>
        <v/>
      </c>
      <c r="I346" t="str">
        <f>IF(ISBLANK(JP!G350),"","x")</f>
        <v/>
      </c>
      <c r="J346" t="str">
        <f>IF(ISBLANK(JP!H350),"","x")</f>
        <v/>
      </c>
      <c r="K346" t="str">
        <f>IF(ISBLANK(JP!I350),"","x")</f>
        <v/>
      </c>
      <c r="L346" t="str">
        <f>IF(ISBLANK(JP!J350),"","x")</f>
        <v/>
      </c>
      <c r="M346" t="str">
        <f>IF(ISBLANK(JP!L350),"","x")</f>
        <v/>
      </c>
      <c r="N346" t="str">
        <f>IF(ISBLANK(JP!M350),"","x")</f>
        <v/>
      </c>
      <c r="O346" t="str">
        <f>IF(ISBLANK(JP!N350),"","x")</f>
        <v/>
      </c>
      <c r="P346" t="str">
        <f>IF(ISBLANK(JP!O350),"","x")</f>
        <v/>
      </c>
      <c r="Q346" t="str">
        <f>IF(ISBLANK(JP!P350),"","x")</f>
        <v/>
      </c>
      <c r="R346" t="str">
        <f>IF(ISBLANK(JP!Q350),"","x")</f>
        <v/>
      </c>
      <c r="S346" t="str">
        <f>IF(ISBLANK(JP!R350),"","x")</f>
        <v/>
      </c>
      <c r="T346" t="str">
        <f>IF(ISBLANK(JP!T350),"","x")</f>
        <v/>
      </c>
      <c r="U346" t="str">
        <f>IF(ISBLANK(JP!U350),"","x")</f>
        <v/>
      </c>
      <c r="V346" t="str">
        <f>IF(ISBLANK(JP!V350),"","x")</f>
        <v/>
      </c>
      <c r="W346" t="str">
        <f>IF(ISBLANK(JP!W350),"","x")</f>
        <v/>
      </c>
      <c r="X346" t="str">
        <f>IF(ISBLANK(JP!X350),"","x")</f>
        <v/>
      </c>
      <c r="Y346" t="str">
        <f>IF(ISBLANK(JP!Y350),"","x")</f>
        <v/>
      </c>
      <c r="Z346" t="str">
        <f>IF(ISBLANK(JP!Z350),"","x")</f>
        <v/>
      </c>
      <c r="AA346" t="str">
        <f>IF(ISBLANK(JP!AB350),"","x")</f>
        <v/>
      </c>
      <c r="AB346" t="str">
        <f>IF(ISBLANK(JP!AC350),"","x")</f>
        <v/>
      </c>
      <c r="AC346" t="str">
        <f>IF(ISBLANK(JP!AD350),"","x")</f>
        <v/>
      </c>
      <c r="AD346" t="str">
        <f>IF(ISBLANK(JP!AE350),"","x")</f>
        <v/>
      </c>
      <c r="AE346" t="str">
        <f>IF(ISBLANK(JP!AF350),"","x")</f>
        <v/>
      </c>
      <c r="AF346" t="str">
        <f>IF(ISBLANK(JP!AG350),"","x")</f>
        <v/>
      </c>
      <c r="AG346" t="str">
        <f>IF(ISBLANK(JP!AH350),"","x")</f>
        <v/>
      </c>
      <c r="AH346" t="str">
        <f>IF(ISBLANK(JP!AJ350),"","x")</f>
        <v/>
      </c>
      <c r="AI346" t="str">
        <f>IF(ISBLANK(JP!AK350),"","x")</f>
        <v/>
      </c>
      <c r="AJ346" t="str">
        <f>IF(ISBLANK(JP!AL350),"","x")</f>
        <v/>
      </c>
      <c r="AK346" t="str">
        <f>IF(ISBLANK(JP!AM350),"","x")</f>
        <v/>
      </c>
      <c r="AL346" t="str">
        <f>IF(ISBLANK(JP!AN350),"","x")</f>
        <v/>
      </c>
      <c r="AM346" t="str">
        <f>IF(ISBLANK(JP!AO350),"","x")</f>
        <v/>
      </c>
      <c r="AN346" t="str">
        <f>IF(ISBLANK(JP!AP350),"","x")</f>
        <v/>
      </c>
      <c r="AO346" t="str">
        <f>IF(ISBLANK(JP!AR350),"","x")</f>
        <v/>
      </c>
      <c r="AP346" t="str">
        <f>IF(ISBLANK(JP!AS350),"","x")</f>
        <v/>
      </c>
      <c r="AQ346" t="str">
        <f>IF(ISBLANK(JP!AT350),"","x")</f>
        <v/>
      </c>
      <c r="AR346" t="str">
        <f>IF(ISBLANK(JP!AU350),"","x")</f>
        <v/>
      </c>
      <c r="AS346" t="str">
        <f>IF(ISBLANK(JP!AV350),"","x")</f>
        <v/>
      </c>
      <c r="AT346" t="str">
        <f>IF(ISBLANK(JP!AW350),"","x")</f>
        <v/>
      </c>
      <c r="AU346" t="str">
        <f>IF(ISBLANK(JP!AX350),"","x")</f>
        <v/>
      </c>
    </row>
    <row r="347" spans="2:47">
      <c r="B347" t="str">
        <f>IF(ISBLANK(JP!AZ351),"",JP!AZ351)</f>
        <v/>
      </c>
      <c r="C347" t="str">
        <f>IF(ISBLANK(JP!BA351),"",JP!BA351)</f>
        <v/>
      </c>
      <c r="D347" t="str">
        <f>IF(ISBLANK(JP!BC351),"",JP!BC351)</f>
        <v/>
      </c>
      <c r="E347" t="str">
        <f>IF(ISBLANK(JP!BB351),"",JP!BB351)</f>
        <v/>
      </c>
      <c r="F347" t="str">
        <f>IF(ISBLANK(JP!D351),"","x")</f>
        <v/>
      </c>
      <c r="G347" t="str">
        <f>IF(ISBLANK(JP!E351),"","x")</f>
        <v/>
      </c>
      <c r="H347" t="str">
        <f>IF(ISBLANK(JP!F351),"","x")</f>
        <v/>
      </c>
      <c r="I347" t="str">
        <f>IF(ISBLANK(JP!G351),"","x")</f>
        <v/>
      </c>
      <c r="J347" t="str">
        <f>IF(ISBLANK(JP!H351),"","x")</f>
        <v/>
      </c>
      <c r="K347" t="str">
        <f>IF(ISBLANK(JP!I351),"","x")</f>
        <v/>
      </c>
      <c r="L347" t="str">
        <f>IF(ISBLANK(JP!J351),"","x")</f>
        <v/>
      </c>
      <c r="M347" t="str">
        <f>IF(ISBLANK(JP!L351),"","x")</f>
        <v/>
      </c>
      <c r="N347" t="str">
        <f>IF(ISBLANK(JP!M351),"","x")</f>
        <v/>
      </c>
      <c r="O347" t="str">
        <f>IF(ISBLANK(JP!N351),"","x")</f>
        <v/>
      </c>
      <c r="P347" t="str">
        <f>IF(ISBLANK(JP!O351),"","x")</f>
        <v/>
      </c>
      <c r="Q347" t="str">
        <f>IF(ISBLANK(JP!P351),"","x")</f>
        <v/>
      </c>
      <c r="R347" t="str">
        <f>IF(ISBLANK(JP!Q351),"","x")</f>
        <v/>
      </c>
      <c r="S347" t="str">
        <f>IF(ISBLANK(JP!R351),"","x")</f>
        <v/>
      </c>
      <c r="T347" t="str">
        <f>IF(ISBLANK(JP!T351),"","x")</f>
        <v/>
      </c>
      <c r="U347" t="str">
        <f>IF(ISBLANK(JP!U351),"","x")</f>
        <v/>
      </c>
      <c r="V347" t="str">
        <f>IF(ISBLANK(JP!V351),"","x")</f>
        <v/>
      </c>
      <c r="W347" t="str">
        <f>IF(ISBLANK(JP!W351),"","x")</f>
        <v/>
      </c>
      <c r="X347" t="str">
        <f>IF(ISBLANK(JP!X351),"","x")</f>
        <v/>
      </c>
      <c r="Y347" t="str">
        <f>IF(ISBLANK(JP!Y351),"","x")</f>
        <v/>
      </c>
      <c r="Z347" t="str">
        <f>IF(ISBLANK(JP!Z351),"","x")</f>
        <v/>
      </c>
      <c r="AA347" t="str">
        <f>IF(ISBLANK(JP!AB351),"","x")</f>
        <v/>
      </c>
      <c r="AB347" t="str">
        <f>IF(ISBLANK(JP!AC351),"","x")</f>
        <v/>
      </c>
      <c r="AC347" t="str">
        <f>IF(ISBLANK(JP!AD351),"","x")</f>
        <v/>
      </c>
      <c r="AD347" t="str">
        <f>IF(ISBLANK(JP!AE351),"","x")</f>
        <v/>
      </c>
      <c r="AE347" t="str">
        <f>IF(ISBLANK(JP!AF351),"","x")</f>
        <v/>
      </c>
      <c r="AF347" t="str">
        <f>IF(ISBLANK(JP!AG351),"","x")</f>
        <v/>
      </c>
      <c r="AG347" t="str">
        <f>IF(ISBLANK(JP!AH351),"","x")</f>
        <v/>
      </c>
      <c r="AH347" t="str">
        <f>IF(ISBLANK(JP!AJ351),"","x")</f>
        <v/>
      </c>
      <c r="AI347" t="str">
        <f>IF(ISBLANK(JP!AK351),"","x")</f>
        <v/>
      </c>
      <c r="AJ347" t="str">
        <f>IF(ISBLANK(JP!AL351),"","x")</f>
        <v/>
      </c>
      <c r="AK347" t="str">
        <f>IF(ISBLANK(JP!AM351),"","x")</f>
        <v/>
      </c>
      <c r="AL347" t="str">
        <f>IF(ISBLANK(JP!AN351),"","x")</f>
        <v/>
      </c>
      <c r="AM347" t="str">
        <f>IF(ISBLANK(JP!AO351),"","x")</f>
        <v/>
      </c>
      <c r="AN347" t="str">
        <f>IF(ISBLANK(JP!AP351),"","x")</f>
        <v/>
      </c>
      <c r="AO347" t="str">
        <f>IF(ISBLANK(JP!AR351),"","x")</f>
        <v/>
      </c>
      <c r="AP347" t="str">
        <f>IF(ISBLANK(JP!AS351),"","x")</f>
        <v/>
      </c>
      <c r="AQ347" t="str">
        <f>IF(ISBLANK(JP!AT351),"","x")</f>
        <v/>
      </c>
      <c r="AR347" t="str">
        <f>IF(ISBLANK(JP!AU351),"","x")</f>
        <v/>
      </c>
      <c r="AS347" t="str">
        <f>IF(ISBLANK(JP!AV351),"","x")</f>
        <v/>
      </c>
      <c r="AT347" t="str">
        <f>IF(ISBLANK(JP!AW351),"","x")</f>
        <v/>
      </c>
      <c r="AU347" t="str">
        <f>IF(ISBLANK(JP!AX351),"","x")</f>
        <v/>
      </c>
    </row>
    <row r="348" spans="2:47">
      <c r="B348" t="str">
        <f>IF(ISBLANK(JP!AZ352),"",JP!AZ352)</f>
        <v/>
      </c>
      <c r="C348" t="str">
        <f>IF(ISBLANK(JP!BA352),"",JP!BA352)</f>
        <v/>
      </c>
      <c r="D348" t="str">
        <f>IF(ISBLANK(JP!BC352),"",JP!BC352)</f>
        <v/>
      </c>
      <c r="E348" t="str">
        <f>IF(ISBLANK(JP!BB352),"",JP!BB352)</f>
        <v/>
      </c>
      <c r="F348" t="str">
        <f>IF(ISBLANK(JP!D352),"","x")</f>
        <v/>
      </c>
      <c r="G348" t="str">
        <f>IF(ISBLANK(JP!E352),"","x")</f>
        <v/>
      </c>
      <c r="H348" t="str">
        <f>IF(ISBLANK(JP!F352),"","x")</f>
        <v/>
      </c>
      <c r="I348" t="str">
        <f>IF(ISBLANK(JP!G352),"","x")</f>
        <v/>
      </c>
      <c r="J348" t="str">
        <f>IF(ISBLANK(JP!H352),"","x")</f>
        <v/>
      </c>
      <c r="K348" t="str">
        <f>IF(ISBLANK(JP!I352),"","x")</f>
        <v/>
      </c>
      <c r="L348" t="str">
        <f>IF(ISBLANK(JP!J352),"","x")</f>
        <v/>
      </c>
      <c r="M348" t="str">
        <f>IF(ISBLANK(JP!L352),"","x")</f>
        <v/>
      </c>
      <c r="N348" t="str">
        <f>IF(ISBLANK(JP!M352),"","x")</f>
        <v/>
      </c>
      <c r="O348" t="str">
        <f>IF(ISBLANK(JP!N352),"","x")</f>
        <v/>
      </c>
      <c r="P348" t="str">
        <f>IF(ISBLANK(JP!O352),"","x")</f>
        <v/>
      </c>
      <c r="Q348" t="str">
        <f>IF(ISBLANK(JP!P352),"","x")</f>
        <v/>
      </c>
      <c r="R348" t="str">
        <f>IF(ISBLANK(JP!Q352),"","x")</f>
        <v/>
      </c>
      <c r="S348" t="str">
        <f>IF(ISBLANK(JP!R352),"","x")</f>
        <v/>
      </c>
      <c r="T348" t="str">
        <f>IF(ISBLANK(JP!T352),"","x")</f>
        <v/>
      </c>
      <c r="U348" t="str">
        <f>IF(ISBLANK(JP!U352),"","x")</f>
        <v/>
      </c>
      <c r="V348" t="str">
        <f>IF(ISBLANK(JP!V352),"","x")</f>
        <v/>
      </c>
      <c r="W348" t="str">
        <f>IF(ISBLANK(JP!W352),"","x")</f>
        <v/>
      </c>
      <c r="X348" t="str">
        <f>IF(ISBLANK(JP!X352),"","x")</f>
        <v/>
      </c>
      <c r="Y348" t="str">
        <f>IF(ISBLANK(JP!Y352),"","x")</f>
        <v/>
      </c>
      <c r="Z348" t="str">
        <f>IF(ISBLANK(JP!Z352),"","x")</f>
        <v/>
      </c>
      <c r="AA348" t="str">
        <f>IF(ISBLANK(JP!AB352),"","x")</f>
        <v/>
      </c>
      <c r="AB348" t="str">
        <f>IF(ISBLANK(JP!AC352),"","x")</f>
        <v/>
      </c>
      <c r="AC348" t="str">
        <f>IF(ISBLANK(JP!AD352),"","x")</f>
        <v/>
      </c>
      <c r="AD348" t="str">
        <f>IF(ISBLANK(JP!AE352),"","x")</f>
        <v/>
      </c>
      <c r="AE348" t="str">
        <f>IF(ISBLANK(JP!AF352),"","x")</f>
        <v/>
      </c>
      <c r="AF348" t="str">
        <f>IF(ISBLANK(JP!AG352),"","x")</f>
        <v/>
      </c>
      <c r="AG348" t="str">
        <f>IF(ISBLANK(JP!AH352),"","x")</f>
        <v/>
      </c>
      <c r="AH348" t="str">
        <f>IF(ISBLANK(JP!AJ352),"","x")</f>
        <v/>
      </c>
      <c r="AI348" t="str">
        <f>IF(ISBLANK(JP!AK352),"","x")</f>
        <v/>
      </c>
      <c r="AJ348" t="str">
        <f>IF(ISBLANK(JP!AL352),"","x")</f>
        <v/>
      </c>
      <c r="AK348" t="str">
        <f>IF(ISBLANK(JP!AM352),"","x")</f>
        <v/>
      </c>
      <c r="AL348" t="str">
        <f>IF(ISBLANK(JP!AN352),"","x")</f>
        <v/>
      </c>
      <c r="AM348" t="str">
        <f>IF(ISBLANK(JP!AO352),"","x")</f>
        <v/>
      </c>
      <c r="AN348" t="str">
        <f>IF(ISBLANK(JP!AP352),"","x")</f>
        <v/>
      </c>
      <c r="AO348" t="str">
        <f>IF(ISBLANK(JP!AR352),"","x")</f>
        <v/>
      </c>
      <c r="AP348" t="str">
        <f>IF(ISBLANK(JP!AS352),"","x")</f>
        <v/>
      </c>
      <c r="AQ348" t="str">
        <f>IF(ISBLANK(JP!AT352),"","x")</f>
        <v/>
      </c>
      <c r="AR348" t="str">
        <f>IF(ISBLANK(JP!AU352),"","x")</f>
        <v/>
      </c>
      <c r="AS348" t="str">
        <f>IF(ISBLANK(JP!AV352),"","x")</f>
        <v/>
      </c>
      <c r="AT348" t="str">
        <f>IF(ISBLANK(JP!AW352),"","x")</f>
        <v/>
      </c>
      <c r="AU348" t="str">
        <f>IF(ISBLANK(JP!AX352),"","x")</f>
        <v/>
      </c>
    </row>
    <row r="349" spans="2:47">
      <c r="B349" t="str">
        <f>IF(ISBLANK(JP!AZ353),"",JP!AZ353)</f>
        <v/>
      </c>
      <c r="C349" t="str">
        <f>IF(ISBLANK(JP!BA353),"",JP!BA353)</f>
        <v/>
      </c>
      <c r="D349" t="str">
        <f>IF(ISBLANK(JP!BC353),"",JP!BC353)</f>
        <v/>
      </c>
      <c r="E349" t="str">
        <f>IF(ISBLANK(JP!BB353),"",JP!BB353)</f>
        <v/>
      </c>
      <c r="F349" t="str">
        <f>IF(ISBLANK(JP!D353),"","x")</f>
        <v/>
      </c>
      <c r="G349" t="str">
        <f>IF(ISBLANK(JP!E353),"","x")</f>
        <v/>
      </c>
      <c r="H349" t="str">
        <f>IF(ISBLANK(JP!F353),"","x")</f>
        <v/>
      </c>
      <c r="I349" t="str">
        <f>IF(ISBLANK(JP!G353),"","x")</f>
        <v/>
      </c>
      <c r="J349" t="str">
        <f>IF(ISBLANK(JP!H353),"","x")</f>
        <v/>
      </c>
      <c r="K349" t="str">
        <f>IF(ISBLANK(JP!I353),"","x")</f>
        <v/>
      </c>
      <c r="L349" t="str">
        <f>IF(ISBLANK(JP!J353),"","x")</f>
        <v/>
      </c>
      <c r="M349" t="str">
        <f>IF(ISBLANK(JP!L353),"","x")</f>
        <v/>
      </c>
      <c r="N349" t="str">
        <f>IF(ISBLANK(JP!M353),"","x")</f>
        <v/>
      </c>
      <c r="O349" t="str">
        <f>IF(ISBLANK(JP!N353),"","x")</f>
        <v/>
      </c>
      <c r="P349" t="str">
        <f>IF(ISBLANK(JP!O353),"","x")</f>
        <v/>
      </c>
      <c r="Q349" t="str">
        <f>IF(ISBLANK(JP!P353),"","x")</f>
        <v/>
      </c>
      <c r="R349" t="str">
        <f>IF(ISBLANK(JP!Q353),"","x")</f>
        <v/>
      </c>
      <c r="S349" t="str">
        <f>IF(ISBLANK(JP!R353),"","x")</f>
        <v/>
      </c>
      <c r="T349" t="str">
        <f>IF(ISBLANK(JP!T353),"","x")</f>
        <v/>
      </c>
      <c r="U349" t="str">
        <f>IF(ISBLANK(JP!U353),"","x")</f>
        <v/>
      </c>
      <c r="V349" t="str">
        <f>IF(ISBLANK(JP!V353),"","x")</f>
        <v/>
      </c>
      <c r="W349" t="str">
        <f>IF(ISBLANK(JP!W353),"","x")</f>
        <v/>
      </c>
      <c r="X349" t="str">
        <f>IF(ISBLANK(JP!X353),"","x")</f>
        <v/>
      </c>
      <c r="Y349" t="str">
        <f>IF(ISBLANK(JP!Y353),"","x")</f>
        <v/>
      </c>
      <c r="Z349" t="str">
        <f>IF(ISBLANK(JP!Z353),"","x")</f>
        <v/>
      </c>
      <c r="AA349" t="str">
        <f>IF(ISBLANK(JP!AB353),"","x")</f>
        <v/>
      </c>
      <c r="AB349" t="str">
        <f>IF(ISBLANK(JP!AC353),"","x")</f>
        <v/>
      </c>
      <c r="AC349" t="str">
        <f>IF(ISBLANK(JP!AD353),"","x")</f>
        <v/>
      </c>
      <c r="AD349" t="str">
        <f>IF(ISBLANK(JP!AE353),"","x")</f>
        <v/>
      </c>
      <c r="AE349" t="str">
        <f>IF(ISBLANK(JP!AF353),"","x")</f>
        <v/>
      </c>
      <c r="AF349" t="str">
        <f>IF(ISBLANK(JP!AG353),"","x")</f>
        <v/>
      </c>
      <c r="AG349" t="str">
        <f>IF(ISBLANK(JP!AH353),"","x")</f>
        <v/>
      </c>
      <c r="AH349" t="str">
        <f>IF(ISBLANK(JP!AJ353),"","x")</f>
        <v/>
      </c>
      <c r="AI349" t="str">
        <f>IF(ISBLANK(JP!AK353),"","x")</f>
        <v/>
      </c>
      <c r="AJ349" t="str">
        <f>IF(ISBLANK(JP!AL353),"","x")</f>
        <v/>
      </c>
      <c r="AK349" t="str">
        <f>IF(ISBLANK(JP!AM353),"","x")</f>
        <v/>
      </c>
      <c r="AL349" t="str">
        <f>IF(ISBLANK(JP!AN353),"","x")</f>
        <v/>
      </c>
      <c r="AM349" t="str">
        <f>IF(ISBLANK(JP!AO353),"","x")</f>
        <v/>
      </c>
      <c r="AN349" t="str">
        <f>IF(ISBLANK(JP!AP353),"","x")</f>
        <v/>
      </c>
      <c r="AO349" t="str">
        <f>IF(ISBLANK(JP!AR353),"","x")</f>
        <v/>
      </c>
      <c r="AP349" t="str">
        <f>IF(ISBLANK(JP!AS353),"","x")</f>
        <v/>
      </c>
      <c r="AQ349" t="str">
        <f>IF(ISBLANK(JP!AT353),"","x")</f>
        <v/>
      </c>
      <c r="AR349" t="str">
        <f>IF(ISBLANK(JP!AU353),"","x")</f>
        <v/>
      </c>
      <c r="AS349" t="str">
        <f>IF(ISBLANK(JP!AV353),"","x")</f>
        <v/>
      </c>
      <c r="AT349" t="str">
        <f>IF(ISBLANK(JP!AW353),"","x")</f>
        <v/>
      </c>
      <c r="AU349" t="str">
        <f>IF(ISBLANK(JP!AX353),"","x")</f>
        <v/>
      </c>
    </row>
    <row r="350" spans="2:47">
      <c r="B350" t="str">
        <f>IF(ISBLANK(JP!AZ354),"",JP!AZ354)</f>
        <v/>
      </c>
      <c r="C350" t="str">
        <f>IF(ISBLANK(JP!BA354),"",JP!BA354)</f>
        <v/>
      </c>
      <c r="D350" t="str">
        <f>IF(ISBLANK(JP!BC354),"",JP!BC354)</f>
        <v/>
      </c>
      <c r="E350" t="str">
        <f>IF(ISBLANK(JP!BB354),"",JP!BB354)</f>
        <v/>
      </c>
      <c r="F350" t="str">
        <f>IF(ISBLANK(JP!D354),"","x")</f>
        <v/>
      </c>
      <c r="G350" t="str">
        <f>IF(ISBLANK(JP!E354),"","x")</f>
        <v/>
      </c>
      <c r="H350" t="str">
        <f>IF(ISBLANK(JP!F354),"","x")</f>
        <v/>
      </c>
      <c r="I350" t="str">
        <f>IF(ISBLANK(JP!G354),"","x")</f>
        <v/>
      </c>
      <c r="J350" t="str">
        <f>IF(ISBLANK(JP!H354),"","x")</f>
        <v/>
      </c>
      <c r="K350" t="str">
        <f>IF(ISBLANK(JP!I354),"","x")</f>
        <v/>
      </c>
      <c r="L350" t="str">
        <f>IF(ISBLANK(JP!J354),"","x")</f>
        <v/>
      </c>
      <c r="M350" t="str">
        <f>IF(ISBLANK(JP!L354),"","x")</f>
        <v/>
      </c>
      <c r="N350" t="str">
        <f>IF(ISBLANK(JP!M354),"","x")</f>
        <v/>
      </c>
      <c r="O350" t="str">
        <f>IF(ISBLANK(JP!N354),"","x")</f>
        <v/>
      </c>
      <c r="P350" t="str">
        <f>IF(ISBLANK(JP!O354),"","x")</f>
        <v/>
      </c>
      <c r="Q350" t="str">
        <f>IF(ISBLANK(JP!P354),"","x")</f>
        <v/>
      </c>
      <c r="R350" t="str">
        <f>IF(ISBLANK(JP!Q354),"","x")</f>
        <v/>
      </c>
      <c r="S350" t="str">
        <f>IF(ISBLANK(JP!R354),"","x")</f>
        <v/>
      </c>
      <c r="T350" t="str">
        <f>IF(ISBLANK(JP!T354),"","x")</f>
        <v/>
      </c>
      <c r="U350" t="str">
        <f>IF(ISBLANK(JP!U354),"","x")</f>
        <v/>
      </c>
      <c r="V350" t="str">
        <f>IF(ISBLANK(JP!V354),"","x")</f>
        <v/>
      </c>
      <c r="W350" t="str">
        <f>IF(ISBLANK(JP!W354),"","x")</f>
        <v/>
      </c>
      <c r="X350" t="str">
        <f>IF(ISBLANK(JP!X354),"","x")</f>
        <v/>
      </c>
      <c r="Y350" t="str">
        <f>IF(ISBLANK(JP!Y354),"","x")</f>
        <v/>
      </c>
      <c r="Z350" t="str">
        <f>IF(ISBLANK(JP!Z354),"","x")</f>
        <v/>
      </c>
      <c r="AA350" t="str">
        <f>IF(ISBLANK(JP!AB354),"","x")</f>
        <v/>
      </c>
      <c r="AB350" t="str">
        <f>IF(ISBLANK(JP!AC354),"","x")</f>
        <v/>
      </c>
      <c r="AC350" t="str">
        <f>IF(ISBLANK(JP!AD354),"","x")</f>
        <v/>
      </c>
      <c r="AD350" t="str">
        <f>IF(ISBLANK(JP!AE354),"","x")</f>
        <v/>
      </c>
      <c r="AE350" t="str">
        <f>IF(ISBLANK(JP!AF354),"","x")</f>
        <v/>
      </c>
      <c r="AF350" t="str">
        <f>IF(ISBLANK(JP!AG354),"","x")</f>
        <v/>
      </c>
      <c r="AG350" t="str">
        <f>IF(ISBLANK(JP!AH354),"","x")</f>
        <v/>
      </c>
      <c r="AH350" t="str">
        <f>IF(ISBLANK(JP!AJ354),"","x")</f>
        <v/>
      </c>
      <c r="AI350" t="str">
        <f>IF(ISBLANK(JP!AK354),"","x")</f>
        <v/>
      </c>
      <c r="AJ350" t="str">
        <f>IF(ISBLANK(JP!AL354),"","x")</f>
        <v/>
      </c>
      <c r="AK350" t="str">
        <f>IF(ISBLANK(JP!AM354),"","x")</f>
        <v/>
      </c>
      <c r="AL350" t="str">
        <f>IF(ISBLANK(JP!AN354),"","x")</f>
        <v/>
      </c>
      <c r="AM350" t="str">
        <f>IF(ISBLANK(JP!AO354),"","x")</f>
        <v/>
      </c>
      <c r="AN350" t="str">
        <f>IF(ISBLANK(JP!AP354),"","x")</f>
        <v/>
      </c>
      <c r="AO350" t="str">
        <f>IF(ISBLANK(JP!AR354),"","x")</f>
        <v/>
      </c>
      <c r="AP350" t="str">
        <f>IF(ISBLANK(JP!AS354),"","x")</f>
        <v/>
      </c>
      <c r="AQ350" t="str">
        <f>IF(ISBLANK(JP!AT354),"","x")</f>
        <v/>
      </c>
      <c r="AR350" t="str">
        <f>IF(ISBLANK(JP!AU354),"","x")</f>
        <v/>
      </c>
      <c r="AS350" t="str">
        <f>IF(ISBLANK(JP!AV354),"","x")</f>
        <v/>
      </c>
      <c r="AT350" t="str">
        <f>IF(ISBLANK(JP!AW354),"","x")</f>
        <v/>
      </c>
      <c r="AU350" t="str">
        <f>IF(ISBLANK(JP!AX354),"","x")</f>
        <v/>
      </c>
    </row>
    <row r="351" spans="2:47">
      <c r="B351" t="str">
        <f>IF(ISBLANK(JP!AZ355),"",JP!AZ355)</f>
        <v/>
      </c>
      <c r="C351" t="str">
        <f>IF(ISBLANK(JP!BA355),"",JP!BA355)</f>
        <v/>
      </c>
      <c r="D351" t="str">
        <f>IF(ISBLANK(JP!BC355),"",JP!BC355)</f>
        <v/>
      </c>
      <c r="E351" t="str">
        <f>IF(ISBLANK(JP!BB355),"",JP!BB355)</f>
        <v/>
      </c>
      <c r="F351" t="str">
        <f>IF(ISBLANK(JP!D355),"","x")</f>
        <v/>
      </c>
      <c r="G351" t="str">
        <f>IF(ISBLANK(JP!E355),"","x")</f>
        <v/>
      </c>
      <c r="H351" t="str">
        <f>IF(ISBLANK(JP!F355),"","x")</f>
        <v/>
      </c>
      <c r="I351" t="str">
        <f>IF(ISBLANK(JP!G355),"","x")</f>
        <v/>
      </c>
      <c r="J351" t="str">
        <f>IF(ISBLANK(JP!H355),"","x")</f>
        <v/>
      </c>
      <c r="K351" t="str">
        <f>IF(ISBLANK(JP!I355),"","x")</f>
        <v/>
      </c>
      <c r="L351" t="str">
        <f>IF(ISBLANK(JP!J355),"","x")</f>
        <v/>
      </c>
      <c r="M351" t="str">
        <f>IF(ISBLANK(JP!L355),"","x")</f>
        <v/>
      </c>
      <c r="N351" t="str">
        <f>IF(ISBLANK(JP!M355),"","x")</f>
        <v/>
      </c>
      <c r="O351" t="str">
        <f>IF(ISBLANK(JP!N355),"","x")</f>
        <v/>
      </c>
      <c r="P351" t="str">
        <f>IF(ISBLANK(JP!O355),"","x")</f>
        <v/>
      </c>
      <c r="Q351" t="str">
        <f>IF(ISBLANK(JP!P355),"","x")</f>
        <v/>
      </c>
      <c r="R351" t="str">
        <f>IF(ISBLANK(JP!Q355),"","x")</f>
        <v/>
      </c>
      <c r="S351" t="str">
        <f>IF(ISBLANK(JP!R355),"","x")</f>
        <v/>
      </c>
      <c r="T351" t="str">
        <f>IF(ISBLANK(JP!T355),"","x")</f>
        <v/>
      </c>
      <c r="U351" t="str">
        <f>IF(ISBLANK(JP!U355),"","x")</f>
        <v/>
      </c>
      <c r="V351" t="str">
        <f>IF(ISBLANK(JP!V355),"","x")</f>
        <v/>
      </c>
      <c r="W351" t="str">
        <f>IF(ISBLANK(JP!W355),"","x")</f>
        <v/>
      </c>
      <c r="X351" t="str">
        <f>IF(ISBLANK(JP!X355),"","x")</f>
        <v/>
      </c>
      <c r="Y351" t="str">
        <f>IF(ISBLANK(JP!Y355),"","x")</f>
        <v/>
      </c>
      <c r="Z351" t="str">
        <f>IF(ISBLANK(JP!Z355),"","x")</f>
        <v/>
      </c>
      <c r="AA351" t="str">
        <f>IF(ISBLANK(JP!AB355),"","x")</f>
        <v/>
      </c>
      <c r="AB351" t="str">
        <f>IF(ISBLANK(JP!AC355),"","x")</f>
        <v/>
      </c>
      <c r="AC351" t="str">
        <f>IF(ISBLANK(JP!AD355),"","x")</f>
        <v/>
      </c>
      <c r="AD351" t="str">
        <f>IF(ISBLANK(JP!AE355),"","x")</f>
        <v/>
      </c>
      <c r="AE351" t="str">
        <f>IF(ISBLANK(JP!AF355),"","x")</f>
        <v/>
      </c>
      <c r="AF351" t="str">
        <f>IF(ISBLANK(JP!AG355),"","x")</f>
        <v/>
      </c>
      <c r="AG351" t="str">
        <f>IF(ISBLANK(JP!AH355),"","x")</f>
        <v/>
      </c>
      <c r="AH351" t="str">
        <f>IF(ISBLANK(JP!AJ355),"","x")</f>
        <v/>
      </c>
      <c r="AI351" t="str">
        <f>IF(ISBLANK(JP!AK355),"","x")</f>
        <v/>
      </c>
      <c r="AJ351" t="str">
        <f>IF(ISBLANK(JP!AL355),"","x")</f>
        <v/>
      </c>
      <c r="AK351" t="str">
        <f>IF(ISBLANK(JP!AM355),"","x")</f>
        <v/>
      </c>
      <c r="AL351" t="str">
        <f>IF(ISBLANK(JP!AN355),"","x")</f>
        <v/>
      </c>
      <c r="AM351" t="str">
        <f>IF(ISBLANK(JP!AO355),"","x")</f>
        <v/>
      </c>
      <c r="AN351" t="str">
        <f>IF(ISBLANK(JP!AP355),"","x")</f>
        <v/>
      </c>
      <c r="AO351" t="str">
        <f>IF(ISBLANK(JP!AR355),"","x")</f>
        <v/>
      </c>
      <c r="AP351" t="str">
        <f>IF(ISBLANK(JP!AS355),"","x")</f>
        <v/>
      </c>
      <c r="AQ351" t="str">
        <f>IF(ISBLANK(JP!AT355),"","x")</f>
        <v/>
      </c>
      <c r="AR351" t="str">
        <f>IF(ISBLANK(JP!AU355),"","x")</f>
        <v/>
      </c>
      <c r="AS351" t="str">
        <f>IF(ISBLANK(JP!AV355),"","x")</f>
        <v/>
      </c>
      <c r="AT351" t="str">
        <f>IF(ISBLANK(JP!AW355),"","x")</f>
        <v/>
      </c>
      <c r="AU351" t="str">
        <f>IF(ISBLANK(JP!AX355),"","x")</f>
        <v/>
      </c>
    </row>
    <row r="352" spans="2:47">
      <c r="B352" t="str">
        <f>IF(ISBLANK(JP!AZ356),"",JP!AZ356)</f>
        <v/>
      </c>
      <c r="C352" t="str">
        <f>IF(ISBLANK(JP!BA356),"",JP!BA356)</f>
        <v/>
      </c>
      <c r="D352" t="str">
        <f>IF(ISBLANK(JP!BC356),"",JP!BC356)</f>
        <v/>
      </c>
      <c r="E352" t="str">
        <f>IF(ISBLANK(JP!BB356),"",JP!BB356)</f>
        <v/>
      </c>
      <c r="F352" t="str">
        <f>IF(ISBLANK(JP!D356),"","x")</f>
        <v/>
      </c>
      <c r="G352" t="str">
        <f>IF(ISBLANK(JP!E356),"","x")</f>
        <v/>
      </c>
      <c r="H352" t="str">
        <f>IF(ISBLANK(JP!F356),"","x")</f>
        <v/>
      </c>
      <c r="I352" t="str">
        <f>IF(ISBLANK(JP!G356),"","x")</f>
        <v/>
      </c>
      <c r="J352" t="str">
        <f>IF(ISBLANK(JP!H356),"","x")</f>
        <v/>
      </c>
      <c r="K352" t="str">
        <f>IF(ISBLANK(JP!I356),"","x")</f>
        <v/>
      </c>
      <c r="L352" t="str">
        <f>IF(ISBLANK(JP!J356),"","x")</f>
        <v/>
      </c>
      <c r="M352" t="str">
        <f>IF(ISBLANK(JP!L356),"","x")</f>
        <v/>
      </c>
      <c r="N352" t="str">
        <f>IF(ISBLANK(JP!M356),"","x")</f>
        <v/>
      </c>
      <c r="O352" t="str">
        <f>IF(ISBLANK(JP!N356),"","x")</f>
        <v/>
      </c>
      <c r="P352" t="str">
        <f>IF(ISBLANK(JP!O356),"","x")</f>
        <v/>
      </c>
      <c r="Q352" t="str">
        <f>IF(ISBLANK(JP!P356),"","x")</f>
        <v/>
      </c>
      <c r="R352" t="str">
        <f>IF(ISBLANK(JP!Q356),"","x")</f>
        <v/>
      </c>
      <c r="S352" t="str">
        <f>IF(ISBLANK(JP!R356),"","x")</f>
        <v/>
      </c>
      <c r="T352" t="str">
        <f>IF(ISBLANK(JP!T356),"","x")</f>
        <v/>
      </c>
      <c r="U352" t="str">
        <f>IF(ISBLANK(JP!U356),"","x")</f>
        <v/>
      </c>
      <c r="V352" t="str">
        <f>IF(ISBLANK(JP!V356),"","x")</f>
        <v/>
      </c>
      <c r="W352" t="str">
        <f>IF(ISBLANK(JP!W356),"","x")</f>
        <v/>
      </c>
      <c r="X352" t="str">
        <f>IF(ISBLANK(JP!X356),"","x")</f>
        <v/>
      </c>
      <c r="Y352" t="str">
        <f>IF(ISBLANK(JP!Y356),"","x")</f>
        <v/>
      </c>
      <c r="Z352" t="str">
        <f>IF(ISBLANK(JP!Z356),"","x")</f>
        <v/>
      </c>
      <c r="AA352" t="str">
        <f>IF(ISBLANK(JP!AB356),"","x")</f>
        <v/>
      </c>
      <c r="AB352" t="str">
        <f>IF(ISBLANK(JP!AC356),"","x")</f>
        <v/>
      </c>
      <c r="AC352" t="str">
        <f>IF(ISBLANK(JP!AD356),"","x")</f>
        <v/>
      </c>
      <c r="AD352" t="str">
        <f>IF(ISBLANK(JP!AE356),"","x")</f>
        <v/>
      </c>
      <c r="AE352" t="str">
        <f>IF(ISBLANK(JP!AF356),"","x")</f>
        <v/>
      </c>
      <c r="AF352" t="str">
        <f>IF(ISBLANK(JP!AG356),"","x")</f>
        <v/>
      </c>
      <c r="AG352" t="str">
        <f>IF(ISBLANK(JP!AH356),"","x")</f>
        <v/>
      </c>
      <c r="AH352" t="str">
        <f>IF(ISBLANK(JP!AJ356),"","x")</f>
        <v/>
      </c>
      <c r="AI352" t="str">
        <f>IF(ISBLANK(JP!AK356),"","x")</f>
        <v/>
      </c>
      <c r="AJ352" t="str">
        <f>IF(ISBLANK(JP!AL356),"","x")</f>
        <v/>
      </c>
      <c r="AK352" t="str">
        <f>IF(ISBLANK(JP!AM356),"","x")</f>
        <v/>
      </c>
      <c r="AL352" t="str">
        <f>IF(ISBLANK(JP!AN356),"","x")</f>
        <v/>
      </c>
      <c r="AM352" t="str">
        <f>IF(ISBLANK(JP!AO356),"","x")</f>
        <v/>
      </c>
      <c r="AN352" t="str">
        <f>IF(ISBLANK(JP!AP356),"","x")</f>
        <v/>
      </c>
      <c r="AO352" t="str">
        <f>IF(ISBLANK(JP!AR356),"","x")</f>
        <v/>
      </c>
      <c r="AP352" t="str">
        <f>IF(ISBLANK(JP!AS356),"","x")</f>
        <v/>
      </c>
      <c r="AQ352" t="str">
        <f>IF(ISBLANK(JP!AT356),"","x")</f>
        <v/>
      </c>
      <c r="AR352" t="str">
        <f>IF(ISBLANK(JP!AU356),"","x")</f>
        <v/>
      </c>
      <c r="AS352" t="str">
        <f>IF(ISBLANK(JP!AV356),"","x")</f>
        <v/>
      </c>
      <c r="AT352" t="str">
        <f>IF(ISBLANK(JP!AW356),"","x")</f>
        <v/>
      </c>
      <c r="AU352" t="str">
        <f>IF(ISBLANK(JP!AX356),"","x")</f>
        <v/>
      </c>
    </row>
    <row r="353" spans="2:47">
      <c r="B353" t="str">
        <f>IF(ISBLANK(JP!AZ357),"",JP!AZ357)</f>
        <v/>
      </c>
      <c r="C353" t="str">
        <f>IF(ISBLANK(JP!BA357),"",JP!BA357)</f>
        <v/>
      </c>
      <c r="D353" t="str">
        <f>IF(ISBLANK(JP!BC357),"",JP!BC357)</f>
        <v/>
      </c>
      <c r="E353" t="str">
        <f>IF(ISBLANK(JP!BB357),"",JP!BB357)</f>
        <v/>
      </c>
      <c r="F353" t="str">
        <f>IF(ISBLANK(JP!D357),"","x")</f>
        <v/>
      </c>
      <c r="G353" t="str">
        <f>IF(ISBLANK(JP!E357),"","x")</f>
        <v/>
      </c>
      <c r="H353" t="str">
        <f>IF(ISBLANK(JP!F357),"","x")</f>
        <v/>
      </c>
      <c r="I353" t="str">
        <f>IF(ISBLANK(JP!G357),"","x")</f>
        <v/>
      </c>
      <c r="J353" t="str">
        <f>IF(ISBLANK(JP!H357),"","x")</f>
        <v/>
      </c>
      <c r="K353" t="str">
        <f>IF(ISBLANK(JP!I357),"","x")</f>
        <v/>
      </c>
      <c r="L353" t="str">
        <f>IF(ISBLANK(JP!J357),"","x")</f>
        <v/>
      </c>
      <c r="M353" t="str">
        <f>IF(ISBLANK(JP!L357),"","x")</f>
        <v/>
      </c>
      <c r="N353" t="str">
        <f>IF(ISBLANK(JP!M357),"","x")</f>
        <v/>
      </c>
      <c r="O353" t="str">
        <f>IF(ISBLANK(JP!N357),"","x")</f>
        <v/>
      </c>
      <c r="P353" t="str">
        <f>IF(ISBLANK(JP!O357),"","x")</f>
        <v/>
      </c>
      <c r="Q353" t="str">
        <f>IF(ISBLANK(JP!P357),"","x")</f>
        <v/>
      </c>
      <c r="R353" t="str">
        <f>IF(ISBLANK(JP!Q357),"","x")</f>
        <v/>
      </c>
      <c r="S353" t="str">
        <f>IF(ISBLANK(JP!R357),"","x")</f>
        <v/>
      </c>
      <c r="T353" t="str">
        <f>IF(ISBLANK(JP!T357),"","x")</f>
        <v/>
      </c>
      <c r="U353" t="str">
        <f>IF(ISBLANK(JP!U357),"","x")</f>
        <v/>
      </c>
      <c r="V353" t="str">
        <f>IF(ISBLANK(JP!V357),"","x")</f>
        <v/>
      </c>
      <c r="W353" t="str">
        <f>IF(ISBLANK(JP!W357),"","x")</f>
        <v/>
      </c>
      <c r="X353" t="str">
        <f>IF(ISBLANK(JP!X357),"","x")</f>
        <v/>
      </c>
      <c r="Y353" t="str">
        <f>IF(ISBLANK(JP!Y357),"","x")</f>
        <v/>
      </c>
      <c r="Z353" t="str">
        <f>IF(ISBLANK(JP!Z357),"","x")</f>
        <v/>
      </c>
      <c r="AA353" t="str">
        <f>IF(ISBLANK(JP!AB357),"","x")</f>
        <v/>
      </c>
      <c r="AB353" t="str">
        <f>IF(ISBLANK(JP!AC357),"","x")</f>
        <v/>
      </c>
      <c r="AC353" t="str">
        <f>IF(ISBLANK(JP!AD357),"","x")</f>
        <v/>
      </c>
      <c r="AD353" t="str">
        <f>IF(ISBLANK(JP!AE357),"","x")</f>
        <v/>
      </c>
      <c r="AE353" t="str">
        <f>IF(ISBLANK(JP!AF357),"","x")</f>
        <v/>
      </c>
      <c r="AF353" t="str">
        <f>IF(ISBLANK(JP!AG357),"","x")</f>
        <v/>
      </c>
      <c r="AG353" t="str">
        <f>IF(ISBLANK(JP!AH357),"","x")</f>
        <v/>
      </c>
      <c r="AH353" t="str">
        <f>IF(ISBLANK(JP!AJ357),"","x")</f>
        <v/>
      </c>
      <c r="AI353" t="str">
        <f>IF(ISBLANK(JP!AK357),"","x")</f>
        <v/>
      </c>
      <c r="AJ353" t="str">
        <f>IF(ISBLANK(JP!AL357),"","x")</f>
        <v/>
      </c>
      <c r="AK353" t="str">
        <f>IF(ISBLANK(JP!AM357),"","x")</f>
        <v/>
      </c>
      <c r="AL353" t="str">
        <f>IF(ISBLANK(JP!AN357),"","x")</f>
        <v/>
      </c>
      <c r="AM353" t="str">
        <f>IF(ISBLANK(JP!AO357),"","x")</f>
        <v/>
      </c>
      <c r="AN353" t="str">
        <f>IF(ISBLANK(JP!AP357),"","x")</f>
        <v/>
      </c>
      <c r="AO353" t="str">
        <f>IF(ISBLANK(JP!AR357),"","x")</f>
        <v/>
      </c>
      <c r="AP353" t="str">
        <f>IF(ISBLANK(JP!AS357),"","x")</f>
        <v/>
      </c>
      <c r="AQ353" t="str">
        <f>IF(ISBLANK(JP!AT357),"","x")</f>
        <v/>
      </c>
      <c r="AR353" t="str">
        <f>IF(ISBLANK(JP!AU357),"","x")</f>
        <v/>
      </c>
      <c r="AS353" t="str">
        <f>IF(ISBLANK(JP!AV357),"","x")</f>
        <v/>
      </c>
      <c r="AT353" t="str">
        <f>IF(ISBLANK(JP!AW357),"","x")</f>
        <v/>
      </c>
      <c r="AU353" t="str">
        <f>IF(ISBLANK(JP!AX357),"","x")</f>
        <v/>
      </c>
    </row>
    <row r="354" spans="2:47">
      <c r="B354" t="str">
        <f>IF(ISBLANK(JP!AZ358),"",JP!AZ358)</f>
        <v/>
      </c>
      <c r="C354" t="str">
        <f>IF(ISBLANK(JP!BA358),"",JP!BA358)</f>
        <v/>
      </c>
      <c r="D354" t="str">
        <f>IF(ISBLANK(JP!BC358),"",JP!BC358)</f>
        <v/>
      </c>
      <c r="E354" t="str">
        <f>IF(ISBLANK(JP!BB358),"",JP!BB358)</f>
        <v/>
      </c>
      <c r="F354" t="str">
        <f>IF(ISBLANK(JP!D358),"","x")</f>
        <v/>
      </c>
      <c r="G354" t="str">
        <f>IF(ISBLANK(JP!E358),"","x")</f>
        <v/>
      </c>
      <c r="H354" t="str">
        <f>IF(ISBLANK(JP!F358),"","x")</f>
        <v/>
      </c>
      <c r="I354" t="str">
        <f>IF(ISBLANK(JP!G358),"","x")</f>
        <v/>
      </c>
      <c r="J354" t="str">
        <f>IF(ISBLANK(JP!H358),"","x")</f>
        <v/>
      </c>
      <c r="K354" t="str">
        <f>IF(ISBLANK(JP!I358),"","x")</f>
        <v/>
      </c>
      <c r="L354" t="str">
        <f>IF(ISBLANK(JP!J358),"","x")</f>
        <v/>
      </c>
      <c r="M354" t="str">
        <f>IF(ISBLANK(JP!L358),"","x")</f>
        <v/>
      </c>
      <c r="N354" t="str">
        <f>IF(ISBLANK(JP!M358),"","x")</f>
        <v/>
      </c>
      <c r="O354" t="str">
        <f>IF(ISBLANK(JP!N358),"","x")</f>
        <v/>
      </c>
      <c r="P354" t="str">
        <f>IF(ISBLANK(JP!O358),"","x")</f>
        <v/>
      </c>
      <c r="Q354" t="str">
        <f>IF(ISBLANK(JP!P358),"","x")</f>
        <v/>
      </c>
      <c r="R354" t="str">
        <f>IF(ISBLANK(JP!Q358),"","x")</f>
        <v/>
      </c>
      <c r="S354" t="str">
        <f>IF(ISBLANK(JP!R358),"","x")</f>
        <v/>
      </c>
      <c r="T354" t="str">
        <f>IF(ISBLANK(JP!T358),"","x")</f>
        <v/>
      </c>
      <c r="U354" t="str">
        <f>IF(ISBLANK(JP!U358),"","x")</f>
        <v/>
      </c>
      <c r="V354" t="str">
        <f>IF(ISBLANK(JP!V358),"","x")</f>
        <v/>
      </c>
      <c r="W354" t="str">
        <f>IF(ISBLANK(JP!W358),"","x")</f>
        <v/>
      </c>
      <c r="X354" t="str">
        <f>IF(ISBLANK(JP!X358),"","x")</f>
        <v/>
      </c>
      <c r="Y354" t="str">
        <f>IF(ISBLANK(JP!Y358),"","x")</f>
        <v/>
      </c>
      <c r="Z354" t="str">
        <f>IF(ISBLANK(JP!Z358),"","x")</f>
        <v/>
      </c>
      <c r="AA354" t="str">
        <f>IF(ISBLANK(JP!AB358),"","x")</f>
        <v/>
      </c>
      <c r="AB354" t="str">
        <f>IF(ISBLANK(JP!AC358),"","x")</f>
        <v/>
      </c>
      <c r="AC354" t="str">
        <f>IF(ISBLANK(JP!AD358),"","x")</f>
        <v/>
      </c>
      <c r="AD354" t="str">
        <f>IF(ISBLANK(JP!AE358),"","x")</f>
        <v/>
      </c>
      <c r="AE354" t="str">
        <f>IF(ISBLANK(JP!AF358),"","x")</f>
        <v/>
      </c>
      <c r="AF354" t="str">
        <f>IF(ISBLANK(JP!AG358),"","x")</f>
        <v/>
      </c>
      <c r="AG354" t="str">
        <f>IF(ISBLANK(JP!AH358),"","x")</f>
        <v/>
      </c>
      <c r="AH354" t="str">
        <f>IF(ISBLANK(JP!AJ358),"","x")</f>
        <v/>
      </c>
      <c r="AI354" t="str">
        <f>IF(ISBLANK(JP!AK358),"","x")</f>
        <v/>
      </c>
      <c r="AJ354" t="str">
        <f>IF(ISBLANK(JP!AL358),"","x")</f>
        <v/>
      </c>
      <c r="AK354" t="str">
        <f>IF(ISBLANK(JP!AM358),"","x")</f>
        <v/>
      </c>
      <c r="AL354" t="str">
        <f>IF(ISBLANK(JP!AN358),"","x")</f>
        <v/>
      </c>
      <c r="AM354" t="str">
        <f>IF(ISBLANK(JP!AO358),"","x")</f>
        <v/>
      </c>
      <c r="AN354" t="str">
        <f>IF(ISBLANK(JP!AP358),"","x")</f>
        <v/>
      </c>
      <c r="AO354" t="str">
        <f>IF(ISBLANK(JP!AR358),"","x")</f>
        <v/>
      </c>
      <c r="AP354" t="str">
        <f>IF(ISBLANK(JP!AS358),"","x")</f>
        <v/>
      </c>
      <c r="AQ354" t="str">
        <f>IF(ISBLANK(JP!AT358),"","x")</f>
        <v/>
      </c>
      <c r="AR354" t="str">
        <f>IF(ISBLANK(JP!AU358),"","x")</f>
        <v/>
      </c>
      <c r="AS354" t="str">
        <f>IF(ISBLANK(JP!AV358),"","x")</f>
        <v/>
      </c>
      <c r="AT354" t="str">
        <f>IF(ISBLANK(JP!AW358),"","x")</f>
        <v/>
      </c>
      <c r="AU354" t="str">
        <f>IF(ISBLANK(JP!AX358),"","x")</f>
        <v/>
      </c>
    </row>
    <row r="355" spans="2:47">
      <c r="B355" t="str">
        <f>IF(ISBLANK(JP!AZ359),"",JP!AZ359)</f>
        <v/>
      </c>
      <c r="C355" t="str">
        <f>IF(ISBLANK(JP!BA359),"",JP!BA359)</f>
        <v/>
      </c>
      <c r="D355" t="str">
        <f>IF(ISBLANK(JP!BC359),"",JP!BC359)</f>
        <v/>
      </c>
      <c r="E355" t="str">
        <f>IF(ISBLANK(JP!BB359),"",JP!BB359)</f>
        <v/>
      </c>
      <c r="F355" t="str">
        <f>IF(ISBLANK(JP!D359),"","x")</f>
        <v/>
      </c>
      <c r="G355" t="str">
        <f>IF(ISBLANK(JP!E359),"","x")</f>
        <v/>
      </c>
      <c r="H355" t="str">
        <f>IF(ISBLANK(JP!F359),"","x")</f>
        <v/>
      </c>
      <c r="I355" t="str">
        <f>IF(ISBLANK(JP!G359),"","x")</f>
        <v/>
      </c>
      <c r="J355" t="str">
        <f>IF(ISBLANK(JP!H359),"","x")</f>
        <v/>
      </c>
      <c r="K355" t="str">
        <f>IF(ISBLANK(JP!I359),"","x")</f>
        <v/>
      </c>
      <c r="L355" t="str">
        <f>IF(ISBLANK(JP!J359),"","x")</f>
        <v/>
      </c>
      <c r="M355" t="str">
        <f>IF(ISBLANK(JP!L359),"","x")</f>
        <v/>
      </c>
      <c r="N355" t="str">
        <f>IF(ISBLANK(JP!M359),"","x")</f>
        <v/>
      </c>
      <c r="O355" t="str">
        <f>IF(ISBLANK(JP!N359),"","x")</f>
        <v/>
      </c>
      <c r="P355" t="str">
        <f>IF(ISBLANK(JP!O359),"","x")</f>
        <v/>
      </c>
      <c r="Q355" t="str">
        <f>IF(ISBLANK(JP!P359),"","x")</f>
        <v/>
      </c>
      <c r="R355" t="str">
        <f>IF(ISBLANK(JP!Q359),"","x")</f>
        <v/>
      </c>
      <c r="S355" t="str">
        <f>IF(ISBLANK(JP!R359),"","x")</f>
        <v/>
      </c>
      <c r="T355" t="str">
        <f>IF(ISBLANK(JP!T359),"","x")</f>
        <v/>
      </c>
      <c r="U355" t="str">
        <f>IF(ISBLANK(JP!U359),"","x")</f>
        <v/>
      </c>
      <c r="V355" t="str">
        <f>IF(ISBLANK(JP!V359),"","x")</f>
        <v/>
      </c>
      <c r="W355" t="str">
        <f>IF(ISBLANK(JP!W359),"","x")</f>
        <v/>
      </c>
      <c r="X355" t="str">
        <f>IF(ISBLANK(JP!X359),"","x")</f>
        <v/>
      </c>
      <c r="Y355" t="str">
        <f>IF(ISBLANK(JP!Y359),"","x")</f>
        <v/>
      </c>
      <c r="Z355" t="str">
        <f>IF(ISBLANK(JP!Z359),"","x")</f>
        <v/>
      </c>
      <c r="AA355" t="str">
        <f>IF(ISBLANK(JP!AB359),"","x")</f>
        <v/>
      </c>
      <c r="AB355" t="str">
        <f>IF(ISBLANK(JP!AC359),"","x")</f>
        <v/>
      </c>
      <c r="AC355" t="str">
        <f>IF(ISBLANK(JP!AD359),"","x")</f>
        <v/>
      </c>
      <c r="AD355" t="str">
        <f>IF(ISBLANK(JP!AE359),"","x")</f>
        <v/>
      </c>
      <c r="AE355" t="str">
        <f>IF(ISBLANK(JP!AF359),"","x")</f>
        <v/>
      </c>
      <c r="AF355" t="str">
        <f>IF(ISBLANK(JP!AG359),"","x")</f>
        <v/>
      </c>
      <c r="AG355" t="str">
        <f>IF(ISBLANK(JP!AH359),"","x")</f>
        <v/>
      </c>
      <c r="AH355" t="str">
        <f>IF(ISBLANK(JP!AJ359),"","x")</f>
        <v/>
      </c>
      <c r="AI355" t="str">
        <f>IF(ISBLANK(JP!AK359),"","x")</f>
        <v/>
      </c>
      <c r="AJ355" t="str">
        <f>IF(ISBLANK(JP!AL359),"","x")</f>
        <v/>
      </c>
      <c r="AK355" t="str">
        <f>IF(ISBLANK(JP!AM359),"","x")</f>
        <v/>
      </c>
      <c r="AL355" t="str">
        <f>IF(ISBLANK(JP!AN359),"","x")</f>
        <v/>
      </c>
      <c r="AM355" t="str">
        <f>IF(ISBLANK(JP!AO359),"","x")</f>
        <v/>
      </c>
      <c r="AN355" t="str">
        <f>IF(ISBLANK(JP!AP359),"","x")</f>
        <v/>
      </c>
      <c r="AO355" t="str">
        <f>IF(ISBLANK(JP!AR359),"","x")</f>
        <v/>
      </c>
      <c r="AP355" t="str">
        <f>IF(ISBLANK(JP!AS359),"","x")</f>
        <v/>
      </c>
      <c r="AQ355" t="str">
        <f>IF(ISBLANK(JP!AT359),"","x")</f>
        <v/>
      </c>
      <c r="AR355" t="str">
        <f>IF(ISBLANK(JP!AU359),"","x")</f>
        <v/>
      </c>
      <c r="AS355" t="str">
        <f>IF(ISBLANK(JP!AV359),"","x")</f>
        <v/>
      </c>
      <c r="AT355" t="str">
        <f>IF(ISBLANK(JP!AW359),"","x")</f>
        <v/>
      </c>
      <c r="AU355" t="str">
        <f>IF(ISBLANK(JP!AX359),"","x")</f>
        <v/>
      </c>
    </row>
    <row r="356" spans="2:47">
      <c r="B356" t="str">
        <f>IF(ISBLANK(JP!AZ360),"",JP!AZ360)</f>
        <v/>
      </c>
      <c r="C356" t="str">
        <f>IF(ISBLANK(JP!BA360),"",JP!BA360)</f>
        <v/>
      </c>
      <c r="D356" t="str">
        <f>IF(ISBLANK(JP!BC360),"",JP!BC360)</f>
        <v/>
      </c>
      <c r="E356" t="str">
        <f>IF(ISBLANK(JP!BB360),"",JP!BB360)</f>
        <v/>
      </c>
      <c r="F356" t="str">
        <f>IF(ISBLANK(JP!D360),"","x")</f>
        <v/>
      </c>
      <c r="G356" t="str">
        <f>IF(ISBLANK(JP!E360),"","x")</f>
        <v/>
      </c>
      <c r="H356" t="str">
        <f>IF(ISBLANK(JP!F360),"","x")</f>
        <v/>
      </c>
      <c r="I356" t="str">
        <f>IF(ISBLANK(JP!G360),"","x")</f>
        <v/>
      </c>
      <c r="J356" t="str">
        <f>IF(ISBLANK(JP!H360),"","x")</f>
        <v/>
      </c>
      <c r="K356" t="str">
        <f>IF(ISBLANK(JP!I360),"","x")</f>
        <v/>
      </c>
      <c r="L356" t="str">
        <f>IF(ISBLANK(JP!J360),"","x")</f>
        <v/>
      </c>
      <c r="M356" t="str">
        <f>IF(ISBLANK(JP!L360),"","x")</f>
        <v/>
      </c>
      <c r="N356" t="str">
        <f>IF(ISBLANK(JP!M360),"","x")</f>
        <v/>
      </c>
      <c r="O356" t="str">
        <f>IF(ISBLANK(JP!N360),"","x")</f>
        <v/>
      </c>
      <c r="P356" t="str">
        <f>IF(ISBLANK(JP!O360),"","x")</f>
        <v/>
      </c>
      <c r="Q356" t="str">
        <f>IF(ISBLANK(JP!P360),"","x")</f>
        <v/>
      </c>
      <c r="R356" t="str">
        <f>IF(ISBLANK(JP!Q360),"","x")</f>
        <v/>
      </c>
      <c r="S356" t="str">
        <f>IF(ISBLANK(JP!R360),"","x")</f>
        <v/>
      </c>
      <c r="T356" t="str">
        <f>IF(ISBLANK(JP!T360),"","x")</f>
        <v/>
      </c>
      <c r="U356" t="str">
        <f>IF(ISBLANK(JP!U360),"","x")</f>
        <v/>
      </c>
      <c r="V356" t="str">
        <f>IF(ISBLANK(JP!V360),"","x")</f>
        <v/>
      </c>
      <c r="W356" t="str">
        <f>IF(ISBLANK(JP!W360),"","x")</f>
        <v/>
      </c>
      <c r="X356" t="str">
        <f>IF(ISBLANK(JP!X360),"","x")</f>
        <v/>
      </c>
      <c r="Y356" t="str">
        <f>IF(ISBLANK(JP!Y360),"","x")</f>
        <v/>
      </c>
      <c r="Z356" t="str">
        <f>IF(ISBLANK(JP!Z360),"","x")</f>
        <v/>
      </c>
      <c r="AA356" t="str">
        <f>IF(ISBLANK(JP!AB360),"","x")</f>
        <v/>
      </c>
      <c r="AB356" t="str">
        <f>IF(ISBLANK(JP!AC360),"","x")</f>
        <v/>
      </c>
      <c r="AC356" t="str">
        <f>IF(ISBLANK(JP!AD360),"","x")</f>
        <v/>
      </c>
      <c r="AD356" t="str">
        <f>IF(ISBLANK(JP!AE360),"","x")</f>
        <v/>
      </c>
      <c r="AE356" t="str">
        <f>IF(ISBLANK(JP!AF360),"","x")</f>
        <v/>
      </c>
      <c r="AF356" t="str">
        <f>IF(ISBLANK(JP!AG360),"","x")</f>
        <v/>
      </c>
      <c r="AG356" t="str">
        <f>IF(ISBLANK(JP!AH360),"","x")</f>
        <v/>
      </c>
      <c r="AH356" t="str">
        <f>IF(ISBLANK(JP!AJ360),"","x")</f>
        <v/>
      </c>
      <c r="AI356" t="str">
        <f>IF(ISBLANK(JP!AK360),"","x")</f>
        <v/>
      </c>
      <c r="AJ356" t="str">
        <f>IF(ISBLANK(JP!AL360),"","x")</f>
        <v/>
      </c>
      <c r="AK356" t="str">
        <f>IF(ISBLANK(JP!AM360),"","x")</f>
        <v/>
      </c>
      <c r="AL356" t="str">
        <f>IF(ISBLANK(JP!AN360),"","x")</f>
        <v/>
      </c>
      <c r="AM356" t="str">
        <f>IF(ISBLANK(JP!AO360),"","x")</f>
        <v/>
      </c>
      <c r="AN356" t="str">
        <f>IF(ISBLANK(JP!AP360),"","x")</f>
        <v/>
      </c>
      <c r="AO356" t="str">
        <f>IF(ISBLANK(JP!AR360),"","x")</f>
        <v/>
      </c>
      <c r="AP356" t="str">
        <f>IF(ISBLANK(JP!AS360),"","x")</f>
        <v/>
      </c>
      <c r="AQ356" t="str">
        <f>IF(ISBLANK(JP!AT360),"","x")</f>
        <v/>
      </c>
      <c r="AR356" t="str">
        <f>IF(ISBLANK(JP!AU360),"","x")</f>
        <v/>
      </c>
      <c r="AS356" t="str">
        <f>IF(ISBLANK(JP!AV360),"","x")</f>
        <v/>
      </c>
      <c r="AT356" t="str">
        <f>IF(ISBLANK(JP!AW360),"","x")</f>
        <v/>
      </c>
      <c r="AU356" t="str">
        <f>IF(ISBLANK(JP!AX360),"","x")</f>
        <v/>
      </c>
    </row>
    <row r="357" spans="2:47">
      <c r="B357" t="str">
        <f>IF(ISBLANK(JP!AZ361),"",JP!AZ361)</f>
        <v/>
      </c>
      <c r="C357" t="str">
        <f>IF(ISBLANK(JP!BA361),"",JP!BA361)</f>
        <v/>
      </c>
      <c r="D357" t="str">
        <f>IF(ISBLANK(JP!BC361),"",JP!BC361)</f>
        <v/>
      </c>
      <c r="E357" t="str">
        <f>IF(ISBLANK(JP!BB361),"",JP!BB361)</f>
        <v/>
      </c>
      <c r="F357" t="str">
        <f>IF(ISBLANK(JP!D361),"","x")</f>
        <v/>
      </c>
      <c r="G357" t="str">
        <f>IF(ISBLANK(JP!E361),"","x")</f>
        <v/>
      </c>
      <c r="H357" t="str">
        <f>IF(ISBLANK(JP!F361),"","x")</f>
        <v/>
      </c>
      <c r="I357" t="str">
        <f>IF(ISBLANK(JP!G361),"","x")</f>
        <v/>
      </c>
      <c r="J357" t="str">
        <f>IF(ISBLANK(JP!H361),"","x")</f>
        <v/>
      </c>
      <c r="K357" t="str">
        <f>IF(ISBLANK(JP!I361),"","x")</f>
        <v/>
      </c>
      <c r="L357" t="str">
        <f>IF(ISBLANK(JP!J361),"","x")</f>
        <v/>
      </c>
      <c r="M357" t="str">
        <f>IF(ISBLANK(JP!L361),"","x")</f>
        <v/>
      </c>
      <c r="N357" t="str">
        <f>IF(ISBLANK(JP!M361),"","x")</f>
        <v/>
      </c>
      <c r="O357" t="str">
        <f>IF(ISBLANK(JP!N361),"","x")</f>
        <v/>
      </c>
      <c r="P357" t="str">
        <f>IF(ISBLANK(JP!O361),"","x")</f>
        <v/>
      </c>
      <c r="Q357" t="str">
        <f>IF(ISBLANK(JP!P361),"","x")</f>
        <v/>
      </c>
      <c r="R357" t="str">
        <f>IF(ISBLANK(JP!Q361),"","x")</f>
        <v/>
      </c>
      <c r="S357" t="str">
        <f>IF(ISBLANK(JP!R361),"","x")</f>
        <v/>
      </c>
      <c r="T357" t="str">
        <f>IF(ISBLANK(JP!T361),"","x")</f>
        <v/>
      </c>
      <c r="U357" t="str">
        <f>IF(ISBLANK(JP!U361),"","x")</f>
        <v/>
      </c>
      <c r="V357" t="str">
        <f>IF(ISBLANK(JP!V361),"","x")</f>
        <v/>
      </c>
      <c r="W357" t="str">
        <f>IF(ISBLANK(JP!W361),"","x")</f>
        <v/>
      </c>
      <c r="X357" t="str">
        <f>IF(ISBLANK(JP!X361),"","x")</f>
        <v/>
      </c>
      <c r="Y357" t="str">
        <f>IF(ISBLANK(JP!Y361),"","x")</f>
        <v/>
      </c>
      <c r="Z357" t="str">
        <f>IF(ISBLANK(JP!Z361),"","x")</f>
        <v/>
      </c>
      <c r="AA357" t="str">
        <f>IF(ISBLANK(JP!AB361),"","x")</f>
        <v/>
      </c>
      <c r="AB357" t="str">
        <f>IF(ISBLANK(JP!AC361),"","x")</f>
        <v/>
      </c>
      <c r="AC357" t="str">
        <f>IF(ISBLANK(JP!AD361),"","x")</f>
        <v/>
      </c>
      <c r="AD357" t="str">
        <f>IF(ISBLANK(JP!AE361),"","x")</f>
        <v/>
      </c>
      <c r="AE357" t="str">
        <f>IF(ISBLANK(JP!AF361),"","x")</f>
        <v/>
      </c>
      <c r="AF357" t="str">
        <f>IF(ISBLANK(JP!AG361),"","x")</f>
        <v/>
      </c>
      <c r="AG357" t="str">
        <f>IF(ISBLANK(JP!AH361),"","x")</f>
        <v/>
      </c>
      <c r="AH357" t="str">
        <f>IF(ISBLANK(JP!AJ361),"","x")</f>
        <v/>
      </c>
      <c r="AI357" t="str">
        <f>IF(ISBLANK(JP!AK361),"","x")</f>
        <v/>
      </c>
      <c r="AJ357" t="str">
        <f>IF(ISBLANK(JP!AL361),"","x")</f>
        <v/>
      </c>
      <c r="AK357" t="str">
        <f>IF(ISBLANK(JP!AM361),"","x")</f>
        <v/>
      </c>
      <c r="AL357" t="str">
        <f>IF(ISBLANK(JP!AN361),"","x")</f>
        <v/>
      </c>
      <c r="AM357" t="str">
        <f>IF(ISBLANK(JP!AO361),"","x")</f>
        <v/>
      </c>
      <c r="AN357" t="str">
        <f>IF(ISBLANK(JP!AP361),"","x")</f>
        <v/>
      </c>
      <c r="AO357" t="str">
        <f>IF(ISBLANK(JP!AR361),"","x")</f>
        <v/>
      </c>
      <c r="AP357" t="str">
        <f>IF(ISBLANK(JP!AS361),"","x")</f>
        <v/>
      </c>
      <c r="AQ357" t="str">
        <f>IF(ISBLANK(JP!AT361),"","x")</f>
        <v/>
      </c>
      <c r="AR357" t="str">
        <f>IF(ISBLANK(JP!AU361),"","x")</f>
        <v/>
      </c>
      <c r="AS357" t="str">
        <f>IF(ISBLANK(JP!AV361),"","x")</f>
        <v/>
      </c>
      <c r="AT357" t="str">
        <f>IF(ISBLANK(JP!AW361),"","x")</f>
        <v/>
      </c>
      <c r="AU357" t="str">
        <f>IF(ISBLANK(JP!AX361),"","x")</f>
        <v/>
      </c>
    </row>
    <row r="358" spans="2:47">
      <c r="B358" t="str">
        <f>IF(ISBLANK(JP!AZ362),"",JP!AZ362)</f>
        <v/>
      </c>
      <c r="C358" t="str">
        <f>IF(ISBLANK(JP!BA362),"",JP!BA362)</f>
        <v/>
      </c>
      <c r="D358" t="str">
        <f>IF(ISBLANK(JP!BC362),"",JP!BC362)</f>
        <v/>
      </c>
      <c r="E358" t="str">
        <f>IF(ISBLANK(JP!BB362),"",JP!BB362)</f>
        <v/>
      </c>
      <c r="F358" t="str">
        <f>IF(ISBLANK(JP!D362),"","x")</f>
        <v/>
      </c>
      <c r="G358" t="str">
        <f>IF(ISBLANK(JP!E362),"","x")</f>
        <v/>
      </c>
      <c r="H358" t="str">
        <f>IF(ISBLANK(JP!F362),"","x")</f>
        <v/>
      </c>
      <c r="I358" t="str">
        <f>IF(ISBLANK(JP!G362),"","x")</f>
        <v/>
      </c>
      <c r="J358" t="str">
        <f>IF(ISBLANK(JP!H362),"","x")</f>
        <v/>
      </c>
      <c r="K358" t="str">
        <f>IF(ISBLANK(JP!I362),"","x")</f>
        <v/>
      </c>
      <c r="L358" t="str">
        <f>IF(ISBLANK(JP!J362),"","x")</f>
        <v/>
      </c>
      <c r="M358" t="str">
        <f>IF(ISBLANK(JP!L362),"","x")</f>
        <v/>
      </c>
      <c r="N358" t="str">
        <f>IF(ISBLANK(JP!M362),"","x")</f>
        <v/>
      </c>
      <c r="O358" t="str">
        <f>IF(ISBLANK(JP!N362),"","x")</f>
        <v/>
      </c>
      <c r="P358" t="str">
        <f>IF(ISBLANK(JP!O362),"","x")</f>
        <v/>
      </c>
      <c r="Q358" t="str">
        <f>IF(ISBLANK(JP!P362),"","x")</f>
        <v/>
      </c>
      <c r="R358" t="str">
        <f>IF(ISBLANK(JP!Q362),"","x")</f>
        <v/>
      </c>
      <c r="S358" t="str">
        <f>IF(ISBLANK(JP!R362),"","x")</f>
        <v/>
      </c>
      <c r="T358" t="str">
        <f>IF(ISBLANK(JP!T362),"","x")</f>
        <v/>
      </c>
      <c r="U358" t="str">
        <f>IF(ISBLANK(JP!U362),"","x")</f>
        <v/>
      </c>
      <c r="V358" t="str">
        <f>IF(ISBLANK(JP!V362),"","x")</f>
        <v/>
      </c>
      <c r="W358" t="str">
        <f>IF(ISBLANK(JP!W362),"","x")</f>
        <v/>
      </c>
      <c r="X358" t="str">
        <f>IF(ISBLANK(JP!X362),"","x")</f>
        <v/>
      </c>
      <c r="Y358" t="str">
        <f>IF(ISBLANK(JP!Y362),"","x")</f>
        <v/>
      </c>
      <c r="Z358" t="str">
        <f>IF(ISBLANK(JP!Z362),"","x")</f>
        <v/>
      </c>
      <c r="AA358" t="str">
        <f>IF(ISBLANK(JP!AB362),"","x")</f>
        <v/>
      </c>
      <c r="AB358" t="str">
        <f>IF(ISBLANK(JP!AC362),"","x")</f>
        <v/>
      </c>
      <c r="AC358" t="str">
        <f>IF(ISBLANK(JP!AD362),"","x")</f>
        <v/>
      </c>
      <c r="AD358" t="str">
        <f>IF(ISBLANK(JP!AE362),"","x")</f>
        <v/>
      </c>
      <c r="AE358" t="str">
        <f>IF(ISBLANK(JP!AF362),"","x")</f>
        <v/>
      </c>
      <c r="AF358" t="str">
        <f>IF(ISBLANK(JP!AG362),"","x")</f>
        <v/>
      </c>
      <c r="AG358" t="str">
        <f>IF(ISBLANK(JP!AH362),"","x")</f>
        <v/>
      </c>
      <c r="AH358" t="str">
        <f>IF(ISBLANK(JP!AJ362),"","x")</f>
        <v/>
      </c>
      <c r="AI358" t="str">
        <f>IF(ISBLANK(JP!AK362),"","x")</f>
        <v/>
      </c>
      <c r="AJ358" t="str">
        <f>IF(ISBLANK(JP!AL362),"","x")</f>
        <v/>
      </c>
      <c r="AK358" t="str">
        <f>IF(ISBLANK(JP!AM362),"","x")</f>
        <v/>
      </c>
      <c r="AL358" t="str">
        <f>IF(ISBLANK(JP!AN362),"","x")</f>
        <v/>
      </c>
      <c r="AM358" t="str">
        <f>IF(ISBLANK(JP!AO362),"","x")</f>
        <v/>
      </c>
      <c r="AN358" t="str">
        <f>IF(ISBLANK(JP!AP362),"","x")</f>
        <v/>
      </c>
      <c r="AO358" t="str">
        <f>IF(ISBLANK(JP!AR362),"","x")</f>
        <v/>
      </c>
      <c r="AP358" t="str">
        <f>IF(ISBLANK(JP!AS362),"","x")</f>
        <v/>
      </c>
      <c r="AQ358" t="str">
        <f>IF(ISBLANK(JP!AT362),"","x")</f>
        <v/>
      </c>
      <c r="AR358" t="str">
        <f>IF(ISBLANK(JP!AU362),"","x")</f>
        <v/>
      </c>
      <c r="AS358" t="str">
        <f>IF(ISBLANK(JP!AV362),"","x")</f>
        <v/>
      </c>
      <c r="AT358" t="str">
        <f>IF(ISBLANK(JP!AW362),"","x")</f>
        <v/>
      </c>
      <c r="AU358" t="str">
        <f>IF(ISBLANK(JP!AX362),"","x")</f>
        <v/>
      </c>
    </row>
    <row r="359" spans="2:47">
      <c r="B359" t="str">
        <f>IF(ISBLANK(JP!AZ363),"",JP!AZ363)</f>
        <v/>
      </c>
      <c r="C359" t="str">
        <f>IF(ISBLANK(JP!BA363),"",JP!BA363)</f>
        <v/>
      </c>
      <c r="D359" t="str">
        <f>IF(ISBLANK(JP!BC363),"",JP!BC363)</f>
        <v/>
      </c>
      <c r="E359" t="str">
        <f>IF(ISBLANK(JP!BB363),"",JP!BB363)</f>
        <v/>
      </c>
      <c r="F359" t="str">
        <f>IF(ISBLANK(JP!D363),"","x")</f>
        <v/>
      </c>
      <c r="G359" t="str">
        <f>IF(ISBLANK(JP!E363),"","x")</f>
        <v/>
      </c>
      <c r="H359" t="str">
        <f>IF(ISBLANK(JP!F363),"","x")</f>
        <v/>
      </c>
      <c r="I359" t="str">
        <f>IF(ISBLANK(JP!G363),"","x")</f>
        <v/>
      </c>
      <c r="J359" t="str">
        <f>IF(ISBLANK(JP!H363),"","x")</f>
        <v/>
      </c>
      <c r="K359" t="str">
        <f>IF(ISBLANK(JP!I363),"","x")</f>
        <v/>
      </c>
      <c r="L359" t="str">
        <f>IF(ISBLANK(JP!J363),"","x")</f>
        <v/>
      </c>
      <c r="M359" t="str">
        <f>IF(ISBLANK(JP!L363),"","x")</f>
        <v/>
      </c>
      <c r="N359" t="str">
        <f>IF(ISBLANK(JP!M363),"","x")</f>
        <v/>
      </c>
      <c r="O359" t="str">
        <f>IF(ISBLANK(JP!N363),"","x")</f>
        <v/>
      </c>
      <c r="P359" t="str">
        <f>IF(ISBLANK(JP!O363),"","x")</f>
        <v/>
      </c>
      <c r="Q359" t="str">
        <f>IF(ISBLANK(JP!P363),"","x")</f>
        <v/>
      </c>
      <c r="R359" t="str">
        <f>IF(ISBLANK(JP!Q363),"","x")</f>
        <v/>
      </c>
      <c r="S359" t="str">
        <f>IF(ISBLANK(JP!R363),"","x")</f>
        <v/>
      </c>
      <c r="T359" t="str">
        <f>IF(ISBLANK(JP!T363),"","x")</f>
        <v/>
      </c>
      <c r="U359" t="str">
        <f>IF(ISBLANK(JP!U363),"","x")</f>
        <v/>
      </c>
      <c r="V359" t="str">
        <f>IF(ISBLANK(JP!V363),"","x")</f>
        <v/>
      </c>
      <c r="W359" t="str">
        <f>IF(ISBLANK(JP!W363),"","x")</f>
        <v/>
      </c>
      <c r="X359" t="str">
        <f>IF(ISBLANK(JP!X363),"","x")</f>
        <v/>
      </c>
      <c r="Y359" t="str">
        <f>IF(ISBLANK(JP!Y363),"","x")</f>
        <v/>
      </c>
      <c r="Z359" t="str">
        <f>IF(ISBLANK(JP!Z363),"","x")</f>
        <v/>
      </c>
      <c r="AA359" t="str">
        <f>IF(ISBLANK(JP!AB363),"","x")</f>
        <v/>
      </c>
      <c r="AB359" t="str">
        <f>IF(ISBLANK(JP!AC363),"","x")</f>
        <v/>
      </c>
      <c r="AC359" t="str">
        <f>IF(ISBLANK(JP!AD363),"","x")</f>
        <v/>
      </c>
      <c r="AD359" t="str">
        <f>IF(ISBLANK(JP!AE363),"","x")</f>
        <v/>
      </c>
      <c r="AE359" t="str">
        <f>IF(ISBLANK(JP!AF363),"","x")</f>
        <v/>
      </c>
      <c r="AF359" t="str">
        <f>IF(ISBLANK(JP!AG363),"","x")</f>
        <v/>
      </c>
      <c r="AG359" t="str">
        <f>IF(ISBLANK(JP!AH363),"","x")</f>
        <v/>
      </c>
      <c r="AH359" t="str">
        <f>IF(ISBLANK(JP!AJ363),"","x")</f>
        <v/>
      </c>
      <c r="AI359" t="str">
        <f>IF(ISBLANK(JP!AK363),"","x")</f>
        <v/>
      </c>
      <c r="AJ359" t="str">
        <f>IF(ISBLANK(JP!AL363),"","x")</f>
        <v/>
      </c>
      <c r="AK359" t="str">
        <f>IF(ISBLANK(JP!AM363),"","x")</f>
        <v/>
      </c>
      <c r="AL359" t="str">
        <f>IF(ISBLANK(JP!AN363),"","x")</f>
        <v/>
      </c>
      <c r="AM359" t="str">
        <f>IF(ISBLANK(JP!AO363),"","x")</f>
        <v/>
      </c>
      <c r="AN359" t="str">
        <f>IF(ISBLANK(JP!AP363),"","x")</f>
        <v/>
      </c>
      <c r="AO359" t="str">
        <f>IF(ISBLANK(JP!AR363),"","x")</f>
        <v/>
      </c>
      <c r="AP359" t="str">
        <f>IF(ISBLANK(JP!AS363),"","x")</f>
        <v/>
      </c>
      <c r="AQ359" t="str">
        <f>IF(ISBLANK(JP!AT363),"","x")</f>
        <v/>
      </c>
      <c r="AR359" t="str">
        <f>IF(ISBLANK(JP!AU363),"","x")</f>
        <v/>
      </c>
      <c r="AS359" t="str">
        <f>IF(ISBLANK(JP!AV363),"","x")</f>
        <v/>
      </c>
      <c r="AT359" t="str">
        <f>IF(ISBLANK(JP!AW363),"","x")</f>
        <v/>
      </c>
      <c r="AU359" t="str">
        <f>IF(ISBLANK(JP!AX363),"","x")</f>
        <v/>
      </c>
    </row>
    <row r="360" spans="2:47">
      <c r="B360" t="str">
        <f>IF(ISBLANK(JP!AZ364),"",JP!AZ364)</f>
        <v/>
      </c>
      <c r="C360" t="str">
        <f>IF(ISBLANK(JP!BA364),"",JP!BA364)</f>
        <v/>
      </c>
      <c r="D360" t="str">
        <f>IF(ISBLANK(JP!BC364),"",JP!BC364)</f>
        <v/>
      </c>
      <c r="E360" t="str">
        <f>IF(ISBLANK(JP!BB364),"",JP!BB364)</f>
        <v/>
      </c>
      <c r="F360" t="str">
        <f>IF(ISBLANK(JP!D364),"","x")</f>
        <v/>
      </c>
      <c r="G360" t="str">
        <f>IF(ISBLANK(JP!E364),"","x")</f>
        <v/>
      </c>
      <c r="H360" t="str">
        <f>IF(ISBLANK(JP!F364),"","x")</f>
        <v/>
      </c>
      <c r="I360" t="str">
        <f>IF(ISBLANK(JP!G364),"","x")</f>
        <v/>
      </c>
      <c r="J360" t="str">
        <f>IF(ISBLANK(JP!H364),"","x")</f>
        <v/>
      </c>
      <c r="K360" t="str">
        <f>IF(ISBLANK(JP!I364),"","x")</f>
        <v/>
      </c>
      <c r="L360" t="str">
        <f>IF(ISBLANK(JP!J364),"","x")</f>
        <v/>
      </c>
      <c r="M360" t="str">
        <f>IF(ISBLANK(JP!L364),"","x")</f>
        <v/>
      </c>
      <c r="N360" t="str">
        <f>IF(ISBLANK(JP!M364),"","x")</f>
        <v/>
      </c>
      <c r="O360" t="str">
        <f>IF(ISBLANK(JP!N364),"","x")</f>
        <v/>
      </c>
      <c r="P360" t="str">
        <f>IF(ISBLANK(JP!O364),"","x")</f>
        <v/>
      </c>
      <c r="Q360" t="str">
        <f>IF(ISBLANK(JP!P364),"","x")</f>
        <v/>
      </c>
      <c r="R360" t="str">
        <f>IF(ISBLANK(JP!Q364),"","x")</f>
        <v/>
      </c>
      <c r="S360" t="str">
        <f>IF(ISBLANK(JP!R364),"","x")</f>
        <v/>
      </c>
      <c r="T360" t="str">
        <f>IF(ISBLANK(JP!T364),"","x")</f>
        <v/>
      </c>
      <c r="U360" t="str">
        <f>IF(ISBLANK(JP!U364),"","x")</f>
        <v/>
      </c>
      <c r="V360" t="str">
        <f>IF(ISBLANK(JP!V364),"","x")</f>
        <v/>
      </c>
      <c r="W360" t="str">
        <f>IF(ISBLANK(JP!W364),"","x")</f>
        <v/>
      </c>
      <c r="X360" t="str">
        <f>IF(ISBLANK(JP!X364),"","x")</f>
        <v/>
      </c>
      <c r="Y360" t="str">
        <f>IF(ISBLANK(JP!Y364),"","x")</f>
        <v/>
      </c>
      <c r="Z360" t="str">
        <f>IF(ISBLANK(JP!Z364),"","x")</f>
        <v/>
      </c>
      <c r="AA360" t="str">
        <f>IF(ISBLANK(JP!AB364),"","x")</f>
        <v/>
      </c>
      <c r="AB360" t="str">
        <f>IF(ISBLANK(JP!AC364),"","x")</f>
        <v/>
      </c>
      <c r="AC360" t="str">
        <f>IF(ISBLANK(JP!AD364),"","x")</f>
        <v/>
      </c>
      <c r="AD360" t="str">
        <f>IF(ISBLANK(JP!AE364),"","x")</f>
        <v/>
      </c>
      <c r="AE360" t="str">
        <f>IF(ISBLANK(JP!AF364),"","x")</f>
        <v/>
      </c>
      <c r="AF360" t="str">
        <f>IF(ISBLANK(JP!AG364),"","x")</f>
        <v/>
      </c>
      <c r="AG360" t="str">
        <f>IF(ISBLANK(JP!AH364),"","x")</f>
        <v/>
      </c>
      <c r="AH360" t="str">
        <f>IF(ISBLANK(JP!AJ364),"","x")</f>
        <v/>
      </c>
      <c r="AI360" t="str">
        <f>IF(ISBLANK(JP!AK364),"","x")</f>
        <v/>
      </c>
      <c r="AJ360" t="str">
        <f>IF(ISBLANK(JP!AL364),"","x")</f>
        <v/>
      </c>
      <c r="AK360" t="str">
        <f>IF(ISBLANK(JP!AM364),"","x")</f>
        <v/>
      </c>
      <c r="AL360" t="str">
        <f>IF(ISBLANK(JP!AN364),"","x")</f>
        <v/>
      </c>
      <c r="AM360" t="str">
        <f>IF(ISBLANK(JP!AO364),"","x")</f>
        <v/>
      </c>
      <c r="AN360" t="str">
        <f>IF(ISBLANK(JP!AP364),"","x")</f>
        <v/>
      </c>
      <c r="AO360" t="str">
        <f>IF(ISBLANK(JP!AR364),"","x")</f>
        <v/>
      </c>
      <c r="AP360" t="str">
        <f>IF(ISBLANK(JP!AS364),"","x")</f>
        <v/>
      </c>
      <c r="AQ360" t="str">
        <f>IF(ISBLANK(JP!AT364),"","x")</f>
        <v/>
      </c>
      <c r="AR360" t="str">
        <f>IF(ISBLANK(JP!AU364),"","x")</f>
        <v/>
      </c>
      <c r="AS360" t="str">
        <f>IF(ISBLANK(JP!AV364),"","x")</f>
        <v/>
      </c>
      <c r="AT360" t="str">
        <f>IF(ISBLANK(JP!AW364),"","x")</f>
        <v/>
      </c>
      <c r="AU360" t="str">
        <f>IF(ISBLANK(JP!AX364),"","x")</f>
        <v/>
      </c>
    </row>
    <row r="361" spans="2:47">
      <c r="B361" t="str">
        <f>IF(ISBLANK(JP!AZ365),"",JP!AZ365)</f>
        <v/>
      </c>
      <c r="C361" t="str">
        <f>IF(ISBLANK(JP!BA365),"",JP!BA365)</f>
        <v/>
      </c>
      <c r="D361" t="str">
        <f>IF(ISBLANK(JP!BC365),"",JP!BC365)</f>
        <v/>
      </c>
      <c r="E361" t="str">
        <f>IF(ISBLANK(JP!BB365),"",JP!BB365)</f>
        <v/>
      </c>
      <c r="F361" t="str">
        <f>IF(ISBLANK(JP!D365),"","x")</f>
        <v/>
      </c>
      <c r="G361" t="str">
        <f>IF(ISBLANK(JP!E365),"","x")</f>
        <v/>
      </c>
      <c r="H361" t="str">
        <f>IF(ISBLANK(JP!F365),"","x")</f>
        <v/>
      </c>
      <c r="I361" t="str">
        <f>IF(ISBLANK(JP!G365),"","x")</f>
        <v/>
      </c>
      <c r="J361" t="str">
        <f>IF(ISBLANK(JP!H365),"","x")</f>
        <v/>
      </c>
      <c r="K361" t="str">
        <f>IF(ISBLANK(JP!I365),"","x")</f>
        <v/>
      </c>
      <c r="L361" t="str">
        <f>IF(ISBLANK(JP!J365),"","x")</f>
        <v/>
      </c>
      <c r="M361" t="str">
        <f>IF(ISBLANK(JP!L365),"","x")</f>
        <v/>
      </c>
      <c r="N361" t="str">
        <f>IF(ISBLANK(JP!M365),"","x")</f>
        <v/>
      </c>
      <c r="O361" t="str">
        <f>IF(ISBLANK(JP!N365),"","x")</f>
        <v/>
      </c>
      <c r="P361" t="str">
        <f>IF(ISBLANK(JP!O365),"","x")</f>
        <v/>
      </c>
      <c r="Q361" t="str">
        <f>IF(ISBLANK(JP!P365),"","x")</f>
        <v/>
      </c>
      <c r="R361" t="str">
        <f>IF(ISBLANK(JP!Q365),"","x")</f>
        <v/>
      </c>
      <c r="S361" t="str">
        <f>IF(ISBLANK(JP!R365),"","x")</f>
        <v/>
      </c>
      <c r="T361" t="str">
        <f>IF(ISBLANK(JP!T365),"","x")</f>
        <v/>
      </c>
      <c r="U361" t="str">
        <f>IF(ISBLANK(JP!U365),"","x")</f>
        <v/>
      </c>
      <c r="V361" t="str">
        <f>IF(ISBLANK(JP!V365),"","x")</f>
        <v/>
      </c>
      <c r="W361" t="str">
        <f>IF(ISBLANK(JP!W365),"","x")</f>
        <v/>
      </c>
      <c r="X361" t="str">
        <f>IF(ISBLANK(JP!X365),"","x")</f>
        <v/>
      </c>
      <c r="Y361" t="str">
        <f>IF(ISBLANK(JP!Y365),"","x")</f>
        <v/>
      </c>
      <c r="Z361" t="str">
        <f>IF(ISBLANK(JP!Z365),"","x")</f>
        <v/>
      </c>
      <c r="AA361" t="str">
        <f>IF(ISBLANK(JP!AB365),"","x")</f>
        <v/>
      </c>
      <c r="AB361" t="str">
        <f>IF(ISBLANK(JP!AC365),"","x")</f>
        <v/>
      </c>
      <c r="AC361" t="str">
        <f>IF(ISBLANK(JP!AD365),"","x")</f>
        <v/>
      </c>
      <c r="AD361" t="str">
        <f>IF(ISBLANK(JP!AE365),"","x")</f>
        <v/>
      </c>
      <c r="AE361" t="str">
        <f>IF(ISBLANK(JP!AF365),"","x")</f>
        <v/>
      </c>
      <c r="AF361" t="str">
        <f>IF(ISBLANK(JP!AG365),"","x")</f>
        <v/>
      </c>
      <c r="AG361" t="str">
        <f>IF(ISBLANK(JP!AH365),"","x")</f>
        <v/>
      </c>
      <c r="AH361" t="str">
        <f>IF(ISBLANK(JP!AJ365),"","x")</f>
        <v/>
      </c>
      <c r="AI361" t="str">
        <f>IF(ISBLANK(JP!AK365),"","x")</f>
        <v/>
      </c>
      <c r="AJ361" t="str">
        <f>IF(ISBLANK(JP!AL365),"","x")</f>
        <v/>
      </c>
      <c r="AK361" t="str">
        <f>IF(ISBLANK(JP!AM365),"","x")</f>
        <v/>
      </c>
      <c r="AL361" t="str">
        <f>IF(ISBLANK(JP!AN365),"","x")</f>
        <v/>
      </c>
      <c r="AM361" t="str">
        <f>IF(ISBLANK(JP!AO365),"","x")</f>
        <v/>
      </c>
      <c r="AN361" t="str">
        <f>IF(ISBLANK(JP!AP365),"","x")</f>
        <v/>
      </c>
      <c r="AO361" t="str">
        <f>IF(ISBLANK(JP!AR365),"","x")</f>
        <v/>
      </c>
      <c r="AP361" t="str">
        <f>IF(ISBLANK(JP!AS365),"","x")</f>
        <v/>
      </c>
      <c r="AQ361" t="str">
        <f>IF(ISBLANK(JP!AT365),"","x")</f>
        <v/>
      </c>
      <c r="AR361" t="str">
        <f>IF(ISBLANK(JP!AU365),"","x")</f>
        <v/>
      </c>
      <c r="AS361" t="str">
        <f>IF(ISBLANK(JP!AV365),"","x")</f>
        <v/>
      </c>
      <c r="AT361" t="str">
        <f>IF(ISBLANK(JP!AW365),"","x")</f>
        <v/>
      </c>
      <c r="AU361" t="str">
        <f>IF(ISBLANK(JP!AX365),"","x")</f>
        <v/>
      </c>
    </row>
    <row r="362" spans="2:47">
      <c r="B362" t="str">
        <f>IF(ISBLANK(JP!AZ366),"",JP!AZ366)</f>
        <v/>
      </c>
      <c r="C362" t="str">
        <f>IF(ISBLANK(JP!BA366),"",JP!BA366)</f>
        <v/>
      </c>
      <c r="D362" t="str">
        <f>IF(ISBLANK(JP!BC366),"",JP!BC366)</f>
        <v/>
      </c>
      <c r="E362" t="str">
        <f>IF(ISBLANK(JP!BB366),"",JP!BB366)</f>
        <v/>
      </c>
      <c r="F362" t="str">
        <f>IF(ISBLANK(JP!D366),"","x")</f>
        <v/>
      </c>
      <c r="G362" t="str">
        <f>IF(ISBLANK(JP!E366),"","x")</f>
        <v/>
      </c>
      <c r="H362" t="str">
        <f>IF(ISBLANK(JP!F366),"","x")</f>
        <v/>
      </c>
      <c r="I362" t="str">
        <f>IF(ISBLANK(JP!G366),"","x")</f>
        <v/>
      </c>
      <c r="J362" t="str">
        <f>IF(ISBLANK(JP!H366),"","x")</f>
        <v/>
      </c>
      <c r="K362" t="str">
        <f>IF(ISBLANK(JP!I366),"","x")</f>
        <v/>
      </c>
      <c r="L362" t="str">
        <f>IF(ISBLANK(JP!J366),"","x")</f>
        <v/>
      </c>
      <c r="M362" t="str">
        <f>IF(ISBLANK(JP!L366),"","x")</f>
        <v/>
      </c>
      <c r="N362" t="str">
        <f>IF(ISBLANK(JP!M366),"","x")</f>
        <v/>
      </c>
      <c r="O362" t="str">
        <f>IF(ISBLANK(JP!N366),"","x")</f>
        <v/>
      </c>
      <c r="P362" t="str">
        <f>IF(ISBLANK(JP!O366),"","x")</f>
        <v/>
      </c>
      <c r="Q362" t="str">
        <f>IF(ISBLANK(JP!P366),"","x")</f>
        <v/>
      </c>
      <c r="R362" t="str">
        <f>IF(ISBLANK(JP!Q366),"","x")</f>
        <v/>
      </c>
      <c r="S362" t="str">
        <f>IF(ISBLANK(JP!R366),"","x")</f>
        <v/>
      </c>
      <c r="T362" t="str">
        <f>IF(ISBLANK(JP!T366),"","x")</f>
        <v/>
      </c>
      <c r="U362" t="str">
        <f>IF(ISBLANK(JP!U366),"","x")</f>
        <v/>
      </c>
      <c r="V362" t="str">
        <f>IF(ISBLANK(JP!V366),"","x")</f>
        <v/>
      </c>
      <c r="W362" t="str">
        <f>IF(ISBLANK(JP!W366),"","x")</f>
        <v/>
      </c>
      <c r="X362" t="str">
        <f>IF(ISBLANK(JP!X366),"","x")</f>
        <v/>
      </c>
      <c r="Y362" t="str">
        <f>IF(ISBLANK(JP!Y366),"","x")</f>
        <v/>
      </c>
      <c r="Z362" t="str">
        <f>IF(ISBLANK(JP!Z366),"","x")</f>
        <v/>
      </c>
      <c r="AA362" t="str">
        <f>IF(ISBLANK(JP!AB366),"","x")</f>
        <v/>
      </c>
      <c r="AB362" t="str">
        <f>IF(ISBLANK(JP!AC366),"","x")</f>
        <v/>
      </c>
      <c r="AC362" t="str">
        <f>IF(ISBLANK(JP!AD366),"","x")</f>
        <v/>
      </c>
      <c r="AD362" t="str">
        <f>IF(ISBLANK(JP!AE366),"","x")</f>
        <v/>
      </c>
      <c r="AE362" t="str">
        <f>IF(ISBLANK(JP!AF366),"","x")</f>
        <v/>
      </c>
      <c r="AF362" t="str">
        <f>IF(ISBLANK(JP!AG366),"","x")</f>
        <v/>
      </c>
      <c r="AG362" t="str">
        <f>IF(ISBLANK(JP!AH366),"","x")</f>
        <v/>
      </c>
      <c r="AH362" t="str">
        <f>IF(ISBLANK(JP!AJ366),"","x")</f>
        <v/>
      </c>
      <c r="AI362" t="str">
        <f>IF(ISBLANK(JP!AK366),"","x")</f>
        <v/>
      </c>
      <c r="AJ362" t="str">
        <f>IF(ISBLANK(JP!AL366),"","x")</f>
        <v/>
      </c>
      <c r="AK362" t="str">
        <f>IF(ISBLANK(JP!AM366),"","x")</f>
        <v/>
      </c>
      <c r="AL362" t="str">
        <f>IF(ISBLANK(JP!AN366),"","x")</f>
        <v/>
      </c>
      <c r="AM362" t="str">
        <f>IF(ISBLANK(JP!AO366),"","x")</f>
        <v/>
      </c>
      <c r="AN362" t="str">
        <f>IF(ISBLANK(JP!AP366),"","x")</f>
        <v/>
      </c>
      <c r="AO362" t="str">
        <f>IF(ISBLANK(JP!AR366),"","x")</f>
        <v/>
      </c>
      <c r="AP362" t="str">
        <f>IF(ISBLANK(JP!AS366),"","x")</f>
        <v/>
      </c>
      <c r="AQ362" t="str">
        <f>IF(ISBLANK(JP!AT366),"","x")</f>
        <v/>
      </c>
      <c r="AR362" t="str">
        <f>IF(ISBLANK(JP!AU366),"","x")</f>
        <v/>
      </c>
      <c r="AS362" t="str">
        <f>IF(ISBLANK(JP!AV366),"","x")</f>
        <v/>
      </c>
      <c r="AT362" t="str">
        <f>IF(ISBLANK(JP!AW366),"","x")</f>
        <v/>
      </c>
      <c r="AU362" t="str">
        <f>IF(ISBLANK(JP!AX366),"","x")</f>
        <v/>
      </c>
    </row>
    <row r="363" spans="2:47">
      <c r="B363" t="str">
        <f>IF(ISBLANK(JP!AZ367),"",JP!AZ367)</f>
        <v/>
      </c>
      <c r="C363" t="str">
        <f>IF(ISBLANK(JP!BA367),"",JP!BA367)</f>
        <v/>
      </c>
      <c r="D363" t="str">
        <f>IF(ISBLANK(JP!BC367),"",JP!BC367)</f>
        <v/>
      </c>
      <c r="E363" t="str">
        <f>IF(ISBLANK(JP!BB367),"",JP!BB367)</f>
        <v/>
      </c>
      <c r="F363" t="str">
        <f>IF(ISBLANK(JP!D367),"","x")</f>
        <v/>
      </c>
      <c r="G363" t="str">
        <f>IF(ISBLANK(JP!E367),"","x")</f>
        <v/>
      </c>
      <c r="H363" t="str">
        <f>IF(ISBLANK(JP!F367),"","x")</f>
        <v/>
      </c>
      <c r="I363" t="str">
        <f>IF(ISBLANK(JP!G367),"","x")</f>
        <v/>
      </c>
      <c r="J363" t="str">
        <f>IF(ISBLANK(JP!H367),"","x")</f>
        <v/>
      </c>
      <c r="K363" t="str">
        <f>IF(ISBLANK(JP!I367),"","x")</f>
        <v/>
      </c>
      <c r="L363" t="str">
        <f>IF(ISBLANK(JP!J367),"","x")</f>
        <v/>
      </c>
      <c r="M363" t="str">
        <f>IF(ISBLANK(JP!L367),"","x")</f>
        <v/>
      </c>
      <c r="N363" t="str">
        <f>IF(ISBLANK(JP!M367),"","x")</f>
        <v/>
      </c>
      <c r="O363" t="str">
        <f>IF(ISBLANK(JP!N367),"","x")</f>
        <v/>
      </c>
      <c r="P363" t="str">
        <f>IF(ISBLANK(JP!O367),"","x")</f>
        <v/>
      </c>
      <c r="Q363" t="str">
        <f>IF(ISBLANK(JP!P367),"","x")</f>
        <v/>
      </c>
      <c r="R363" t="str">
        <f>IF(ISBLANK(JP!Q367),"","x")</f>
        <v/>
      </c>
      <c r="S363" t="str">
        <f>IF(ISBLANK(JP!R367),"","x")</f>
        <v/>
      </c>
      <c r="T363" t="str">
        <f>IF(ISBLANK(JP!T367),"","x")</f>
        <v/>
      </c>
      <c r="U363" t="str">
        <f>IF(ISBLANK(JP!U367),"","x")</f>
        <v/>
      </c>
      <c r="V363" t="str">
        <f>IF(ISBLANK(JP!V367),"","x")</f>
        <v/>
      </c>
      <c r="W363" t="str">
        <f>IF(ISBLANK(JP!W367),"","x")</f>
        <v/>
      </c>
      <c r="X363" t="str">
        <f>IF(ISBLANK(JP!X367),"","x")</f>
        <v/>
      </c>
      <c r="Y363" t="str">
        <f>IF(ISBLANK(JP!Y367),"","x")</f>
        <v/>
      </c>
      <c r="Z363" t="str">
        <f>IF(ISBLANK(JP!Z367),"","x")</f>
        <v/>
      </c>
      <c r="AA363" t="str">
        <f>IF(ISBLANK(JP!AB367),"","x")</f>
        <v/>
      </c>
      <c r="AB363" t="str">
        <f>IF(ISBLANK(JP!AC367),"","x")</f>
        <v/>
      </c>
      <c r="AC363" t="str">
        <f>IF(ISBLANK(JP!AD367),"","x")</f>
        <v/>
      </c>
      <c r="AD363" t="str">
        <f>IF(ISBLANK(JP!AE367),"","x")</f>
        <v/>
      </c>
      <c r="AE363" t="str">
        <f>IF(ISBLANK(JP!AF367),"","x")</f>
        <v/>
      </c>
      <c r="AF363" t="str">
        <f>IF(ISBLANK(JP!AG367),"","x")</f>
        <v/>
      </c>
      <c r="AG363" t="str">
        <f>IF(ISBLANK(JP!AH367),"","x")</f>
        <v/>
      </c>
      <c r="AH363" t="str">
        <f>IF(ISBLANK(JP!AJ367),"","x")</f>
        <v/>
      </c>
      <c r="AI363" t="str">
        <f>IF(ISBLANK(JP!AK367),"","x")</f>
        <v/>
      </c>
      <c r="AJ363" t="str">
        <f>IF(ISBLANK(JP!AL367),"","x")</f>
        <v/>
      </c>
      <c r="AK363" t="str">
        <f>IF(ISBLANK(JP!AM367),"","x")</f>
        <v/>
      </c>
      <c r="AL363" t="str">
        <f>IF(ISBLANK(JP!AN367),"","x")</f>
        <v/>
      </c>
      <c r="AM363" t="str">
        <f>IF(ISBLANK(JP!AO367),"","x")</f>
        <v/>
      </c>
      <c r="AN363" t="str">
        <f>IF(ISBLANK(JP!AP367),"","x")</f>
        <v/>
      </c>
      <c r="AO363" t="str">
        <f>IF(ISBLANK(JP!AR367),"","x")</f>
        <v/>
      </c>
      <c r="AP363" t="str">
        <f>IF(ISBLANK(JP!AS367),"","x")</f>
        <v/>
      </c>
      <c r="AQ363" t="str">
        <f>IF(ISBLANK(JP!AT367),"","x")</f>
        <v/>
      </c>
      <c r="AR363" t="str">
        <f>IF(ISBLANK(JP!AU367),"","x")</f>
        <v/>
      </c>
      <c r="AS363" t="str">
        <f>IF(ISBLANK(JP!AV367),"","x")</f>
        <v/>
      </c>
      <c r="AT363" t="str">
        <f>IF(ISBLANK(JP!AW367),"","x")</f>
        <v/>
      </c>
      <c r="AU363" t="str">
        <f>IF(ISBLANK(JP!AX367),"","x")</f>
        <v/>
      </c>
    </row>
    <row r="364" spans="2:47">
      <c r="B364" t="str">
        <f>IF(ISBLANK(JP!AZ368),"",JP!AZ368)</f>
        <v/>
      </c>
      <c r="C364" t="str">
        <f>IF(ISBLANK(JP!BA368),"",JP!BA368)</f>
        <v/>
      </c>
      <c r="D364" t="str">
        <f>IF(ISBLANK(JP!BC368),"",JP!BC368)</f>
        <v/>
      </c>
      <c r="E364" t="str">
        <f>IF(ISBLANK(JP!BB368),"",JP!BB368)</f>
        <v/>
      </c>
      <c r="F364" t="str">
        <f>IF(ISBLANK(JP!D368),"","x")</f>
        <v/>
      </c>
      <c r="G364" t="str">
        <f>IF(ISBLANK(JP!E368),"","x")</f>
        <v/>
      </c>
      <c r="H364" t="str">
        <f>IF(ISBLANK(JP!F368),"","x")</f>
        <v/>
      </c>
      <c r="I364" t="str">
        <f>IF(ISBLANK(JP!G368),"","x")</f>
        <v/>
      </c>
      <c r="J364" t="str">
        <f>IF(ISBLANK(JP!H368),"","x")</f>
        <v/>
      </c>
      <c r="K364" t="str">
        <f>IF(ISBLANK(JP!I368),"","x")</f>
        <v/>
      </c>
      <c r="L364" t="str">
        <f>IF(ISBLANK(JP!J368),"","x")</f>
        <v/>
      </c>
      <c r="M364" t="str">
        <f>IF(ISBLANK(JP!L368),"","x")</f>
        <v/>
      </c>
      <c r="N364" t="str">
        <f>IF(ISBLANK(JP!M368),"","x")</f>
        <v/>
      </c>
      <c r="O364" t="str">
        <f>IF(ISBLANK(JP!N368),"","x")</f>
        <v/>
      </c>
      <c r="P364" t="str">
        <f>IF(ISBLANK(JP!O368),"","x")</f>
        <v/>
      </c>
      <c r="Q364" t="str">
        <f>IF(ISBLANK(JP!P368),"","x")</f>
        <v/>
      </c>
      <c r="R364" t="str">
        <f>IF(ISBLANK(JP!Q368),"","x")</f>
        <v/>
      </c>
      <c r="S364" t="str">
        <f>IF(ISBLANK(JP!R368),"","x")</f>
        <v/>
      </c>
      <c r="T364" t="str">
        <f>IF(ISBLANK(JP!T368),"","x")</f>
        <v/>
      </c>
      <c r="U364" t="str">
        <f>IF(ISBLANK(JP!U368),"","x")</f>
        <v/>
      </c>
      <c r="V364" t="str">
        <f>IF(ISBLANK(JP!V368),"","x")</f>
        <v/>
      </c>
      <c r="W364" t="str">
        <f>IF(ISBLANK(JP!W368),"","x")</f>
        <v/>
      </c>
      <c r="X364" t="str">
        <f>IF(ISBLANK(JP!X368),"","x")</f>
        <v/>
      </c>
      <c r="Y364" t="str">
        <f>IF(ISBLANK(JP!Y368),"","x")</f>
        <v/>
      </c>
      <c r="Z364" t="str">
        <f>IF(ISBLANK(JP!Z368),"","x")</f>
        <v/>
      </c>
      <c r="AA364" t="str">
        <f>IF(ISBLANK(JP!AB368),"","x")</f>
        <v/>
      </c>
      <c r="AB364" t="str">
        <f>IF(ISBLANK(JP!AC368),"","x")</f>
        <v/>
      </c>
      <c r="AC364" t="str">
        <f>IF(ISBLANK(JP!AD368),"","x")</f>
        <v/>
      </c>
      <c r="AD364" t="str">
        <f>IF(ISBLANK(JP!AE368),"","x")</f>
        <v/>
      </c>
      <c r="AE364" t="str">
        <f>IF(ISBLANK(JP!AF368),"","x")</f>
        <v/>
      </c>
      <c r="AF364" t="str">
        <f>IF(ISBLANK(JP!AG368),"","x")</f>
        <v/>
      </c>
      <c r="AG364" t="str">
        <f>IF(ISBLANK(JP!AH368),"","x")</f>
        <v/>
      </c>
      <c r="AH364" t="str">
        <f>IF(ISBLANK(JP!AJ368),"","x")</f>
        <v/>
      </c>
      <c r="AI364" t="str">
        <f>IF(ISBLANK(JP!AK368),"","x")</f>
        <v/>
      </c>
      <c r="AJ364" t="str">
        <f>IF(ISBLANK(JP!AL368),"","x")</f>
        <v/>
      </c>
      <c r="AK364" t="str">
        <f>IF(ISBLANK(JP!AM368),"","x")</f>
        <v/>
      </c>
      <c r="AL364" t="str">
        <f>IF(ISBLANK(JP!AN368),"","x")</f>
        <v/>
      </c>
      <c r="AM364" t="str">
        <f>IF(ISBLANK(JP!AO368),"","x")</f>
        <v/>
      </c>
      <c r="AN364" t="str">
        <f>IF(ISBLANK(JP!AP368),"","x")</f>
        <v/>
      </c>
      <c r="AO364" t="str">
        <f>IF(ISBLANK(JP!AR368),"","x")</f>
        <v/>
      </c>
      <c r="AP364" t="str">
        <f>IF(ISBLANK(JP!AS368),"","x")</f>
        <v/>
      </c>
      <c r="AQ364" t="str">
        <f>IF(ISBLANK(JP!AT368),"","x")</f>
        <v/>
      </c>
      <c r="AR364" t="str">
        <f>IF(ISBLANK(JP!AU368),"","x")</f>
        <v/>
      </c>
      <c r="AS364" t="str">
        <f>IF(ISBLANK(JP!AV368),"","x")</f>
        <v/>
      </c>
      <c r="AT364" t="str">
        <f>IF(ISBLANK(JP!AW368),"","x")</f>
        <v/>
      </c>
      <c r="AU364" t="str">
        <f>IF(ISBLANK(JP!AX368),"","x")</f>
        <v/>
      </c>
    </row>
    <row r="365" spans="2:47">
      <c r="B365" t="str">
        <f>IF(ISBLANK(JP!AZ369),"",JP!AZ369)</f>
        <v/>
      </c>
      <c r="C365" t="str">
        <f>IF(ISBLANK(JP!BA369),"",JP!BA369)</f>
        <v/>
      </c>
      <c r="D365" t="str">
        <f>IF(ISBLANK(JP!BC369),"",JP!BC369)</f>
        <v/>
      </c>
      <c r="E365" t="str">
        <f>IF(ISBLANK(JP!BB369),"",JP!BB369)</f>
        <v/>
      </c>
      <c r="F365" t="str">
        <f>IF(ISBLANK(JP!D369),"","x")</f>
        <v/>
      </c>
      <c r="G365" t="str">
        <f>IF(ISBLANK(JP!E369),"","x")</f>
        <v/>
      </c>
      <c r="H365" t="str">
        <f>IF(ISBLANK(JP!F369),"","x")</f>
        <v/>
      </c>
      <c r="I365" t="str">
        <f>IF(ISBLANK(JP!G369),"","x")</f>
        <v/>
      </c>
      <c r="J365" t="str">
        <f>IF(ISBLANK(JP!H369),"","x")</f>
        <v/>
      </c>
      <c r="K365" t="str">
        <f>IF(ISBLANK(JP!I369),"","x")</f>
        <v/>
      </c>
      <c r="L365" t="str">
        <f>IF(ISBLANK(JP!J369),"","x")</f>
        <v/>
      </c>
      <c r="M365" t="str">
        <f>IF(ISBLANK(JP!L369),"","x")</f>
        <v/>
      </c>
      <c r="N365" t="str">
        <f>IF(ISBLANK(JP!M369),"","x")</f>
        <v/>
      </c>
      <c r="O365" t="str">
        <f>IF(ISBLANK(JP!N369),"","x")</f>
        <v/>
      </c>
      <c r="P365" t="str">
        <f>IF(ISBLANK(JP!O369),"","x")</f>
        <v/>
      </c>
      <c r="Q365" t="str">
        <f>IF(ISBLANK(JP!P369),"","x")</f>
        <v/>
      </c>
      <c r="R365" t="str">
        <f>IF(ISBLANK(JP!Q369),"","x")</f>
        <v/>
      </c>
      <c r="S365" t="str">
        <f>IF(ISBLANK(JP!R369),"","x")</f>
        <v/>
      </c>
      <c r="T365" t="str">
        <f>IF(ISBLANK(JP!T369),"","x")</f>
        <v/>
      </c>
      <c r="U365" t="str">
        <f>IF(ISBLANK(JP!U369),"","x")</f>
        <v/>
      </c>
      <c r="V365" t="str">
        <f>IF(ISBLANK(JP!V369),"","x")</f>
        <v/>
      </c>
      <c r="W365" t="str">
        <f>IF(ISBLANK(JP!W369),"","x")</f>
        <v/>
      </c>
      <c r="X365" t="str">
        <f>IF(ISBLANK(JP!X369),"","x")</f>
        <v/>
      </c>
      <c r="Y365" t="str">
        <f>IF(ISBLANK(JP!Y369),"","x")</f>
        <v/>
      </c>
      <c r="Z365" t="str">
        <f>IF(ISBLANK(JP!Z369),"","x")</f>
        <v/>
      </c>
      <c r="AA365" t="str">
        <f>IF(ISBLANK(JP!AB369),"","x")</f>
        <v/>
      </c>
      <c r="AB365" t="str">
        <f>IF(ISBLANK(JP!AC369),"","x")</f>
        <v/>
      </c>
      <c r="AC365" t="str">
        <f>IF(ISBLANK(JP!AD369),"","x")</f>
        <v/>
      </c>
      <c r="AD365" t="str">
        <f>IF(ISBLANK(JP!AE369),"","x")</f>
        <v/>
      </c>
      <c r="AE365" t="str">
        <f>IF(ISBLANK(JP!AF369),"","x")</f>
        <v/>
      </c>
      <c r="AF365" t="str">
        <f>IF(ISBLANK(JP!AG369),"","x")</f>
        <v/>
      </c>
      <c r="AG365" t="str">
        <f>IF(ISBLANK(JP!AH369),"","x")</f>
        <v/>
      </c>
      <c r="AH365" t="str">
        <f>IF(ISBLANK(JP!AJ369),"","x")</f>
        <v/>
      </c>
      <c r="AI365" t="str">
        <f>IF(ISBLANK(JP!AK369),"","x")</f>
        <v/>
      </c>
      <c r="AJ365" t="str">
        <f>IF(ISBLANK(JP!AL369),"","x")</f>
        <v/>
      </c>
      <c r="AK365" t="str">
        <f>IF(ISBLANK(JP!AM369),"","x")</f>
        <v/>
      </c>
      <c r="AL365" t="str">
        <f>IF(ISBLANK(JP!AN369),"","x")</f>
        <v/>
      </c>
      <c r="AM365" t="str">
        <f>IF(ISBLANK(JP!AO369),"","x")</f>
        <v/>
      </c>
      <c r="AN365" t="str">
        <f>IF(ISBLANK(JP!AP369),"","x")</f>
        <v/>
      </c>
      <c r="AO365" t="str">
        <f>IF(ISBLANK(JP!AR369),"","x")</f>
        <v/>
      </c>
      <c r="AP365" t="str">
        <f>IF(ISBLANK(JP!AS369),"","x")</f>
        <v/>
      </c>
      <c r="AQ365" t="str">
        <f>IF(ISBLANK(JP!AT369),"","x")</f>
        <v/>
      </c>
      <c r="AR365" t="str">
        <f>IF(ISBLANK(JP!AU369),"","x")</f>
        <v/>
      </c>
      <c r="AS365" t="str">
        <f>IF(ISBLANK(JP!AV369),"","x")</f>
        <v/>
      </c>
      <c r="AT365" t="str">
        <f>IF(ISBLANK(JP!AW369),"","x")</f>
        <v/>
      </c>
      <c r="AU365" t="str">
        <f>IF(ISBLANK(JP!AX369),"","x")</f>
        <v/>
      </c>
    </row>
    <row r="366" spans="2:47">
      <c r="B366" t="str">
        <f>IF(ISBLANK(JP!AZ370),"",JP!AZ370)</f>
        <v/>
      </c>
      <c r="C366" t="str">
        <f>IF(ISBLANK(JP!BA370),"",JP!BA370)</f>
        <v/>
      </c>
      <c r="D366" t="str">
        <f>IF(ISBLANK(JP!BC370),"",JP!BC370)</f>
        <v/>
      </c>
      <c r="E366" t="str">
        <f>IF(ISBLANK(JP!BB370),"",JP!BB370)</f>
        <v/>
      </c>
      <c r="F366" t="str">
        <f>IF(ISBLANK(JP!D370),"","x")</f>
        <v/>
      </c>
      <c r="G366" t="str">
        <f>IF(ISBLANK(JP!E370),"","x")</f>
        <v/>
      </c>
      <c r="H366" t="str">
        <f>IF(ISBLANK(JP!F370),"","x")</f>
        <v/>
      </c>
      <c r="I366" t="str">
        <f>IF(ISBLANK(JP!G370),"","x")</f>
        <v/>
      </c>
      <c r="J366" t="str">
        <f>IF(ISBLANK(JP!H370),"","x")</f>
        <v/>
      </c>
      <c r="K366" t="str">
        <f>IF(ISBLANK(JP!I370),"","x")</f>
        <v/>
      </c>
      <c r="L366" t="str">
        <f>IF(ISBLANK(JP!J370),"","x")</f>
        <v/>
      </c>
      <c r="M366" t="str">
        <f>IF(ISBLANK(JP!L370),"","x")</f>
        <v/>
      </c>
      <c r="N366" t="str">
        <f>IF(ISBLANK(JP!M370),"","x")</f>
        <v/>
      </c>
      <c r="O366" t="str">
        <f>IF(ISBLANK(JP!N370),"","x")</f>
        <v/>
      </c>
      <c r="P366" t="str">
        <f>IF(ISBLANK(JP!O370),"","x")</f>
        <v/>
      </c>
      <c r="Q366" t="str">
        <f>IF(ISBLANK(JP!P370),"","x")</f>
        <v/>
      </c>
      <c r="R366" t="str">
        <f>IF(ISBLANK(JP!Q370),"","x")</f>
        <v/>
      </c>
      <c r="S366" t="str">
        <f>IF(ISBLANK(JP!R370),"","x")</f>
        <v/>
      </c>
      <c r="T366" t="str">
        <f>IF(ISBLANK(JP!T370),"","x")</f>
        <v/>
      </c>
      <c r="U366" t="str">
        <f>IF(ISBLANK(JP!U370),"","x")</f>
        <v/>
      </c>
      <c r="V366" t="str">
        <f>IF(ISBLANK(JP!V370),"","x")</f>
        <v/>
      </c>
      <c r="W366" t="str">
        <f>IF(ISBLANK(JP!W370),"","x")</f>
        <v/>
      </c>
      <c r="X366" t="str">
        <f>IF(ISBLANK(JP!X370),"","x")</f>
        <v/>
      </c>
      <c r="Y366" t="str">
        <f>IF(ISBLANK(JP!Y370),"","x")</f>
        <v/>
      </c>
      <c r="Z366" t="str">
        <f>IF(ISBLANK(JP!Z370),"","x")</f>
        <v/>
      </c>
      <c r="AA366" t="str">
        <f>IF(ISBLANK(JP!AB370),"","x")</f>
        <v/>
      </c>
      <c r="AB366" t="str">
        <f>IF(ISBLANK(JP!AC370),"","x")</f>
        <v/>
      </c>
      <c r="AC366" t="str">
        <f>IF(ISBLANK(JP!AD370),"","x")</f>
        <v/>
      </c>
      <c r="AD366" t="str">
        <f>IF(ISBLANK(JP!AE370),"","x")</f>
        <v/>
      </c>
      <c r="AE366" t="str">
        <f>IF(ISBLANK(JP!AF370),"","x")</f>
        <v/>
      </c>
      <c r="AF366" t="str">
        <f>IF(ISBLANK(JP!AG370),"","x")</f>
        <v/>
      </c>
      <c r="AG366" t="str">
        <f>IF(ISBLANK(JP!AH370),"","x")</f>
        <v/>
      </c>
      <c r="AH366" t="str">
        <f>IF(ISBLANK(JP!AJ370),"","x")</f>
        <v/>
      </c>
      <c r="AI366" t="str">
        <f>IF(ISBLANK(JP!AK370),"","x")</f>
        <v/>
      </c>
      <c r="AJ366" t="str">
        <f>IF(ISBLANK(JP!AL370),"","x")</f>
        <v/>
      </c>
      <c r="AK366" t="str">
        <f>IF(ISBLANK(JP!AM370),"","x")</f>
        <v/>
      </c>
      <c r="AL366" t="str">
        <f>IF(ISBLANK(JP!AN370),"","x")</f>
        <v/>
      </c>
      <c r="AM366" t="str">
        <f>IF(ISBLANK(JP!AO370),"","x")</f>
        <v/>
      </c>
      <c r="AN366" t="str">
        <f>IF(ISBLANK(JP!AP370),"","x")</f>
        <v/>
      </c>
      <c r="AO366" t="str">
        <f>IF(ISBLANK(JP!AR370),"","x")</f>
        <v/>
      </c>
      <c r="AP366" t="str">
        <f>IF(ISBLANK(JP!AS370),"","x")</f>
        <v/>
      </c>
      <c r="AQ366" t="str">
        <f>IF(ISBLANK(JP!AT370),"","x")</f>
        <v/>
      </c>
      <c r="AR366" t="str">
        <f>IF(ISBLANK(JP!AU370),"","x")</f>
        <v/>
      </c>
      <c r="AS366" t="str">
        <f>IF(ISBLANK(JP!AV370),"","x")</f>
        <v/>
      </c>
      <c r="AT366" t="str">
        <f>IF(ISBLANK(JP!AW370),"","x")</f>
        <v/>
      </c>
      <c r="AU366" t="str">
        <f>IF(ISBLANK(JP!AX370),"","x")</f>
        <v/>
      </c>
    </row>
    <row r="367" spans="2:47">
      <c r="B367" t="str">
        <f>IF(ISBLANK(JP!AZ371),"",JP!AZ371)</f>
        <v/>
      </c>
      <c r="C367" t="str">
        <f>IF(ISBLANK(JP!BA371),"",JP!BA371)</f>
        <v/>
      </c>
      <c r="D367" t="str">
        <f>IF(ISBLANK(JP!BC371),"",JP!BC371)</f>
        <v/>
      </c>
      <c r="E367" t="str">
        <f>IF(ISBLANK(JP!BB371),"",JP!BB371)</f>
        <v/>
      </c>
      <c r="F367" t="str">
        <f>IF(ISBLANK(JP!D371),"","x")</f>
        <v/>
      </c>
      <c r="G367" t="str">
        <f>IF(ISBLANK(JP!E371),"","x")</f>
        <v/>
      </c>
      <c r="H367" t="str">
        <f>IF(ISBLANK(JP!F371),"","x")</f>
        <v/>
      </c>
      <c r="I367" t="str">
        <f>IF(ISBLANK(JP!G371),"","x")</f>
        <v/>
      </c>
      <c r="J367" t="str">
        <f>IF(ISBLANK(JP!H371),"","x")</f>
        <v/>
      </c>
      <c r="K367" t="str">
        <f>IF(ISBLANK(JP!I371),"","x")</f>
        <v/>
      </c>
      <c r="L367" t="str">
        <f>IF(ISBLANK(JP!J371),"","x")</f>
        <v/>
      </c>
      <c r="M367" t="str">
        <f>IF(ISBLANK(JP!L371),"","x")</f>
        <v/>
      </c>
      <c r="N367" t="str">
        <f>IF(ISBLANK(JP!M371),"","x")</f>
        <v/>
      </c>
      <c r="O367" t="str">
        <f>IF(ISBLANK(JP!N371),"","x")</f>
        <v/>
      </c>
      <c r="P367" t="str">
        <f>IF(ISBLANK(JP!O371),"","x")</f>
        <v/>
      </c>
      <c r="Q367" t="str">
        <f>IF(ISBLANK(JP!P371),"","x")</f>
        <v/>
      </c>
      <c r="R367" t="str">
        <f>IF(ISBLANK(JP!Q371),"","x")</f>
        <v/>
      </c>
      <c r="S367" t="str">
        <f>IF(ISBLANK(JP!R371),"","x")</f>
        <v/>
      </c>
      <c r="T367" t="str">
        <f>IF(ISBLANK(JP!T371),"","x")</f>
        <v/>
      </c>
      <c r="U367" t="str">
        <f>IF(ISBLANK(JP!U371),"","x")</f>
        <v/>
      </c>
      <c r="V367" t="str">
        <f>IF(ISBLANK(JP!V371),"","x")</f>
        <v/>
      </c>
      <c r="W367" t="str">
        <f>IF(ISBLANK(JP!W371),"","x")</f>
        <v/>
      </c>
      <c r="X367" t="str">
        <f>IF(ISBLANK(JP!X371),"","x")</f>
        <v/>
      </c>
      <c r="Y367" t="str">
        <f>IF(ISBLANK(JP!Y371),"","x")</f>
        <v/>
      </c>
      <c r="Z367" t="str">
        <f>IF(ISBLANK(JP!Z371),"","x")</f>
        <v/>
      </c>
      <c r="AA367" t="str">
        <f>IF(ISBLANK(JP!AB371),"","x")</f>
        <v/>
      </c>
      <c r="AB367" t="str">
        <f>IF(ISBLANK(JP!AC371),"","x")</f>
        <v/>
      </c>
      <c r="AC367" t="str">
        <f>IF(ISBLANK(JP!AD371),"","x")</f>
        <v/>
      </c>
      <c r="AD367" t="str">
        <f>IF(ISBLANK(JP!AE371),"","x")</f>
        <v/>
      </c>
      <c r="AE367" t="str">
        <f>IF(ISBLANK(JP!AF371),"","x")</f>
        <v/>
      </c>
      <c r="AF367" t="str">
        <f>IF(ISBLANK(JP!AG371),"","x")</f>
        <v/>
      </c>
      <c r="AG367" t="str">
        <f>IF(ISBLANK(JP!AH371),"","x")</f>
        <v/>
      </c>
      <c r="AH367" t="str">
        <f>IF(ISBLANK(JP!AJ371),"","x")</f>
        <v/>
      </c>
      <c r="AI367" t="str">
        <f>IF(ISBLANK(JP!AK371),"","x")</f>
        <v/>
      </c>
      <c r="AJ367" t="str">
        <f>IF(ISBLANK(JP!AL371),"","x")</f>
        <v/>
      </c>
      <c r="AK367" t="str">
        <f>IF(ISBLANK(JP!AM371),"","x")</f>
        <v/>
      </c>
      <c r="AL367" t="str">
        <f>IF(ISBLANK(JP!AN371),"","x")</f>
        <v/>
      </c>
      <c r="AM367" t="str">
        <f>IF(ISBLANK(JP!AO371),"","x")</f>
        <v/>
      </c>
      <c r="AN367" t="str">
        <f>IF(ISBLANK(JP!AP371),"","x")</f>
        <v/>
      </c>
      <c r="AO367" t="str">
        <f>IF(ISBLANK(JP!AR371),"","x")</f>
        <v/>
      </c>
      <c r="AP367" t="str">
        <f>IF(ISBLANK(JP!AS371),"","x")</f>
        <v/>
      </c>
      <c r="AQ367" t="str">
        <f>IF(ISBLANK(JP!AT371),"","x")</f>
        <v/>
      </c>
      <c r="AR367" t="str">
        <f>IF(ISBLANK(JP!AU371),"","x")</f>
        <v/>
      </c>
      <c r="AS367" t="str">
        <f>IF(ISBLANK(JP!AV371),"","x")</f>
        <v/>
      </c>
      <c r="AT367" t="str">
        <f>IF(ISBLANK(JP!AW371),"","x")</f>
        <v/>
      </c>
      <c r="AU367" t="str">
        <f>IF(ISBLANK(JP!AX371),"","x")</f>
        <v/>
      </c>
    </row>
    <row r="368" spans="2:47">
      <c r="B368" t="str">
        <f>IF(ISBLANK(JP!AZ372),"",JP!AZ372)</f>
        <v/>
      </c>
      <c r="C368" t="str">
        <f>IF(ISBLANK(JP!BA372),"",JP!BA372)</f>
        <v/>
      </c>
      <c r="D368" t="str">
        <f>IF(ISBLANK(JP!BC372),"",JP!BC372)</f>
        <v/>
      </c>
      <c r="E368" t="str">
        <f>IF(ISBLANK(JP!BB372),"",JP!BB372)</f>
        <v/>
      </c>
      <c r="F368" t="str">
        <f>IF(ISBLANK(JP!D372),"","x")</f>
        <v/>
      </c>
      <c r="G368" t="str">
        <f>IF(ISBLANK(JP!E372),"","x")</f>
        <v/>
      </c>
      <c r="H368" t="str">
        <f>IF(ISBLANK(JP!F372),"","x")</f>
        <v/>
      </c>
      <c r="I368" t="str">
        <f>IF(ISBLANK(JP!G372),"","x")</f>
        <v/>
      </c>
      <c r="J368" t="str">
        <f>IF(ISBLANK(JP!H372),"","x")</f>
        <v/>
      </c>
      <c r="K368" t="str">
        <f>IF(ISBLANK(JP!I372),"","x")</f>
        <v/>
      </c>
      <c r="L368" t="str">
        <f>IF(ISBLANK(JP!J372),"","x")</f>
        <v/>
      </c>
      <c r="M368" t="str">
        <f>IF(ISBLANK(JP!L372),"","x")</f>
        <v/>
      </c>
      <c r="N368" t="str">
        <f>IF(ISBLANK(JP!M372),"","x")</f>
        <v/>
      </c>
      <c r="O368" t="str">
        <f>IF(ISBLANK(JP!N372),"","x")</f>
        <v/>
      </c>
      <c r="P368" t="str">
        <f>IF(ISBLANK(JP!O372),"","x")</f>
        <v/>
      </c>
      <c r="Q368" t="str">
        <f>IF(ISBLANK(JP!P372),"","x")</f>
        <v/>
      </c>
      <c r="R368" t="str">
        <f>IF(ISBLANK(JP!Q372),"","x")</f>
        <v/>
      </c>
      <c r="S368" t="str">
        <f>IF(ISBLANK(JP!R372),"","x")</f>
        <v/>
      </c>
      <c r="T368" t="str">
        <f>IF(ISBLANK(JP!T372),"","x")</f>
        <v/>
      </c>
      <c r="U368" t="str">
        <f>IF(ISBLANK(JP!U372),"","x")</f>
        <v/>
      </c>
      <c r="V368" t="str">
        <f>IF(ISBLANK(JP!V372),"","x")</f>
        <v/>
      </c>
      <c r="W368" t="str">
        <f>IF(ISBLANK(JP!W372),"","x")</f>
        <v/>
      </c>
      <c r="X368" t="str">
        <f>IF(ISBLANK(JP!X372),"","x")</f>
        <v/>
      </c>
      <c r="Y368" t="str">
        <f>IF(ISBLANK(JP!Y372),"","x")</f>
        <v/>
      </c>
      <c r="Z368" t="str">
        <f>IF(ISBLANK(JP!Z372),"","x")</f>
        <v/>
      </c>
      <c r="AA368" t="str">
        <f>IF(ISBLANK(JP!AB372),"","x")</f>
        <v/>
      </c>
      <c r="AB368" t="str">
        <f>IF(ISBLANK(JP!AC372),"","x")</f>
        <v/>
      </c>
      <c r="AC368" t="str">
        <f>IF(ISBLANK(JP!AD372),"","x")</f>
        <v/>
      </c>
      <c r="AD368" t="str">
        <f>IF(ISBLANK(JP!AE372),"","x")</f>
        <v/>
      </c>
      <c r="AE368" t="str">
        <f>IF(ISBLANK(JP!AF372),"","x")</f>
        <v/>
      </c>
      <c r="AF368" t="str">
        <f>IF(ISBLANK(JP!AG372),"","x")</f>
        <v/>
      </c>
      <c r="AG368" t="str">
        <f>IF(ISBLANK(JP!AH372),"","x")</f>
        <v/>
      </c>
      <c r="AH368" t="str">
        <f>IF(ISBLANK(JP!AJ372),"","x")</f>
        <v/>
      </c>
      <c r="AI368" t="str">
        <f>IF(ISBLANK(JP!AK372),"","x")</f>
        <v/>
      </c>
      <c r="AJ368" t="str">
        <f>IF(ISBLANK(JP!AL372),"","x")</f>
        <v/>
      </c>
      <c r="AK368" t="str">
        <f>IF(ISBLANK(JP!AM372),"","x")</f>
        <v/>
      </c>
      <c r="AL368" t="str">
        <f>IF(ISBLANK(JP!AN372),"","x")</f>
        <v/>
      </c>
      <c r="AM368" t="str">
        <f>IF(ISBLANK(JP!AO372),"","x")</f>
        <v/>
      </c>
      <c r="AN368" t="str">
        <f>IF(ISBLANK(JP!AP372),"","x")</f>
        <v/>
      </c>
      <c r="AO368" t="str">
        <f>IF(ISBLANK(JP!AR372),"","x")</f>
        <v/>
      </c>
      <c r="AP368" t="str">
        <f>IF(ISBLANK(JP!AS372),"","x")</f>
        <v/>
      </c>
      <c r="AQ368" t="str">
        <f>IF(ISBLANK(JP!AT372),"","x")</f>
        <v/>
      </c>
      <c r="AR368" t="str">
        <f>IF(ISBLANK(JP!AU372),"","x")</f>
        <v/>
      </c>
      <c r="AS368" t="str">
        <f>IF(ISBLANK(JP!AV372),"","x")</f>
        <v/>
      </c>
      <c r="AT368" t="str">
        <f>IF(ISBLANK(JP!AW372),"","x")</f>
        <v/>
      </c>
      <c r="AU368" t="str">
        <f>IF(ISBLANK(JP!AX372),"","x")</f>
        <v/>
      </c>
    </row>
    <row r="369" spans="2:47">
      <c r="B369" t="str">
        <f>IF(ISBLANK(JP!AZ373),"",JP!AZ373)</f>
        <v/>
      </c>
      <c r="C369" t="str">
        <f>IF(ISBLANK(JP!BA373),"",JP!BA373)</f>
        <v/>
      </c>
      <c r="D369" t="str">
        <f>IF(ISBLANK(JP!BC373),"",JP!BC373)</f>
        <v/>
      </c>
      <c r="E369" t="str">
        <f>IF(ISBLANK(JP!BB373),"",JP!BB373)</f>
        <v/>
      </c>
      <c r="F369" t="str">
        <f>IF(ISBLANK(JP!D373),"","x")</f>
        <v/>
      </c>
      <c r="G369" t="str">
        <f>IF(ISBLANK(JP!E373),"","x")</f>
        <v/>
      </c>
      <c r="H369" t="str">
        <f>IF(ISBLANK(JP!F373),"","x")</f>
        <v/>
      </c>
      <c r="I369" t="str">
        <f>IF(ISBLANK(JP!G373),"","x")</f>
        <v/>
      </c>
      <c r="J369" t="str">
        <f>IF(ISBLANK(JP!H373),"","x")</f>
        <v/>
      </c>
      <c r="K369" t="str">
        <f>IF(ISBLANK(JP!I373),"","x")</f>
        <v/>
      </c>
      <c r="L369" t="str">
        <f>IF(ISBLANK(JP!J373),"","x")</f>
        <v/>
      </c>
      <c r="M369" t="str">
        <f>IF(ISBLANK(JP!L373),"","x")</f>
        <v/>
      </c>
      <c r="N369" t="str">
        <f>IF(ISBLANK(JP!M373),"","x")</f>
        <v/>
      </c>
      <c r="O369" t="str">
        <f>IF(ISBLANK(JP!N373),"","x")</f>
        <v/>
      </c>
      <c r="P369" t="str">
        <f>IF(ISBLANK(JP!O373),"","x")</f>
        <v/>
      </c>
      <c r="Q369" t="str">
        <f>IF(ISBLANK(JP!P373),"","x")</f>
        <v/>
      </c>
      <c r="R369" t="str">
        <f>IF(ISBLANK(JP!Q373),"","x")</f>
        <v/>
      </c>
      <c r="S369" t="str">
        <f>IF(ISBLANK(JP!R373),"","x")</f>
        <v/>
      </c>
      <c r="T369" t="str">
        <f>IF(ISBLANK(JP!T373),"","x")</f>
        <v/>
      </c>
      <c r="U369" t="str">
        <f>IF(ISBLANK(JP!U373),"","x")</f>
        <v/>
      </c>
      <c r="V369" t="str">
        <f>IF(ISBLANK(JP!V373),"","x")</f>
        <v/>
      </c>
      <c r="W369" t="str">
        <f>IF(ISBLANK(JP!W373),"","x")</f>
        <v/>
      </c>
      <c r="X369" t="str">
        <f>IF(ISBLANK(JP!X373),"","x")</f>
        <v/>
      </c>
      <c r="Y369" t="str">
        <f>IF(ISBLANK(JP!Y373),"","x")</f>
        <v/>
      </c>
      <c r="Z369" t="str">
        <f>IF(ISBLANK(JP!Z373),"","x")</f>
        <v/>
      </c>
      <c r="AA369" t="str">
        <f>IF(ISBLANK(JP!AB373),"","x")</f>
        <v/>
      </c>
      <c r="AB369" t="str">
        <f>IF(ISBLANK(JP!AC373),"","x")</f>
        <v/>
      </c>
      <c r="AC369" t="str">
        <f>IF(ISBLANK(JP!AD373),"","x")</f>
        <v/>
      </c>
      <c r="AD369" t="str">
        <f>IF(ISBLANK(JP!AE373),"","x")</f>
        <v/>
      </c>
      <c r="AE369" t="str">
        <f>IF(ISBLANK(JP!AF373),"","x")</f>
        <v/>
      </c>
      <c r="AF369" t="str">
        <f>IF(ISBLANK(JP!AG373),"","x")</f>
        <v/>
      </c>
      <c r="AG369" t="str">
        <f>IF(ISBLANK(JP!AH373),"","x")</f>
        <v/>
      </c>
      <c r="AH369" t="str">
        <f>IF(ISBLANK(JP!AJ373),"","x")</f>
        <v/>
      </c>
      <c r="AI369" t="str">
        <f>IF(ISBLANK(JP!AK373),"","x")</f>
        <v/>
      </c>
      <c r="AJ369" t="str">
        <f>IF(ISBLANK(JP!AL373),"","x")</f>
        <v/>
      </c>
      <c r="AK369" t="str">
        <f>IF(ISBLANK(JP!AM373),"","x")</f>
        <v/>
      </c>
      <c r="AL369" t="str">
        <f>IF(ISBLANK(JP!AN373),"","x")</f>
        <v/>
      </c>
      <c r="AM369" t="str">
        <f>IF(ISBLANK(JP!AO373),"","x")</f>
        <v/>
      </c>
      <c r="AN369" t="str">
        <f>IF(ISBLANK(JP!AP373),"","x")</f>
        <v/>
      </c>
      <c r="AO369" t="str">
        <f>IF(ISBLANK(JP!AR373),"","x")</f>
        <v/>
      </c>
      <c r="AP369" t="str">
        <f>IF(ISBLANK(JP!AS373),"","x")</f>
        <v/>
      </c>
      <c r="AQ369" t="str">
        <f>IF(ISBLANK(JP!AT373),"","x")</f>
        <v/>
      </c>
      <c r="AR369" t="str">
        <f>IF(ISBLANK(JP!AU373),"","x")</f>
        <v/>
      </c>
      <c r="AS369" t="str">
        <f>IF(ISBLANK(JP!AV373),"","x")</f>
        <v/>
      </c>
      <c r="AT369" t="str">
        <f>IF(ISBLANK(JP!AW373),"","x")</f>
        <v/>
      </c>
      <c r="AU369" t="str">
        <f>IF(ISBLANK(JP!AX373),"","x")</f>
        <v/>
      </c>
    </row>
    <row r="370" spans="2:47">
      <c r="B370" t="str">
        <f>IF(ISBLANK(JP!AZ374),"",JP!AZ374)</f>
        <v/>
      </c>
      <c r="C370" t="str">
        <f>IF(ISBLANK(JP!BA374),"",JP!BA374)</f>
        <v/>
      </c>
      <c r="D370" t="str">
        <f>IF(ISBLANK(JP!BC374),"",JP!BC374)</f>
        <v/>
      </c>
      <c r="E370" t="str">
        <f>IF(ISBLANK(JP!BB374),"",JP!BB374)</f>
        <v/>
      </c>
      <c r="F370" t="str">
        <f>IF(ISBLANK(JP!D374),"","x")</f>
        <v/>
      </c>
      <c r="G370" t="str">
        <f>IF(ISBLANK(JP!E374),"","x")</f>
        <v/>
      </c>
      <c r="H370" t="str">
        <f>IF(ISBLANK(JP!F374),"","x")</f>
        <v/>
      </c>
      <c r="I370" t="str">
        <f>IF(ISBLANK(JP!G374),"","x")</f>
        <v/>
      </c>
      <c r="J370" t="str">
        <f>IF(ISBLANK(JP!H374),"","x")</f>
        <v/>
      </c>
      <c r="K370" t="str">
        <f>IF(ISBLANK(JP!I374),"","x")</f>
        <v/>
      </c>
      <c r="L370" t="str">
        <f>IF(ISBLANK(JP!J374),"","x")</f>
        <v/>
      </c>
      <c r="M370" t="str">
        <f>IF(ISBLANK(JP!L374),"","x")</f>
        <v/>
      </c>
      <c r="N370" t="str">
        <f>IF(ISBLANK(JP!M374),"","x")</f>
        <v/>
      </c>
      <c r="O370" t="str">
        <f>IF(ISBLANK(JP!N374),"","x")</f>
        <v/>
      </c>
      <c r="P370" t="str">
        <f>IF(ISBLANK(JP!O374),"","x")</f>
        <v/>
      </c>
      <c r="Q370" t="str">
        <f>IF(ISBLANK(JP!P374),"","x")</f>
        <v/>
      </c>
      <c r="R370" t="str">
        <f>IF(ISBLANK(JP!Q374),"","x")</f>
        <v/>
      </c>
      <c r="S370" t="str">
        <f>IF(ISBLANK(JP!R374),"","x")</f>
        <v/>
      </c>
      <c r="T370" t="str">
        <f>IF(ISBLANK(JP!T374),"","x")</f>
        <v/>
      </c>
      <c r="U370" t="str">
        <f>IF(ISBLANK(JP!U374),"","x")</f>
        <v/>
      </c>
      <c r="V370" t="str">
        <f>IF(ISBLANK(JP!V374),"","x")</f>
        <v/>
      </c>
      <c r="W370" t="str">
        <f>IF(ISBLANK(JP!W374),"","x")</f>
        <v/>
      </c>
      <c r="X370" t="str">
        <f>IF(ISBLANK(JP!X374),"","x")</f>
        <v/>
      </c>
      <c r="Y370" t="str">
        <f>IF(ISBLANK(JP!Y374),"","x")</f>
        <v/>
      </c>
      <c r="Z370" t="str">
        <f>IF(ISBLANK(JP!Z374),"","x")</f>
        <v/>
      </c>
      <c r="AA370" t="str">
        <f>IF(ISBLANK(JP!AB374),"","x")</f>
        <v/>
      </c>
      <c r="AB370" t="str">
        <f>IF(ISBLANK(JP!AC374),"","x")</f>
        <v/>
      </c>
      <c r="AC370" t="str">
        <f>IF(ISBLANK(JP!AD374),"","x")</f>
        <v/>
      </c>
      <c r="AD370" t="str">
        <f>IF(ISBLANK(JP!AE374),"","x")</f>
        <v/>
      </c>
      <c r="AE370" t="str">
        <f>IF(ISBLANK(JP!AF374),"","x")</f>
        <v/>
      </c>
      <c r="AF370" t="str">
        <f>IF(ISBLANK(JP!AG374),"","x")</f>
        <v/>
      </c>
      <c r="AG370" t="str">
        <f>IF(ISBLANK(JP!AH374),"","x")</f>
        <v/>
      </c>
      <c r="AH370" t="str">
        <f>IF(ISBLANK(JP!AJ374),"","x")</f>
        <v/>
      </c>
      <c r="AI370" t="str">
        <f>IF(ISBLANK(JP!AK374),"","x")</f>
        <v/>
      </c>
      <c r="AJ370" t="str">
        <f>IF(ISBLANK(JP!AL374),"","x")</f>
        <v/>
      </c>
      <c r="AK370" t="str">
        <f>IF(ISBLANK(JP!AM374),"","x")</f>
        <v/>
      </c>
      <c r="AL370" t="str">
        <f>IF(ISBLANK(JP!AN374),"","x")</f>
        <v/>
      </c>
      <c r="AM370" t="str">
        <f>IF(ISBLANK(JP!AO374),"","x")</f>
        <v/>
      </c>
      <c r="AN370" t="str">
        <f>IF(ISBLANK(JP!AP374),"","x")</f>
        <v/>
      </c>
      <c r="AO370" t="str">
        <f>IF(ISBLANK(JP!AR374),"","x")</f>
        <v/>
      </c>
      <c r="AP370" t="str">
        <f>IF(ISBLANK(JP!AS374),"","x")</f>
        <v/>
      </c>
      <c r="AQ370" t="str">
        <f>IF(ISBLANK(JP!AT374),"","x")</f>
        <v/>
      </c>
      <c r="AR370" t="str">
        <f>IF(ISBLANK(JP!AU374),"","x")</f>
        <v/>
      </c>
      <c r="AS370" t="str">
        <f>IF(ISBLANK(JP!AV374),"","x")</f>
        <v/>
      </c>
      <c r="AT370" t="str">
        <f>IF(ISBLANK(JP!AW374),"","x")</f>
        <v/>
      </c>
      <c r="AU370" t="str">
        <f>IF(ISBLANK(JP!AX374),"","x")</f>
        <v/>
      </c>
    </row>
    <row r="371" spans="2:47">
      <c r="B371" t="str">
        <f>IF(ISBLANK(JP!AZ375),"",JP!AZ375)</f>
        <v/>
      </c>
      <c r="C371" t="str">
        <f>IF(ISBLANK(JP!BA375),"",JP!BA375)</f>
        <v/>
      </c>
      <c r="D371" t="str">
        <f>IF(ISBLANK(JP!BC375),"",JP!BC375)</f>
        <v/>
      </c>
      <c r="E371" t="str">
        <f>IF(ISBLANK(JP!BB375),"",JP!BB375)</f>
        <v/>
      </c>
      <c r="F371" t="str">
        <f>IF(ISBLANK(JP!D375),"","x")</f>
        <v/>
      </c>
      <c r="G371" t="str">
        <f>IF(ISBLANK(JP!E375),"","x")</f>
        <v/>
      </c>
      <c r="H371" t="str">
        <f>IF(ISBLANK(JP!F375),"","x")</f>
        <v/>
      </c>
      <c r="I371" t="str">
        <f>IF(ISBLANK(JP!G375),"","x")</f>
        <v/>
      </c>
      <c r="J371" t="str">
        <f>IF(ISBLANK(JP!H375),"","x")</f>
        <v/>
      </c>
      <c r="K371" t="str">
        <f>IF(ISBLANK(JP!I375),"","x")</f>
        <v/>
      </c>
      <c r="L371" t="str">
        <f>IF(ISBLANK(JP!J375),"","x")</f>
        <v/>
      </c>
      <c r="M371" t="str">
        <f>IF(ISBLANK(JP!L375),"","x")</f>
        <v/>
      </c>
      <c r="N371" t="str">
        <f>IF(ISBLANK(JP!M375),"","x")</f>
        <v/>
      </c>
      <c r="O371" t="str">
        <f>IF(ISBLANK(JP!N375),"","x")</f>
        <v/>
      </c>
      <c r="P371" t="str">
        <f>IF(ISBLANK(JP!O375),"","x")</f>
        <v/>
      </c>
      <c r="Q371" t="str">
        <f>IF(ISBLANK(JP!P375),"","x")</f>
        <v/>
      </c>
      <c r="R371" t="str">
        <f>IF(ISBLANK(JP!Q375),"","x")</f>
        <v/>
      </c>
      <c r="S371" t="str">
        <f>IF(ISBLANK(JP!R375),"","x")</f>
        <v/>
      </c>
      <c r="T371" t="str">
        <f>IF(ISBLANK(JP!T375),"","x")</f>
        <v/>
      </c>
      <c r="U371" t="str">
        <f>IF(ISBLANK(JP!U375),"","x")</f>
        <v/>
      </c>
      <c r="V371" t="str">
        <f>IF(ISBLANK(JP!V375),"","x")</f>
        <v/>
      </c>
      <c r="W371" t="str">
        <f>IF(ISBLANK(JP!W375),"","x")</f>
        <v/>
      </c>
      <c r="X371" t="str">
        <f>IF(ISBLANK(JP!X375),"","x")</f>
        <v/>
      </c>
      <c r="Y371" t="str">
        <f>IF(ISBLANK(JP!Y375),"","x")</f>
        <v/>
      </c>
      <c r="Z371" t="str">
        <f>IF(ISBLANK(JP!Z375),"","x")</f>
        <v/>
      </c>
      <c r="AA371" t="str">
        <f>IF(ISBLANK(JP!AB375),"","x")</f>
        <v/>
      </c>
      <c r="AB371" t="str">
        <f>IF(ISBLANK(JP!AC375),"","x")</f>
        <v/>
      </c>
      <c r="AC371" t="str">
        <f>IF(ISBLANK(JP!AD375),"","x")</f>
        <v/>
      </c>
      <c r="AD371" t="str">
        <f>IF(ISBLANK(JP!AE375),"","x")</f>
        <v/>
      </c>
      <c r="AE371" t="str">
        <f>IF(ISBLANK(JP!AF375),"","x")</f>
        <v/>
      </c>
      <c r="AF371" t="str">
        <f>IF(ISBLANK(JP!AG375),"","x")</f>
        <v/>
      </c>
      <c r="AG371" t="str">
        <f>IF(ISBLANK(JP!AH375),"","x")</f>
        <v/>
      </c>
      <c r="AH371" t="str">
        <f>IF(ISBLANK(JP!AJ375),"","x")</f>
        <v/>
      </c>
      <c r="AI371" t="str">
        <f>IF(ISBLANK(JP!AK375),"","x")</f>
        <v/>
      </c>
      <c r="AJ371" t="str">
        <f>IF(ISBLANK(JP!AL375),"","x")</f>
        <v/>
      </c>
      <c r="AK371" t="str">
        <f>IF(ISBLANK(JP!AM375),"","x")</f>
        <v/>
      </c>
      <c r="AL371" t="str">
        <f>IF(ISBLANK(JP!AN375),"","x")</f>
        <v/>
      </c>
      <c r="AM371" t="str">
        <f>IF(ISBLANK(JP!AO375),"","x")</f>
        <v/>
      </c>
      <c r="AN371" t="str">
        <f>IF(ISBLANK(JP!AP375),"","x")</f>
        <v/>
      </c>
      <c r="AO371" t="str">
        <f>IF(ISBLANK(JP!AR375),"","x")</f>
        <v/>
      </c>
      <c r="AP371" t="str">
        <f>IF(ISBLANK(JP!AS375),"","x")</f>
        <v/>
      </c>
      <c r="AQ371" t="str">
        <f>IF(ISBLANK(JP!AT375),"","x")</f>
        <v/>
      </c>
      <c r="AR371" t="str">
        <f>IF(ISBLANK(JP!AU375),"","x")</f>
        <v/>
      </c>
      <c r="AS371" t="str">
        <f>IF(ISBLANK(JP!AV375),"","x")</f>
        <v/>
      </c>
      <c r="AT371" t="str">
        <f>IF(ISBLANK(JP!AW375),"","x")</f>
        <v/>
      </c>
      <c r="AU371" t="str">
        <f>IF(ISBLANK(JP!AX375),"","x")</f>
        <v/>
      </c>
    </row>
    <row r="372" spans="2:47">
      <c r="B372" t="str">
        <f>IF(ISBLANK(JP!AZ376),"",JP!AZ376)</f>
        <v/>
      </c>
      <c r="C372" t="str">
        <f>IF(ISBLANK(JP!BA376),"",JP!BA376)</f>
        <v/>
      </c>
      <c r="D372" t="str">
        <f>IF(ISBLANK(JP!BC376),"",JP!BC376)</f>
        <v/>
      </c>
      <c r="E372" t="str">
        <f>IF(ISBLANK(JP!BB376),"",JP!BB376)</f>
        <v/>
      </c>
      <c r="F372" t="str">
        <f>IF(ISBLANK(JP!D376),"","x")</f>
        <v/>
      </c>
      <c r="G372" t="str">
        <f>IF(ISBLANK(JP!E376),"","x")</f>
        <v/>
      </c>
      <c r="H372" t="str">
        <f>IF(ISBLANK(JP!F376),"","x")</f>
        <v/>
      </c>
      <c r="I372" t="str">
        <f>IF(ISBLANK(JP!G376),"","x")</f>
        <v/>
      </c>
      <c r="J372" t="str">
        <f>IF(ISBLANK(JP!H376),"","x")</f>
        <v/>
      </c>
      <c r="K372" t="str">
        <f>IF(ISBLANK(JP!I376),"","x")</f>
        <v/>
      </c>
      <c r="L372" t="str">
        <f>IF(ISBLANK(JP!J376),"","x")</f>
        <v/>
      </c>
      <c r="M372" t="str">
        <f>IF(ISBLANK(JP!L376),"","x")</f>
        <v/>
      </c>
      <c r="N372" t="str">
        <f>IF(ISBLANK(JP!M376),"","x")</f>
        <v/>
      </c>
      <c r="O372" t="str">
        <f>IF(ISBLANK(JP!N376),"","x")</f>
        <v/>
      </c>
      <c r="P372" t="str">
        <f>IF(ISBLANK(JP!O376),"","x")</f>
        <v/>
      </c>
      <c r="Q372" t="str">
        <f>IF(ISBLANK(JP!P376),"","x")</f>
        <v/>
      </c>
      <c r="R372" t="str">
        <f>IF(ISBLANK(JP!Q376),"","x")</f>
        <v/>
      </c>
      <c r="S372" t="str">
        <f>IF(ISBLANK(JP!R376),"","x")</f>
        <v/>
      </c>
      <c r="T372" t="str">
        <f>IF(ISBLANK(JP!T376),"","x")</f>
        <v/>
      </c>
      <c r="U372" t="str">
        <f>IF(ISBLANK(JP!U376),"","x")</f>
        <v/>
      </c>
      <c r="V372" t="str">
        <f>IF(ISBLANK(JP!V376),"","x")</f>
        <v/>
      </c>
      <c r="W372" t="str">
        <f>IF(ISBLANK(JP!W376),"","x")</f>
        <v/>
      </c>
      <c r="X372" t="str">
        <f>IF(ISBLANK(JP!X376),"","x")</f>
        <v/>
      </c>
      <c r="Y372" t="str">
        <f>IF(ISBLANK(JP!Y376),"","x")</f>
        <v/>
      </c>
      <c r="Z372" t="str">
        <f>IF(ISBLANK(JP!Z376),"","x")</f>
        <v/>
      </c>
      <c r="AA372" t="str">
        <f>IF(ISBLANK(JP!AB376),"","x")</f>
        <v/>
      </c>
      <c r="AB372" t="str">
        <f>IF(ISBLANK(JP!AC376),"","x")</f>
        <v/>
      </c>
      <c r="AC372" t="str">
        <f>IF(ISBLANK(JP!AD376),"","x")</f>
        <v/>
      </c>
      <c r="AD372" t="str">
        <f>IF(ISBLANK(JP!AE376),"","x")</f>
        <v/>
      </c>
      <c r="AE372" t="str">
        <f>IF(ISBLANK(JP!AF376),"","x")</f>
        <v/>
      </c>
      <c r="AF372" t="str">
        <f>IF(ISBLANK(JP!AG376),"","x")</f>
        <v/>
      </c>
      <c r="AG372" t="str">
        <f>IF(ISBLANK(JP!AH376),"","x")</f>
        <v/>
      </c>
      <c r="AH372" t="str">
        <f>IF(ISBLANK(JP!AJ376),"","x")</f>
        <v/>
      </c>
      <c r="AI372" t="str">
        <f>IF(ISBLANK(JP!AK376),"","x")</f>
        <v/>
      </c>
      <c r="AJ372" t="str">
        <f>IF(ISBLANK(JP!AL376),"","x")</f>
        <v/>
      </c>
      <c r="AK372" t="str">
        <f>IF(ISBLANK(JP!AM376),"","x")</f>
        <v/>
      </c>
      <c r="AL372" t="str">
        <f>IF(ISBLANK(JP!AN376),"","x")</f>
        <v/>
      </c>
      <c r="AM372" t="str">
        <f>IF(ISBLANK(JP!AO376),"","x")</f>
        <v/>
      </c>
      <c r="AN372" t="str">
        <f>IF(ISBLANK(JP!AP376),"","x")</f>
        <v/>
      </c>
      <c r="AO372" t="str">
        <f>IF(ISBLANK(JP!AR376),"","x")</f>
        <v/>
      </c>
      <c r="AP372" t="str">
        <f>IF(ISBLANK(JP!AS376),"","x")</f>
        <v/>
      </c>
      <c r="AQ372" t="str">
        <f>IF(ISBLANK(JP!AT376),"","x")</f>
        <v/>
      </c>
      <c r="AR372" t="str">
        <f>IF(ISBLANK(JP!AU376),"","x")</f>
        <v/>
      </c>
      <c r="AS372" t="str">
        <f>IF(ISBLANK(JP!AV376),"","x")</f>
        <v/>
      </c>
      <c r="AT372" t="str">
        <f>IF(ISBLANK(JP!AW376),"","x")</f>
        <v/>
      </c>
      <c r="AU372" t="str">
        <f>IF(ISBLANK(JP!AX376),"","x")</f>
        <v/>
      </c>
    </row>
    <row r="373" spans="2:47">
      <c r="B373" t="str">
        <f>IF(ISBLANK(JP!AZ377),"",JP!AZ377)</f>
        <v/>
      </c>
      <c r="C373" t="str">
        <f>IF(ISBLANK(JP!BA377),"",JP!BA377)</f>
        <v/>
      </c>
      <c r="D373" t="str">
        <f>IF(ISBLANK(JP!BC377),"",JP!BC377)</f>
        <v/>
      </c>
      <c r="E373" t="str">
        <f>IF(ISBLANK(JP!BB377),"",JP!BB377)</f>
        <v/>
      </c>
      <c r="F373" t="str">
        <f>IF(ISBLANK(JP!D377),"","x")</f>
        <v/>
      </c>
      <c r="G373" t="str">
        <f>IF(ISBLANK(JP!E377),"","x")</f>
        <v/>
      </c>
      <c r="H373" t="str">
        <f>IF(ISBLANK(JP!F377),"","x")</f>
        <v/>
      </c>
      <c r="I373" t="str">
        <f>IF(ISBLANK(JP!G377),"","x")</f>
        <v/>
      </c>
      <c r="J373" t="str">
        <f>IF(ISBLANK(JP!H377),"","x")</f>
        <v/>
      </c>
      <c r="K373" t="str">
        <f>IF(ISBLANK(JP!I377),"","x")</f>
        <v/>
      </c>
      <c r="L373" t="str">
        <f>IF(ISBLANK(JP!J377),"","x")</f>
        <v/>
      </c>
      <c r="M373" t="str">
        <f>IF(ISBLANK(JP!L377),"","x")</f>
        <v/>
      </c>
      <c r="N373" t="str">
        <f>IF(ISBLANK(JP!M377),"","x")</f>
        <v/>
      </c>
      <c r="O373" t="str">
        <f>IF(ISBLANK(JP!N377),"","x")</f>
        <v/>
      </c>
      <c r="P373" t="str">
        <f>IF(ISBLANK(JP!O377),"","x")</f>
        <v/>
      </c>
      <c r="Q373" t="str">
        <f>IF(ISBLANK(JP!P377),"","x")</f>
        <v/>
      </c>
      <c r="R373" t="str">
        <f>IF(ISBLANK(JP!Q377),"","x")</f>
        <v/>
      </c>
      <c r="S373" t="str">
        <f>IF(ISBLANK(JP!R377),"","x")</f>
        <v/>
      </c>
      <c r="T373" t="str">
        <f>IF(ISBLANK(JP!T377),"","x")</f>
        <v/>
      </c>
      <c r="U373" t="str">
        <f>IF(ISBLANK(JP!U377),"","x")</f>
        <v/>
      </c>
      <c r="V373" t="str">
        <f>IF(ISBLANK(JP!V377),"","x")</f>
        <v/>
      </c>
      <c r="W373" t="str">
        <f>IF(ISBLANK(JP!W377),"","x")</f>
        <v/>
      </c>
      <c r="X373" t="str">
        <f>IF(ISBLANK(JP!X377),"","x")</f>
        <v/>
      </c>
      <c r="Y373" t="str">
        <f>IF(ISBLANK(JP!Y377),"","x")</f>
        <v/>
      </c>
      <c r="Z373" t="str">
        <f>IF(ISBLANK(JP!Z377),"","x")</f>
        <v/>
      </c>
      <c r="AA373" t="str">
        <f>IF(ISBLANK(JP!AB377),"","x")</f>
        <v/>
      </c>
      <c r="AB373" t="str">
        <f>IF(ISBLANK(JP!AC377),"","x")</f>
        <v/>
      </c>
      <c r="AC373" t="str">
        <f>IF(ISBLANK(JP!AD377),"","x")</f>
        <v/>
      </c>
      <c r="AD373" t="str">
        <f>IF(ISBLANK(JP!AE377),"","x")</f>
        <v/>
      </c>
      <c r="AE373" t="str">
        <f>IF(ISBLANK(JP!AF377),"","x")</f>
        <v/>
      </c>
      <c r="AF373" t="str">
        <f>IF(ISBLANK(JP!AG377),"","x")</f>
        <v/>
      </c>
      <c r="AG373" t="str">
        <f>IF(ISBLANK(JP!AH377),"","x")</f>
        <v/>
      </c>
      <c r="AH373" t="str">
        <f>IF(ISBLANK(JP!AJ377),"","x")</f>
        <v/>
      </c>
      <c r="AI373" t="str">
        <f>IF(ISBLANK(JP!AK377),"","x")</f>
        <v/>
      </c>
      <c r="AJ373" t="str">
        <f>IF(ISBLANK(JP!AL377),"","x")</f>
        <v/>
      </c>
      <c r="AK373" t="str">
        <f>IF(ISBLANK(JP!AM377),"","x")</f>
        <v/>
      </c>
      <c r="AL373" t="str">
        <f>IF(ISBLANK(JP!AN377),"","x")</f>
        <v/>
      </c>
      <c r="AM373" t="str">
        <f>IF(ISBLANK(JP!AO377),"","x")</f>
        <v/>
      </c>
      <c r="AN373" t="str">
        <f>IF(ISBLANK(JP!AP377),"","x")</f>
        <v/>
      </c>
      <c r="AO373" t="str">
        <f>IF(ISBLANK(JP!AR377),"","x")</f>
        <v/>
      </c>
      <c r="AP373" t="str">
        <f>IF(ISBLANK(JP!AS377),"","x")</f>
        <v/>
      </c>
      <c r="AQ373" t="str">
        <f>IF(ISBLANK(JP!AT377),"","x")</f>
        <v/>
      </c>
      <c r="AR373" t="str">
        <f>IF(ISBLANK(JP!AU377),"","x")</f>
        <v/>
      </c>
      <c r="AS373" t="str">
        <f>IF(ISBLANK(JP!AV377),"","x")</f>
        <v/>
      </c>
      <c r="AT373" t="str">
        <f>IF(ISBLANK(JP!AW377),"","x")</f>
        <v/>
      </c>
      <c r="AU373" t="str">
        <f>IF(ISBLANK(JP!AX377),"","x")</f>
        <v/>
      </c>
    </row>
    <row r="374" spans="2:47">
      <c r="B374" t="str">
        <f>IF(ISBLANK(JP!AZ378),"",JP!AZ378)</f>
        <v/>
      </c>
      <c r="C374" t="str">
        <f>IF(ISBLANK(JP!BA378),"",JP!BA378)</f>
        <v/>
      </c>
      <c r="D374" t="str">
        <f>IF(ISBLANK(JP!BC378),"",JP!BC378)</f>
        <v/>
      </c>
      <c r="E374" t="str">
        <f>IF(ISBLANK(JP!BB378),"",JP!BB378)</f>
        <v/>
      </c>
      <c r="F374" t="str">
        <f>IF(ISBLANK(JP!D378),"","x")</f>
        <v/>
      </c>
      <c r="G374" t="str">
        <f>IF(ISBLANK(JP!E378),"","x")</f>
        <v/>
      </c>
      <c r="H374" t="str">
        <f>IF(ISBLANK(JP!F378),"","x")</f>
        <v/>
      </c>
      <c r="I374" t="str">
        <f>IF(ISBLANK(JP!G378),"","x")</f>
        <v/>
      </c>
      <c r="J374" t="str">
        <f>IF(ISBLANK(JP!H378),"","x")</f>
        <v/>
      </c>
      <c r="K374" t="str">
        <f>IF(ISBLANK(JP!I378),"","x")</f>
        <v/>
      </c>
      <c r="L374" t="str">
        <f>IF(ISBLANK(JP!J378),"","x")</f>
        <v/>
      </c>
      <c r="M374" t="str">
        <f>IF(ISBLANK(JP!L378),"","x")</f>
        <v/>
      </c>
      <c r="N374" t="str">
        <f>IF(ISBLANK(JP!M378),"","x")</f>
        <v/>
      </c>
      <c r="O374" t="str">
        <f>IF(ISBLANK(JP!N378),"","x")</f>
        <v/>
      </c>
      <c r="P374" t="str">
        <f>IF(ISBLANK(JP!O378),"","x")</f>
        <v/>
      </c>
      <c r="Q374" t="str">
        <f>IF(ISBLANK(JP!P378),"","x")</f>
        <v/>
      </c>
      <c r="R374" t="str">
        <f>IF(ISBLANK(JP!Q378),"","x")</f>
        <v/>
      </c>
      <c r="S374" t="str">
        <f>IF(ISBLANK(JP!R378),"","x")</f>
        <v/>
      </c>
      <c r="T374" t="str">
        <f>IF(ISBLANK(JP!T378),"","x")</f>
        <v/>
      </c>
      <c r="U374" t="str">
        <f>IF(ISBLANK(JP!U378),"","x")</f>
        <v/>
      </c>
      <c r="V374" t="str">
        <f>IF(ISBLANK(JP!V378),"","x")</f>
        <v/>
      </c>
      <c r="W374" t="str">
        <f>IF(ISBLANK(JP!W378),"","x")</f>
        <v/>
      </c>
      <c r="X374" t="str">
        <f>IF(ISBLANK(JP!X378),"","x")</f>
        <v/>
      </c>
      <c r="Y374" t="str">
        <f>IF(ISBLANK(JP!Y378),"","x")</f>
        <v/>
      </c>
      <c r="Z374" t="str">
        <f>IF(ISBLANK(JP!Z378),"","x")</f>
        <v/>
      </c>
      <c r="AA374" t="str">
        <f>IF(ISBLANK(JP!AB378),"","x")</f>
        <v/>
      </c>
      <c r="AB374" t="str">
        <f>IF(ISBLANK(JP!AC378),"","x")</f>
        <v/>
      </c>
      <c r="AC374" t="str">
        <f>IF(ISBLANK(JP!AD378),"","x")</f>
        <v/>
      </c>
      <c r="AD374" t="str">
        <f>IF(ISBLANK(JP!AE378),"","x")</f>
        <v/>
      </c>
      <c r="AE374" t="str">
        <f>IF(ISBLANK(JP!AF378),"","x")</f>
        <v/>
      </c>
      <c r="AF374" t="str">
        <f>IF(ISBLANK(JP!AG378),"","x")</f>
        <v/>
      </c>
      <c r="AG374" t="str">
        <f>IF(ISBLANK(JP!AH378),"","x")</f>
        <v/>
      </c>
      <c r="AH374" t="str">
        <f>IF(ISBLANK(JP!AJ378),"","x")</f>
        <v/>
      </c>
      <c r="AI374" t="str">
        <f>IF(ISBLANK(JP!AK378),"","x")</f>
        <v/>
      </c>
      <c r="AJ374" t="str">
        <f>IF(ISBLANK(JP!AL378),"","x")</f>
        <v/>
      </c>
      <c r="AK374" t="str">
        <f>IF(ISBLANK(JP!AM378),"","x")</f>
        <v/>
      </c>
      <c r="AL374" t="str">
        <f>IF(ISBLANK(JP!AN378),"","x")</f>
        <v/>
      </c>
      <c r="AM374" t="str">
        <f>IF(ISBLANK(JP!AO378),"","x")</f>
        <v/>
      </c>
      <c r="AN374" t="str">
        <f>IF(ISBLANK(JP!AP378),"","x")</f>
        <v/>
      </c>
      <c r="AO374" t="str">
        <f>IF(ISBLANK(JP!AR378),"","x")</f>
        <v/>
      </c>
      <c r="AP374" t="str">
        <f>IF(ISBLANK(JP!AS378),"","x")</f>
        <v/>
      </c>
      <c r="AQ374" t="str">
        <f>IF(ISBLANK(JP!AT378),"","x")</f>
        <v/>
      </c>
      <c r="AR374" t="str">
        <f>IF(ISBLANK(JP!AU378),"","x")</f>
        <v/>
      </c>
      <c r="AS374" t="str">
        <f>IF(ISBLANK(JP!AV378),"","x")</f>
        <v/>
      </c>
      <c r="AT374" t="str">
        <f>IF(ISBLANK(JP!AW378),"","x")</f>
        <v/>
      </c>
      <c r="AU374" t="str">
        <f>IF(ISBLANK(JP!AX378),"","x")</f>
        <v/>
      </c>
    </row>
    <row r="375" spans="2:47">
      <c r="B375" t="str">
        <f>IF(ISBLANK(JP!AZ379),"",JP!AZ379)</f>
        <v/>
      </c>
      <c r="C375" t="str">
        <f>IF(ISBLANK(JP!BA379),"",JP!BA379)</f>
        <v/>
      </c>
      <c r="D375" t="str">
        <f>IF(ISBLANK(JP!BC379),"",JP!BC379)</f>
        <v/>
      </c>
      <c r="E375" t="str">
        <f>IF(ISBLANK(JP!BB379),"",JP!BB379)</f>
        <v/>
      </c>
      <c r="F375" t="str">
        <f>IF(ISBLANK(JP!D379),"","x")</f>
        <v/>
      </c>
      <c r="G375" t="str">
        <f>IF(ISBLANK(JP!E379),"","x")</f>
        <v/>
      </c>
      <c r="H375" t="str">
        <f>IF(ISBLANK(JP!F379),"","x")</f>
        <v/>
      </c>
      <c r="I375" t="str">
        <f>IF(ISBLANK(JP!G379),"","x")</f>
        <v/>
      </c>
      <c r="J375" t="str">
        <f>IF(ISBLANK(JP!H379),"","x")</f>
        <v/>
      </c>
      <c r="K375" t="str">
        <f>IF(ISBLANK(JP!I379),"","x")</f>
        <v/>
      </c>
      <c r="L375" t="str">
        <f>IF(ISBLANK(JP!J379),"","x")</f>
        <v/>
      </c>
      <c r="M375" t="str">
        <f>IF(ISBLANK(JP!L379),"","x")</f>
        <v/>
      </c>
      <c r="N375" t="str">
        <f>IF(ISBLANK(JP!M379),"","x")</f>
        <v/>
      </c>
      <c r="O375" t="str">
        <f>IF(ISBLANK(JP!N379),"","x")</f>
        <v/>
      </c>
      <c r="P375" t="str">
        <f>IF(ISBLANK(JP!O379),"","x")</f>
        <v/>
      </c>
      <c r="Q375" t="str">
        <f>IF(ISBLANK(JP!P379),"","x")</f>
        <v/>
      </c>
      <c r="R375" t="str">
        <f>IF(ISBLANK(JP!Q379),"","x")</f>
        <v/>
      </c>
      <c r="S375" t="str">
        <f>IF(ISBLANK(JP!R379),"","x")</f>
        <v/>
      </c>
      <c r="T375" t="str">
        <f>IF(ISBLANK(JP!T379),"","x")</f>
        <v/>
      </c>
      <c r="U375" t="str">
        <f>IF(ISBLANK(JP!U379),"","x")</f>
        <v/>
      </c>
      <c r="V375" t="str">
        <f>IF(ISBLANK(JP!V379),"","x")</f>
        <v/>
      </c>
      <c r="W375" t="str">
        <f>IF(ISBLANK(JP!W379),"","x")</f>
        <v/>
      </c>
      <c r="X375" t="str">
        <f>IF(ISBLANK(JP!X379),"","x")</f>
        <v/>
      </c>
      <c r="Y375" t="str">
        <f>IF(ISBLANK(JP!Y379),"","x")</f>
        <v/>
      </c>
      <c r="Z375" t="str">
        <f>IF(ISBLANK(JP!Z379),"","x")</f>
        <v/>
      </c>
      <c r="AA375" t="str">
        <f>IF(ISBLANK(JP!AB379),"","x")</f>
        <v/>
      </c>
      <c r="AB375" t="str">
        <f>IF(ISBLANK(JP!AC379),"","x")</f>
        <v/>
      </c>
      <c r="AC375" t="str">
        <f>IF(ISBLANK(JP!AD379),"","x")</f>
        <v/>
      </c>
      <c r="AD375" t="str">
        <f>IF(ISBLANK(JP!AE379),"","x")</f>
        <v/>
      </c>
      <c r="AE375" t="str">
        <f>IF(ISBLANK(JP!AF379),"","x")</f>
        <v/>
      </c>
      <c r="AF375" t="str">
        <f>IF(ISBLANK(JP!AG379),"","x")</f>
        <v/>
      </c>
      <c r="AG375" t="str">
        <f>IF(ISBLANK(JP!AH379),"","x")</f>
        <v/>
      </c>
      <c r="AH375" t="str">
        <f>IF(ISBLANK(JP!AJ379),"","x")</f>
        <v/>
      </c>
      <c r="AI375" t="str">
        <f>IF(ISBLANK(JP!AK379),"","x")</f>
        <v/>
      </c>
      <c r="AJ375" t="str">
        <f>IF(ISBLANK(JP!AL379),"","x")</f>
        <v/>
      </c>
      <c r="AK375" t="str">
        <f>IF(ISBLANK(JP!AM379),"","x")</f>
        <v/>
      </c>
      <c r="AL375" t="str">
        <f>IF(ISBLANK(JP!AN379),"","x")</f>
        <v/>
      </c>
      <c r="AM375" t="str">
        <f>IF(ISBLANK(JP!AO379),"","x")</f>
        <v/>
      </c>
      <c r="AN375" t="str">
        <f>IF(ISBLANK(JP!AP379),"","x")</f>
        <v/>
      </c>
      <c r="AO375" t="str">
        <f>IF(ISBLANK(JP!AR379),"","x")</f>
        <v/>
      </c>
      <c r="AP375" t="str">
        <f>IF(ISBLANK(JP!AS379),"","x")</f>
        <v/>
      </c>
      <c r="AQ375" t="str">
        <f>IF(ISBLANK(JP!AT379),"","x")</f>
        <v/>
      </c>
      <c r="AR375" t="str">
        <f>IF(ISBLANK(JP!AU379),"","x")</f>
        <v/>
      </c>
      <c r="AS375" t="str">
        <f>IF(ISBLANK(JP!AV379),"","x")</f>
        <v/>
      </c>
      <c r="AT375" t="str">
        <f>IF(ISBLANK(JP!AW379),"","x")</f>
        <v/>
      </c>
      <c r="AU375" t="str">
        <f>IF(ISBLANK(JP!AX379),"","x")</f>
        <v/>
      </c>
    </row>
    <row r="376" spans="2:47">
      <c r="B376" t="str">
        <f>IF(ISBLANK(JP!AZ380),"",JP!AZ380)</f>
        <v/>
      </c>
      <c r="C376" t="str">
        <f>IF(ISBLANK(JP!BA380),"",JP!BA380)</f>
        <v/>
      </c>
      <c r="D376" t="str">
        <f>IF(ISBLANK(JP!BC380),"",JP!BC380)</f>
        <v/>
      </c>
      <c r="E376" t="str">
        <f>IF(ISBLANK(JP!BB380),"",JP!BB380)</f>
        <v/>
      </c>
      <c r="F376" t="str">
        <f>IF(ISBLANK(JP!D380),"","x")</f>
        <v/>
      </c>
      <c r="G376" t="str">
        <f>IF(ISBLANK(JP!E380),"","x")</f>
        <v/>
      </c>
      <c r="H376" t="str">
        <f>IF(ISBLANK(JP!F380),"","x")</f>
        <v/>
      </c>
      <c r="I376" t="str">
        <f>IF(ISBLANK(JP!G380),"","x")</f>
        <v/>
      </c>
      <c r="J376" t="str">
        <f>IF(ISBLANK(JP!H380),"","x")</f>
        <v/>
      </c>
      <c r="K376" t="str">
        <f>IF(ISBLANK(JP!I380),"","x")</f>
        <v/>
      </c>
      <c r="L376" t="str">
        <f>IF(ISBLANK(JP!J380),"","x")</f>
        <v/>
      </c>
      <c r="M376" t="str">
        <f>IF(ISBLANK(JP!L380),"","x")</f>
        <v/>
      </c>
      <c r="N376" t="str">
        <f>IF(ISBLANK(JP!M380),"","x")</f>
        <v/>
      </c>
      <c r="O376" t="str">
        <f>IF(ISBLANK(JP!N380),"","x")</f>
        <v/>
      </c>
      <c r="P376" t="str">
        <f>IF(ISBLANK(JP!O380),"","x")</f>
        <v/>
      </c>
      <c r="Q376" t="str">
        <f>IF(ISBLANK(JP!P380),"","x")</f>
        <v/>
      </c>
      <c r="R376" t="str">
        <f>IF(ISBLANK(JP!Q380),"","x")</f>
        <v/>
      </c>
      <c r="S376" t="str">
        <f>IF(ISBLANK(JP!R380),"","x")</f>
        <v/>
      </c>
      <c r="T376" t="str">
        <f>IF(ISBLANK(JP!T380),"","x")</f>
        <v/>
      </c>
      <c r="U376" t="str">
        <f>IF(ISBLANK(JP!U380),"","x")</f>
        <v/>
      </c>
      <c r="V376" t="str">
        <f>IF(ISBLANK(JP!V380),"","x")</f>
        <v/>
      </c>
      <c r="W376" t="str">
        <f>IF(ISBLANK(JP!W380),"","x")</f>
        <v/>
      </c>
      <c r="X376" t="str">
        <f>IF(ISBLANK(JP!X380),"","x")</f>
        <v/>
      </c>
      <c r="Y376" t="str">
        <f>IF(ISBLANK(JP!Y380),"","x")</f>
        <v/>
      </c>
      <c r="Z376" t="str">
        <f>IF(ISBLANK(JP!Z380),"","x")</f>
        <v/>
      </c>
      <c r="AA376" t="str">
        <f>IF(ISBLANK(JP!AB380),"","x")</f>
        <v/>
      </c>
      <c r="AB376" t="str">
        <f>IF(ISBLANK(JP!AC380),"","x")</f>
        <v/>
      </c>
      <c r="AC376" t="str">
        <f>IF(ISBLANK(JP!AD380),"","x")</f>
        <v/>
      </c>
      <c r="AD376" t="str">
        <f>IF(ISBLANK(JP!AE380),"","x")</f>
        <v/>
      </c>
      <c r="AE376" t="str">
        <f>IF(ISBLANK(JP!AF380),"","x")</f>
        <v/>
      </c>
      <c r="AF376" t="str">
        <f>IF(ISBLANK(JP!AG380),"","x")</f>
        <v/>
      </c>
      <c r="AG376" t="str">
        <f>IF(ISBLANK(JP!AH380),"","x")</f>
        <v/>
      </c>
      <c r="AH376" t="str">
        <f>IF(ISBLANK(JP!AJ380),"","x")</f>
        <v/>
      </c>
      <c r="AI376" t="str">
        <f>IF(ISBLANK(JP!AK380),"","x")</f>
        <v/>
      </c>
      <c r="AJ376" t="str">
        <f>IF(ISBLANK(JP!AL380),"","x")</f>
        <v/>
      </c>
      <c r="AK376" t="str">
        <f>IF(ISBLANK(JP!AM380),"","x")</f>
        <v/>
      </c>
      <c r="AL376" t="str">
        <f>IF(ISBLANK(JP!AN380),"","x")</f>
        <v/>
      </c>
      <c r="AM376" t="str">
        <f>IF(ISBLANK(JP!AO380),"","x")</f>
        <v/>
      </c>
      <c r="AN376" t="str">
        <f>IF(ISBLANK(JP!AP380),"","x")</f>
        <v/>
      </c>
      <c r="AO376" t="str">
        <f>IF(ISBLANK(JP!AR380),"","x")</f>
        <v/>
      </c>
      <c r="AP376" t="str">
        <f>IF(ISBLANK(JP!AS380),"","x")</f>
        <v/>
      </c>
      <c r="AQ376" t="str">
        <f>IF(ISBLANK(JP!AT380),"","x")</f>
        <v/>
      </c>
      <c r="AR376" t="str">
        <f>IF(ISBLANK(JP!AU380),"","x")</f>
        <v/>
      </c>
      <c r="AS376" t="str">
        <f>IF(ISBLANK(JP!AV380),"","x")</f>
        <v/>
      </c>
      <c r="AT376" t="str">
        <f>IF(ISBLANK(JP!AW380),"","x")</f>
        <v/>
      </c>
      <c r="AU376" t="str">
        <f>IF(ISBLANK(JP!AX380),"","x")</f>
        <v/>
      </c>
    </row>
    <row r="377" spans="2:47">
      <c r="B377" t="str">
        <f>IF(ISBLANK(JP!AZ381),"",JP!AZ381)</f>
        <v/>
      </c>
      <c r="C377" t="str">
        <f>IF(ISBLANK(JP!BA381),"",JP!BA381)</f>
        <v/>
      </c>
      <c r="D377" t="str">
        <f>IF(ISBLANK(JP!BC381),"",JP!BC381)</f>
        <v/>
      </c>
      <c r="E377" t="str">
        <f>IF(ISBLANK(JP!BB381),"",JP!BB381)</f>
        <v/>
      </c>
      <c r="F377" t="str">
        <f>IF(ISBLANK(JP!D381),"","x")</f>
        <v/>
      </c>
      <c r="G377" t="str">
        <f>IF(ISBLANK(JP!E381),"","x")</f>
        <v/>
      </c>
      <c r="H377" t="str">
        <f>IF(ISBLANK(JP!F381),"","x")</f>
        <v/>
      </c>
      <c r="I377" t="str">
        <f>IF(ISBLANK(JP!G381),"","x")</f>
        <v/>
      </c>
      <c r="J377" t="str">
        <f>IF(ISBLANK(JP!H381),"","x")</f>
        <v/>
      </c>
      <c r="K377" t="str">
        <f>IF(ISBLANK(JP!I381),"","x")</f>
        <v/>
      </c>
      <c r="L377" t="str">
        <f>IF(ISBLANK(JP!J381),"","x")</f>
        <v/>
      </c>
      <c r="M377" t="str">
        <f>IF(ISBLANK(JP!L381),"","x")</f>
        <v/>
      </c>
      <c r="N377" t="str">
        <f>IF(ISBLANK(JP!M381),"","x")</f>
        <v/>
      </c>
      <c r="O377" t="str">
        <f>IF(ISBLANK(JP!N381),"","x")</f>
        <v/>
      </c>
      <c r="P377" t="str">
        <f>IF(ISBLANK(JP!O381),"","x")</f>
        <v/>
      </c>
      <c r="Q377" t="str">
        <f>IF(ISBLANK(JP!P381),"","x")</f>
        <v/>
      </c>
      <c r="R377" t="str">
        <f>IF(ISBLANK(JP!Q381),"","x")</f>
        <v/>
      </c>
      <c r="S377" t="str">
        <f>IF(ISBLANK(JP!R381),"","x")</f>
        <v/>
      </c>
      <c r="T377" t="str">
        <f>IF(ISBLANK(JP!T381),"","x")</f>
        <v/>
      </c>
      <c r="U377" t="str">
        <f>IF(ISBLANK(JP!U381),"","x")</f>
        <v/>
      </c>
      <c r="V377" t="str">
        <f>IF(ISBLANK(JP!V381),"","x")</f>
        <v/>
      </c>
      <c r="W377" t="str">
        <f>IF(ISBLANK(JP!W381),"","x")</f>
        <v/>
      </c>
      <c r="X377" t="str">
        <f>IF(ISBLANK(JP!X381),"","x")</f>
        <v/>
      </c>
      <c r="Y377" t="str">
        <f>IF(ISBLANK(JP!Y381),"","x")</f>
        <v/>
      </c>
      <c r="Z377" t="str">
        <f>IF(ISBLANK(JP!Z381),"","x")</f>
        <v/>
      </c>
      <c r="AA377" t="str">
        <f>IF(ISBLANK(JP!AB381),"","x")</f>
        <v/>
      </c>
      <c r="AB377" t="str">
        <f>IF(ISBLANK(JP!AC381),"","x")</f>
        <v/>
      </c>
      <c r="AC377" t="str">
        <f>IF(ISBLANK(JP!AD381),"","x")</f>
        <v/>
      </c>
      <c r="AD377" t="str">
        <f>IF(ISBLANK(JP!AE381),"","x")</f>
        <v/>
      </c>
      <c r="AE377" t="str">
        <f>IF(ISBLANK(JP!AF381),"","x")</f>
        <v/>
      </c>
      <c r="AF377" t="str">
        <f>IF(ISBLANK(JP!AG381),"","x")</f>
        <v/>
      </c>
      <c r="AG377" t="str">
        <f>IF(ISBLANK(JP!AH381),"","x")</f>
        <v/>
      </c>
      <c r="AH377" t="str">
        <f>IF(ISBLANK(JP!AJ381),"","x")</f>
        <v/>
      </c>
      <c r="AI377" t="str">
        <f>IF(ISBLANK(JP!AK381),"","x")</f>
        <v/>
      </c>
      <c r="AJ377" t="str">
        <f>IF(ISBLANK(JP!AL381),"","x")</f>
        <v/>
      </c>
      <c r="AK377" t="str">
        <f>IF(ISBLANK(JP!AM381),"","x")</f>
        <v/>
      </c>
      <c r="AL377" t="str">
        <f>IF(ISBLANK(JP!AN381),"","x")</f>
        <v/>
      </c>
      <c r="AM377" t="str">
        <f>IF(ISBLANK(JP!AO381),"","x")</f>
        <v/>
      </c>
      <c r="AN377" t="str">
        <f>IF(ISBLANK(JP!AP381),"","x")</f>
        <v/>
      </c>
      <c r="AO377" t="str">
        <f>IF(ISBLANK(JP!AR381),"","x")</f>
        <v/>
      </c>
      <c r="AP377" t="str">
        <f>IF(ISBLANK(JP!AS381),"","x")</f>
        <v/>
      </c>
      <c r="AQ377" t="str">
        <f>IF(ISBLANK(JP!AT381),"","x")</f>
        <v/>
      </c>
      <c r="AR377" t="str">
        <f>IF(ISBLANK(JP!AU381),"","x")</f>
        <v/>
      </c>
      <c r="AS377" t="str">
        <f>IF(ISBLANK(JP!AV381),"","x")</f>
        <v/>
      </c>
      <c r="AT377" t="str">
        <f>IF(ISBLANK(JP!AW381),"","x")</f>
        <v/>
      </c>
      <c r="AU377" t="str">
        <f>IF(ISBLANK(JP!AX381),"","x")</f>
        <v/>
      </c>
    </row>
    <row r="378" spans="2:47">
      <c r="B378" t="str">
        <f>IF(ISBLANK(JP!AZ382),"",JP!AZ382)</f>
        <v/>
      </c>
      <c r="C378" t="str">
        <f>IF(ISBLANK(JP!BA382),"",JP!BA382)</f>
        <v/>
      </c>
      <c r="D378" t="str">
        <f>IF(ISBLANK(JP!BC382),"",JP!BC382)</f>
        <v/>
      </c>
      <c r="E378" t="str">
        <f>IF(ISBLANK(JP!BB382),"",JP!BB382)</f>
        <v/>
      </c>
      <c r="F378" t="str">
        <f>IF(ISBLANK(JP!D382),"","x")</f>
        <v/>
      </c>
      <c r="G378" t="str">
        <f>IF(ISBLANK(JP!E382),"","x")</f>
        <v/>
      </c>
      <c r="H378" t="str">
        <f>IF(ISBLANK(JP!F382),"","x")</f>
        <v/>
      </c>
      <c r="I378" t="str">
        <f>IF(ISBLANK(JP!G382),"","x")</f>
        <v/>
      </c>
      <c r="J378" t="str">
        <f>IF(ISBLANK(JP!H382),"","x")</f>
        <v/>
      </c>
      <c r="K378" t="str">
        <f>IF(ISBLANK(JP!I382),"","x")</f>
        <v/>
      </c>
      <c r="L378" t="str">
        <f>IF(ISBLANK(JP!J382),"","x")</f>
        <v/>
      </c>
      <c r="M378" t="str">
        <f>IF(ISBLANK(JP!L382),"","x")</f>
        <v/>
      </c>
      <c r="N378" t="str">
        <f>IF(ISBLANK(JP!M382),"","x")</f>
        <v/>
      </c>
      <c r="O378" t="str">
        <f>IF(ISBLANK(JP!N382),"","x")</f>
        <v/>
      </c>
      <c r="P378" t="str">
        <f>IF(ISBLANK(JP!O382),"","x")</f>
        <v/>
      </c>
      <c r="Q378" t="str">
        <f>IF(ISBLANK(JP!P382),"","x")</f>
        <v/>
      </c>
      <c r="R378" t="str">
        <f>IF(ISBLANK(JP!Q382),"","x")</f>
        <v/>
      </c>
      <c r="S378" t="str">
        <f>IF(ISBLANK(JP!R382),"","x")</f>
        <v/>
      </c>
      <c r="T378" t="str">
        <f>IF(ISBLANK(JP!T382),"","x")</f>
        <v/>
      </c>
      <c r="U378" t="str">
        <f>IF(ISBLANK(JP!U382),"","x")</f>
        <v/>
      </c>
      <c r="V378" t="str">
        <f>IF(ISBLANK(JP!V382),"","x")</f>
        <v/>
      </c>
      <c r="W378" t="str">
        <f>IF(ISBLANK(JP!W382),"","x")</f>
        <v/>
      </c>
      <c r="X378" t="str">
        <f>IF(ISBLANK(JP!X382),"","x")</f>
        <v/>
      </c>
      <c r="Y378" t="str">
        <f>IF(ISBLANK(JP!Y382),"","x")</f>
        <v/>
      </c>
      <c r="Z378" t="str">
        <f>IF(ISBLANK(JP!Z382),"","x")</f>
        <v/>
      </c>
      <c r="AA378" t="str">
        <f>IF(ISBLANK(JP!AB382),"","x")</f>
        <v/>
      </c>
      <c r="AB378" t="str">
        <f>IF(ISBLANK(JP!AC382),"","x")</f>
        <v/>
      </c>
      <c r="AC378" t="str">
        <f>IF(ISBLANK(JP!AD382),"","x")</f>
        <v/>
      </c>
      <c r="AD378" t="str">
        <f>IF(ISBLANK(JP!AE382),"","x")</f>
        <v/>
      </c>
      <c r="AE378" t="str">
        <f>IF(ISBLANK(JP!AF382),"","x")</f>
        <v/>
      </c>
      <c r="AF378" t="str">
        <f>IF(ISBLANK(JP!AG382),"","x")</f>
        <v/>
      </c>
      <c r="AG378" t="str">
        <f>IF(ISBLANK(JP!AH382),"","x")</f>
        <v/>
      </c>
      <c r="AH378" t="str">
        <f>IF(ISBLANK(JP!AJ382),"","x")</f>
        <v/>
      </c>
      <c r="AI378" t="str">
        <f>IF(ISBLANK(JP!AK382),"","x")</f>
        <v/>
      </c>
      <c r="AJ378" t="str">
        <f>IF(ISBLANK(JP!AL382),"","x")</f>
        <v/>
      </c>
      <c r="AK378" t="str">
        <f>IF(ISBLANK(JP!AM382),"","x")</f>
        <v/>
      </c>
      <c r="AL378" t="str">
        <f>IF(ISBLANK(JP!AN382),"","x")</f>
        <v/>
      </c>
      <c r="AM378" t="str">
        <f>IF(ISBLANK(JP!AO382),"","x")</f>
        <v/>
      </c>
      <c r="AN378" t="str">
        <f>IF(ISBLANK(JP!AP382),"","x")</f>
        <v/>
      </c>
      <c r="AO378" t="str">
        <f>IF(ISBLANK(JP!AR382),"","x")</f>
        <v/>
      </c>
      <c r="AP378" t="str">
        <f>IF(ISBLANK(JP!AS382),"","x")</f>
        <v/>
      </c>
      <c r="AQ378" t="str">
        <f>IF(ISBLANK(JP!AT382),"","x")</f>
        <v/>
      </c>
      <c r="AR378" t="str">
        <f>IF(ISBLANK(JP!AU382),"","x")</f>
        <v/>
      </c>
      <c r="AS378" t="str">
        <f>IF(ISBLANK(JP!AV382),"","x")</f>
        <v/>
      </c>
      <c r="AT378" t="str">
        <f>IF(ISBLANK(JP!AW382),"","x")</f>
        <v/>
      </c>
      <c r="AU378" t="str">
        <f>IF(ISBLANK(JP!AX382),"","x")</f>
        <v/>
      </c>
    </row>
    <row r="379" spans="2:47">
      <c r="B379" t="str">
        <f>IF(ISBLANK(JP!AZ383),"",JP!AZ383)</f>
        <v/>
      </c>
      <c r="C379" t="str">
        <f>IF(ISBLANK(JP!BA383),"",JP!BA383)</f>
        <v/>
      </c>
      <c r="D379" t="str">
        <f>IF(ISBLANK(JP!BC383),"",JP!BC383)</f>
        <v/>
      </c>
      <c r="E379" t="str">
        <f>IF(ISBLANK(JP!BB383),"",JP!BB383)</f>
        <v/>
      </c>
      <c r="F379" t="str">
        <f>IF(ISBLANK(JP!D383),"","x")</f>
        <v/>
      </c>
      <c r="G379" t="str">
        <f>IF(ISBLANK(JP!E383),"","x")</f>
        <v/>
      </c>
      <c r="H379" t="str">
        <f>IF(ISBLANK(JP!F383),"","x")</f>
        <v/>
      </c>
      <c r="I379" t="str">
        <f>IF(ISBLANK(JP!G383),"","x")</f>
        <v/>
      </c>
      <c r="J379" t="str">
        <f>IF(ISBLANK(JP!H383),"","x")</f>
        <v/>
      </c>
      <c r="K379" t="str">
        <f>IF(ISBLANK(JP!I383),"","x")</f>
        <v/>
      </c>
      <c r="L379" t="str">
        <f>IF(ISBLANK(JP!J383),"","x")</f>
        <v/>
      </c>
      <c r="M379" t="str">
        <f>IF(ISBLANK(JP!L383),"","x")</f>
        <v/>
      </c>
      <c r="N379" t="str">
        <f>IF(ISBLANK(JP!M383),"","x")</f>
        <v/>
      </c>
      <c r="O379" t="str">
        <f>IF(ISBLANK(JP!N383),"","x")</f>
        <v/>
      </c>
      <c r="P379" t="str">
        <f>IF(ISBLANK(JP!O383),"","x")</f>
        <v/>
      </c>
      <c r="Q379" t="str">
        <f>IF(ISBLANK(JP!P383),"","x")</f>
        <v/>
      </c>
      <c r="R379" t="str">
        <f>IF(ISBLANK(JP!Q383),"","x")</f>
        <v/>
      </c>
      <c r="S379" t="str">
        <f>IF(ISBLANK(JP!R383),"","x")</f>
        <v/>
      </c>
      <c r="T379" t="str">
        <f>IF(ISBLANK(JP!T383),"","x")</f>
        <v/>
      </c>
      <c r="U379" t="str">
        <f>IF(ISBLANK(JP!U383),"","x")</f>
        <v/>
      </c>
      <c r="V379" t="str">
        <f>IF(ISBLANK(JP!V383),"","x")</f>
        <v/>
      </c>
      <c r="W379" t="str">
        <f>IF(ISBLANK(JP!W383),"","x")</f>
        <v/>
      </c>
      <c r="X379" t="str">
        <f>IF(ISBLANK(JP!X383),"","x")</f>
        <v/>
      </c>
      <c r="Y379" t="str">
        <f>IF(ISBLANK(JP!Y383),"","x")</f>
        <v/>
      </c>
      <c r="Z379" t="str">
        <f>IF(ISBLANK(JP!Z383),"","x")</f>
        <v/>
      </c>
      <c r="AA379" t="str">
        <f>IF(ISBLANK(JP!AB383),"","x")</f>
        <v/>
      </c>
      <c r="AB379" t="str">
        <f>IF(ISBLANK(JP!AC383),"","x")</f>
        <v/>
      </c>
      <c r="AC379" t="str">
        <f>IF(ISBLANK(JP!AD383),"","x")</f>
        <v/>
      </c>
      <c r="AD379" t="str">
        <f>IF(ISBLANK(JP!AE383),"","x")</f>
        <v/>
      </c>
      <c r="AE379" t="str">
        <f>IF(ISBLANK(JP!AF383),"","x")</f>
        <v/>
      </c>
      <c r="AF379" t="str">
        <f>IF(ISBLANK(JP!AG383),"","x")</f>
        <v/>
      </c>
      <c r="AG379" t="str">
        <f>IF(ISBLANK(JP!AH383),"","x")</f>
        <v/>
      </c>
      <c r="AH379" t="str">
        <f>IF(ISBLANK(JP!AJ383),"","x")</f>
        <v/>
      </c>
      <c r="AI379" t="str">
        <f>IF(ISBLANK(JP!AK383),"","x")</f>
        <v/>
      </c>
      <c r="AJ379" t="str">
        <f>IF(ISBLANK(JP!AL383),"","x")</f>
        <v/>
      </c>
      <c r="AK379" t="str">
        <f>IF(ISBLANK(JP!AM383),"","x")</f>
        <v/>
      </c>
      <c r="AL379" t="str">
        <f>IF(ISBLANK(JP!AN383),"","x")</f>
        <v/>
      </c>
      <c r="AM379" t="str">
        <f>IF(ISBLANK(JP!AO383),"","x")</f>
        <v/>
      </c>
      <c r="AN379" t="str">
        <f>IF(ISBLANK(JP!AP383),"","x")</f>
        <v/>
      </c>
      <c r="AO379" t="str">
        <f>IF(ISBLANK(JP!AR383),"","x")</f>
        <v/>
      </c>
      <c r="AP379" t="str">
        <f>IF(ISBLANK(JP!AS383),"","x")</f>
        <v/>
      </c>
      <c r="AQ379" t="str">
        <f>IF(ISBLANK(JP!AT383),"","x")</f>
        <v/>
      </c>
      <c r="AR379" t="str">
        <f>IF(ISBLANK(JP!AU383),"","x")</f>
        <v/>
      </c>
      <c r="AS379" t="str">
        <f>IF(ISBLANK(JP!AV383),"","x")</f>
        <v/>
      </c>
      <c r="AT379" t="str">
        <f>IF(ISBLANK(JP!AW383),"","x")</f>
        <v/>
      </c>
      <c r="AU379" t="str">
        <f>IF(ISBLANK(JP!AX383),"","x")</f>
        <v/>
      </c>
    </row>
    <row r="380" spans="2:47">
      <c r="B380" t="str">
        <f>IF(ISBLANK(JP!AZ384),"",JP!AZ384)</f>
        <v/>
      </c>
      <c r="C380" t="str">
        <f>IF(ISBLANK(JP!BA384),"",JP!BA384)</f>
        <v/>
      </c>
      <c r="D380" t="str">
        <f>IF(ISBLANK(JP!BC384),"",JP!BC384)</f>
        <v/>
      </c>
      <c r="E380" t="str">
        <f>IF(ISBLANK(JP!BB384),"",JP!BB384)</f>
        <v/>
      </c>
      <c r="F380" t="str">
        <f>IF(ISBLANK(JP!D384),"","x")</f>
        <v/>
      </c>
      <c r="G380" t="str">
        <f>IF(ISBLANK(JP!E384),"","x")</f>
        <v/>
      </c>
      <c r="H380" t="str">
        <f>IF(ISBLANK(JP!F384),"","x")</f>
        <v/>
      </c>
      <c r="I380" t="str">
        <f>IF(ISBLANK(JP!G384),"","x")</f>
        <v/>
      </c>
      <c r="J380" t="str">
        <f>IF(ISBLANK(JP!H384),"","x")</f>
        <v/>
      </c>
      <c r="K380" t="str">
        <f>IF(ISBLANK(JP!I384),"","x")</f>
        <v/>
      </c>
      <c r="L380" t="str">
        <f>IF(ISBLANK(JP!J384),"","x")</f>
        <v/>
      </c>
      <c r="M380" t="str">
        <f>IF(ISBLANK(JP!L384),"","x")</f>
        <v/>
      </c>
      <c r="N380" t="str">
        <f>IF(ISBLANK(JP!M384),"","x")</f>
        <v/>
      </c>
      <c r="O380" t="str">
        <f>IF(ISBLANK(JP!N384),"","x")</f>
        <v/>
      </c>
      <c r="P380" t="str">
        <f>IF(ISBLANK(JP!O384),"","x")</f>
        <v/>
      </c>
      <c r="Q380" t="str">
        <f>IF(ISBLANK(JP!P384),"","x")</f>
        <v/>
      </c>
      <c r="R380" t="str">
        <f>IF(ISBLANK(JP!Q384),"","x")</f>
        <v/>
      </c>
      <c r="S380" t="str">
        <f>IF(ISBLANK(JP!R384),"","x")</f>
        <v/>
      </c>
      <c r="T380" t="str">
        <f>IF(ISBLANK(JP!T384),"","x")</f>
        <v/>
      </c>
      <c r="U380" t="str">
        <f>IF(ISBLANK(JP!U384),"","x")</f>
        <v/>
      </c>
      <c r="V380" t="str">
        <f>IF(ISBLANK(JP!V384),"","x")</f>
        <v/>
      </c>
      <c r="W380" t="str">
        <f>IF(ISBLANK(JP!W384),"","x")</f>
        <v/>
      </c>
      <c r="X380" t="str">
        <f>IF(ISBLANK(JP!X384),"","x")</f>
        <v/>
      </c>
      <c r="Y380" t="str">
        <f>IF(ISBLANK(JP!Y384),"","x")</f>
        <v/>
      </c>
      <c r="Z380" t="str">
        <f>IF(ISBLANK(JP!Z384),"","x")</f>
        <v/>
      </c>
      <c r="AA380" t="str">
        <f>IF(ISBLANK(JP!AB384),"","x")</f>
        <v/>
      </c>
      <c r="AB380" t="str">
        <f>IF(ISBLANK(JP!AC384),"","x")</f>
        <v/>
      </c>
      <c r="AC380" t="str">
        <f>IF(ISBLANK(JP!AD384),"","x")</f>
        <v/>
      </c>
      <c r="AD380" t="str">
        <f>IF(ISBLANK(JP!AE384),"","x")</f>
        <v/>
      </c>
      <c r="AE380" t="str">
        <f>IF(ISBLANK(JP!AF384),"","x")</f>
        <v/>
      </c>
      <c r="AF380" t="str">
        <f>IF(ISBLANK(JP!AG384),"","x")</f>
        <v/>
      </c>
      <c r="AG380" t="str">
        <f>IF(ISBLANK(JP!AH384),"","x")</f>
        <v/>
      </c>
      <c r="AH380" t="str">
        <f>IF(ISBLANK(JP!AJ384),"","x")</f>
        <v/>
      </c>
      <c r="AI380" t="str">
        <f>IF(ISBLANK(JP!AK384),"","x")</f>
        <v/>
      </c>
      <c r="AJ380" t="str">
        <f>IF(ISBLANK(JP!AL384),"","x")</f>
        <v/>
      </c>
      <c r="AK380" t="str">
        <f>IF(ISBLANK(JP!AM384),"","x")</f>
        <v/>
      </c>
      <c r="AL380" t="str">
        <f>IF(ISBLANK(JP!AN384),"","x")</f>
        <v/>
      </c>
      <c r="AM380" t="str">
        <f>IF(ISBLANK(JP!AO384),"","x")</f>
        <v/>
      </c>
      <c r="AN380" t="str">
        <f>IF(ISBLANK(JP!AP384),"","x")</f>
        <v/>
      </c>
      <c r="AO380" t="str">
        <f>IF(ISBLANK(JP!AR384),"","x")</f>
        <v/>
      </c>
      <c r="AP380" t="str">
        <f>IF(ISBLANK(JP!AS384),"","x")</f>
        <v/>
      </c>
      <c r="AQ380" t="str">
        <f>IF(ISBLANK(JP!AT384),"","x")</f>
        <v/>
      </c>
      <c r="AR380" t="str">
        <f>IF(ISBLANK(JP!AU384),"","x")</f>
        <v/>
      </c>
      <c r="AS380" t="str">
        <f>IF(ISBLANK(JP!AV384),"","x")</f>
        <v/>
      </c>
      <c r="AT380" t="str">
        <f>IF(ISBLANK(JP!AW384),"","x")</f>
        <v/>
      </c>
      <c r="AU380" t="str">
        <f>IF(ISBLANK(JP!AX384),"","x")</f>
        <v/>
      </c>
    </row>
    <row r="381" spans="2:47">
      <c r="B381" t="str">
        <f>IF(ISBLANK(JP!AZ385),"",JP!AZ385)</f>
        <v/>
      </c>
      <c r="C381" t="str">
        <f>IF(ISBLANK(JP!BA385),"",JP!BA385)</f>
        <v/>
      </c>
      <c r="D381" t="str">
        <f>IF(ISBLANK(JP!BC385),"",JP!BC385)</f>
        <v/>
      </c>
      <c r="E381" t="str">
        <f>IF(ISBLANK(JP!BB385),"",JP!BB385)</f>
        <v/>
      </c>
      <c r="F381" t="str">
        <f>IF(ISBLANK(JP!D385),"","x")</f>
        <v/>
      </c>
      <c r="G381" t="str">
        <f>IF(ISBLANK(JP!E385),"","x")</f>
        <v/>
      </c>
      <c r="H381" t="str">
        <f>IF(ISBLANK(JP!F385),"","x")</f>
        <v/>
      </c>
      <c r="I381" t="str">
        <f>IF(ISBLANK(JP!G385),"","x")</f>
        <v/>
      </c>
      <c r="J381" t="str">
        <f>IF(ISBLANK(JP!H385),"","x")</f>
        <v/>
      </c>
      <c r="K381" t="str">
        <f>IF(ISBLANK(JP!I385),"","x")</f>
        <v/>
      </c>
      <c r="L381" t="str">
        <f>IF(ISBLANK(JP!J385),"","x")</f>
        <v/>
      </c>
      <c r="M381" t="str">
        <f>IF(ISBLANK(JP!L385),"","x")</f>
        <v/>
      </c>
      <c r="N381" t="str">
        <f>IF(ISBLANK(JP!M385),"","x")</f>
        <v/>
      </c>
      <c r="O381" t="str">
        <f>IF(ISBLANK(JP!N385),"","x")</f>
        <v/>
      </c>
      <c r="P381" t="str">
        <f>IF(ISBLANK(JP!O385),"","x")</f>
        <v/>
      </c>
      <c r="Q381" t="str">
        <f>IF(ISBLANK(JP!P385),"","x")</f>
        <v/>
      </c>
      <c r="R381" t="str">
        <f>IF(ISBLANK(JP!Q385),"","x")</f>
        <v/>
      </c>
      <c r="S381" t="str">
        <f>IF(ISBLANK(JP!R385),"","x")</f>
        <v/>
      </c>
      <c r="T381" t="str">
        <f>IF(ISBLANK(JP!T385),"","x")</f>
        <v/>
      </c>
      <c r="U381" t="str">
        <f>IF(ISBLANK(JP!U385),"","x")</f>
        <v/>
      </c>
      <c r="V381" t="str">
        <f>IF(ISBLANK(JP!V385),"","x")</f>
        <v/>
      </c>
      <c r="W381" t="str">
        <f>IF(ISBLANK(JP!W385),"","x")</f>
        <v/>
      </c>
      <c r="X381" t="str">
        <f>IF(ISBLANK(JP!X385),"","x")</f>
        <v/>
      </c>
      <c r="Y381" t="str">
        <f>IF(ISBLANK(JP!Y385),"","x")</f>
        <v/>
      </c>
      <c r="Z381" t="str">
        <f>IF(ISBLANK(JP!Z385),"","x")</f>
        <v/>
      </c>
      <c r="AA381" t="str">
        <f>IF(ISBLANK(JP!AB385),"","x")</f>
        <v/>
      </c>
      <c r="AB381" t="str">
        <f>IF(ISBLANK(JP!AC385),"","x")</f>
        <v/>
      </c>
      <c r="AC381" t="str">
        <f>IF(ISBLANK(JP!AD385),"","x")</f>
        <v/>
      </c>
      <c r="AD381" t="str">
        <f>IF(ISBLANK(JP!AE385),"","x")</f>
        <v/>
      </c>
      <c r="AE381" t="str">
        <f>IF(ISBLANK(JP!AF385),"","x")</f>
        <v/>
      </c>
      <c r="AF381" t="str">
        <f>IF(ISBLANK(JP!AG385),"","x")</f>
        <v/>
      </c>
      <c r="AG381" t="str">
        <f>IF(ISBLANK(JP!AH385),"","x")</f>
        <v/>
      </c>
      <c r="AH381" t="str">
        <f>IF(ISBLANK(JP!AJ385),"","x")</f>
        <v/>
      </c>
      <c r="AI381" t="str">
        <f>IF(ISBLANK(JP!AK385),"","x")</f>
        <v/>
      </c>
      <c r="AJ381" t="str">
        <f>IF(ISBLANK(JP!AL385),"","x")</f>
        <v/>
      </c>
      <c r="AK381" t="str">
        <f>IF(ISBLANK(JP!AM385),"","x")</f>
        <v/>
      </c>
      <c r="AL381" t="str">
        <f>IF(ISBLANK(JP!AN385),"","x")</f>
        <v/>
      </c>
      <c r="AM381" t="str">
        <f>IF(ISBLANK(JP!AO385),"","x")</f>
        <v/>
      </c>
      <c r="AN381" t="str">
        <f>IF(ISBLANK(JP!AP385),"","x")</f>
        <v/>
      </c>
      <c r="AO381" t="str">
        <f>IF(ISBLANK(JP!AR385),"","x")</f>
        <v/>
      </c>
      <c r="AP381" t="str">
        <f>IF(ISBLANK(JP!AS385),"","x")</f>
        <v/>
      </c>
      <c r="AQ381" t="str">
        <f>IF(ISBLANK(JP!AT385),"","x")</f>
        <v/>
      </c>
      <c r="AR381" t="str">
        <f>IF(ISBLANK(JP!AU385),"","x")</f>
        <v/>
      </c>
      <c r="AS381" t="str">
        <f>IF(ISBLANK(JP!AV385),"","x")</f>
        <v/>
      </c>
      <c r="AT381" t="str">
        <f>IF(ISBLANK(JP!AW385),"","x")</f>
        <v/>
      </c>
      <c r="AU381" t="str">
        <f>IF(ISBLANK(JP!AX385),"","x")</f>
        <v/>
      </c>
    </row>
    <row r="382" spans="2:47">
      <c r="B382" t="str">
        <f>IF(ISBLANK(JP!AZ386),"",JP!AZ386)</f>
        <v/>
      </c>
      <c r="C382" t="str">
        <f>IF(ISBLANK(JP!BA386),"",JP!BA386)</f>
        <v/>
      </c>
      <c r="D382" t="str">
        <f>IF(ISBLANK(JP!BC386),"",JP!BC386)</f>
        <v/>
      </c>
      <c r="E382" t="str">
        <f>IF(ISBLANK(JP!BB386),"",JP!BB386)</f>
        <v/>
      </c>
      <c r="F382" t="str">
        <f>IF(ISBLANK(JP!D386),"","x")</f>
        <v/>
      </c>
      <c r="G382" t="str">
        <f>IF(ISBLANK(JP!E386),"","x")</f>
        <v/>
      </c>
      <c r="H382" t="str">
        <f>IF(ISBLANK(JP!F386),"","x")</f>
        <v/>
      </c>
      <c r="I382" t="str">
        <f>IF(ISBLANK(JP!G386),"","x")</f>
        <v/>
      </c>
      <c r="J382" t="str">
        <f>IF(ISBLANK(JP!H386),"","x")</f>
        <v/>
      </c>
      <c r="K382" t="str">
        <f>IF(ISBLANK(JP!I386),"","x")</f>
        <v/>
      </c>
      <c r="L382" t="str">
        <f>IF(ISBLANK(JP!J386),"","x")</f>
        <v/>
      </c>
      <c r="M382" t="str">
        <f>IF(ISBLANK(JP!L386),"","x")</f>
        <v/>
      </c>
      <c r="N382" t="str">
        <f>IF(ISBLANK(JP!M386),"","x")</f>
        <v/>
      </c>
      <c r="O382" t="str">
        <f>IF(ISBLANK(JP!N386),"","x")</f>
        <v/>
      </c>
      <c r="P382" t="str">
        <f>IF(ISBLANK(JP!O386),"","x")</f>
        <v/>
      </c>
      <c r="Q382" t="str">
        <f>IF(ISBLANK(JP!P386),"","x")</f>
        <v/>
      </c>
      <c r="R382" t="str">
        <f>IF(ISBLANK(JP!Q386),"","x")</f>
        <v/>
      </c>
      <c r="S382" t="str">
        <f>IF(ISBLANK(JP!R386),"","x")</f>
        <v/>
      </c>
      <c r="T382" t="str">
        <f>IF(ISBLANK(JP!T386),"","x")</f>
        <v/>
      </c>
      <c r="U382" t="str">
        <f>IF(ISBLANK(JP!U386),"","x")</f>
        <v/>
      </c>
      <c r="V382" t="str">
        <f>IF(ISBLANK(JP!V386),"","x")</f>
        <v/>
      </c>
      <c r="W382" t="str">
        <f>IF(ISBLANK(JP!W386),"","x")</f>
        <v/>
      </c>
      <c r="X382" t="str">
        <f>IF(ISBLANK(JP!X386),"","x")</f>
        <v/>
      </c>
      <c r="Y382" t="str">
        <f>IF(ISBLANK(JP!Y386),"","x")</f>
        <v/>
      </c>
      <c r="Z382" t="str">
        <f>IF(ISBLANK(JP!Z386),"","x")</f>
        <v/>
      </c>
      <c r="AA382" t="str">
        <f>IF(ISBLANK(JP!AB386),"","x")</f>
        <v/>
      </c>
      <c r="AB382" t="str">
        <f>IF(ISBLANK(JP!AC386),"","x")</f>
        <v/>
      </c>
      <c r="AC382" t="str">
        <f>IF(ISBLANK(JP!AD386),"","x")</f>
        <v/>
      </c>
      <c r="AD382" t="str">
        <f>IF(ISBLANK(JP!AE386),"","x")</f>
        <v/>
      </c>
      <c r="AE382" t="str">
        <f>IF(ISBLANK(JP!AF386),"","x")</f>
        <v/>
      </c>
      <c r="AF382" t="str">
        <f>IF(ISBLANK(JP!AG386),"","x")</f>
        <v/>
      </c>
      <c r="AG382" t="str">
        <f>IF(ISBLANK(JP!AH386),"","x")</f>
        <v/>
      </c>
      <c r="AH382" t="str">
        <f>IF(ISBLANK(JP!AJ386),"","x")</f>
        <v/>
      </c>
      <c r="AI382" t="str">
        <f>IF(ISBLANK(JP!AK386),"","x")</f>
        <v/>
      </c>
      <c r="AJ382" t="str">
        <f>IF(ISBLANK(JP!AL386),"","x")</f>
        <v/>
      </c>
      <c r="AK382" t="str">
        <f>IF(ISBLANK(JP!AM386),"","x")</f>
        <v/>
      </c>
      <c r="AL382" t="str">
        <f>IF(ISBLANK(JP!AN386),"","x")</f>
        <v/>
      </c>
      <c r="AM382" t="str">
        <f>IF(ISBLANK(JP!AO386),"","x")</f>
        <v/>
      </c>
      <c r="AN382" t="str">
        <f>IF(ISBLANK(JP!AP386),"","x")</f>
        <v/>
      </c>
      <c r="AO382" t="str">
        <f>IF(ISBLANK(JP!AR386),"","x")</f>
        <v/>
      </c>
      <c r="AP382" t="str">
        <f>IF(ISBLANK(JP!AS386),"","x")</f>
        <v/>
      </c>
      <c r="AQ382" t="str">
        <f>IF(ISBLANK(JP!AT386),"","x")</f>
        <v/>
      </c>
      <c r="AR382" t="str">
        <f>IF(ISBLANK(JP!AU386),"","x")</f>
        <v/>
      </c>
      <c r="AS382" t="str">
        <f>IF(ISBLANK(JP!AV386),"","x")</f>
        <v/>
      </c>
      <c r="AT382" t="str">
        <f>IF(ISBLANK(JP!AW386),"","x")</f>
        <v/>
      </c>
      <c r="AU382" t="str">
        <f>IF(ISBLANK(JP!AX386),"","x")</f>
        <v/>
      </c>
    </row>
    <row r="383" spans="2:47">
      <c r="B383" t="str">
        <f>IF(ISBLANK(JP!AZ387),"",JP!AZ387)</f>
        <v/>
      </c>
      <c r="C383" t="str">
        <f>IF(ISBLANK(JP!BA387),"",JP!BA387)</f>
        <v/>
      </c>
      <c r="D383" t="str">
        <f>IF(ISBLANK(JP!BC387),"",JP!BC387)</f>
        <v/>
      </c>
      <c r="E383" t="str">
        <f>IF(ISBLANK(JP!BB387),"",JP!BB387)</f>
        <v/>
      </c>
      <c r="F383" t="str">
        <f>IF(ISBLANK(JP!D387),"","x")</f>
        <v/>
      </c>
      <c r="G383" t="str">
        <f>IF(ISBLANK(JP!E387),"","x")</f>
        <v/>
      </c>
      <c r="H383" t="str">
        <f>IF(ISBLANK(JP!F387),"","x")</f>
        <v/>
      </c>
      <c r="I383" t="str">
        <f>IF(ISBLANK(JP!G387),"","x")</f>
        <v/>
      </c>
      <c r="J383" t="str">
        <f>IF(ISBLANK(JP!H387),"","x")</f>
        <v/>
      </c>
      <c r="K383" t="str">
        <f>IF(ISBLANK(JP!I387),"","x")</f>
        <v/>
      </c>
      <c r="L383" t="str">
        <f>IF(ISBLANK(JP!J387),"","x")</f>
        <v/>
      </c>
      <c r="M383" t="str">
        <f>IF(ISBLANK(JP!L387),"","x")</f>
        <v/>
      </c>
      <c r="N383" t="str">
        <f>IF(ISBLANK(JP!M387),"","x")</f>
        <v/>
      </c>
      <c r="O383" t="str">
        <f>IF(ISBLANK(JP!N387),"","x")</f>
        <v/>
      </c>
      <c r="P383" t="str">
        <f>IF(ISBLANK(JP!O387),"","x")</f>
        <v/>
      </c>
      <c r="Q383" t="str">
        <f>IF(ISBLANK(JP!P387),"","x")</f>
        <v/>
      </c>
      <c r="R383" t="str">
        <f>IF(ISBLANK(JP!Q387),"","x")</f>
        <v/>
      </c>
      <c r="S383" t="str">
        <f>IF(ISBLANK(JP!R387),"","x")</f>
        <v/>
      </c>
      <c r="T383" t="str">
        <f>IF(ISBLANK(JP!T387),"","x")</f>
        <v/>
      </c>
      <c r="U383" t="str">
        <f>IF(ISBLANK(JP!U387),"","x")</f>
        <v/>
      </c>
      <c r="V383" t="str">
        <f>IF(ISBLANK(JP!V387),"","x")</f>
        <v/>
      </c>
      <c r="W383" t="str">
        <f>IF(ISBLANK(JP!W387),"","x")</f>
        <v/>
      </c>
      <c r="X383" t="str">
        <f>IF(ISBLANK(JP!X387),"","x")</f>
        <v/>
      </c>
      <c r="Y383" t="str">
        <f>IF(ISBLANK(JP!Y387),"","x")</f>
        <v/>
      </c>
      <c r="Z383" t="str">
        <f>IF(ISBLANK(JP!Z387),"","x")</f>
        <v/>
      </c>
      <c r="AA383" t="str">
        <f>IF(ISBLANK(JP!AB387),"","x")</f>
        <v/>
      </c>
      <c r="AB383" t="str">
        <f>IF(ISBLANK(JP!AC387),"","x")</f>
        <v/>
      </c>
      <c r="AC383" t="str">
        <f>IF(ISBLANK(JP!AD387),"","x")</f>
        <v/>
      </c>
      <c r="AD383" t="str">
        <f>IF(ISBLANK(JP!AE387),"","x")</f>
        <v/>
      </c>
      <c r="AE383" t="str">
        <f>IF(ISBLANK(JP!AF387),"","x")</f>
        <v/>
      </c>
      <c r="AF383" t="str">
        <f>IF(ISBLANK(JP!AG387),"","x")</f>
        <v/>
      </c>
      <c r="AG383" t="str">
        <f>IF(ISBLANK(JP!AH387),"","x")</f>
        <v/>
      </c>
      <c r="AH383" t="str">
        <f>IF(ISBLANK(JP!AJ387),"","x")</f>
        <v/>
      </c>
      <c r="AI383" t="str">
        <f>IF(ISBLANK(JP!AK387),"","x")</f>
        <v/>
      </c>
      <c r="AJ383" t="str">
        <f>IF(ISBLANK(JP!AL387),"","x")</f>
        <v/>
      </c>
      <c r="AK383" t="str">
        <f>IF(ISBLANK(JP!AM387),"","x")</f>
        <v/>
      </c>
      <c r="AL383" t="str">
        <f>IF(ISBLANK(JP!AN387),"","x")</f>
        <v/>
      </c>
      <c r="AM383" t="str">
        <f>IF(ISBLANK(JP!AO387),"","x")</f>
        <v/>
      </c>
      <c r="AN383" t="str">
        <f>IF(ISBLANK(JP!AP387),"","x")</f>
        <v/>
      </c>
      <c r="AO383" t="str">
        <f>IF(ISBLANK(JP!AR387),"","x")</f>
        <v/>
      </c>
      <c r="AP383" t="str">
        <f>IF(ISBLANK(JP!AS387),"","x")</f>
        <v/>
      </c>
      <c r="AQ383" t="str">
        <f>IF(ISBLANK(JP!AT387),"","x")</f>
        <v/>
      </c>
      <c r="AR383" t="str">
        <f>IF(ISBLANK(JP!AU387),"","x")</f>
        <v/>
      </c>
      <c r="AS383" t="str">
        <f>IF(ISBLANK(JP!AV387),"","x")</f>
        <v/>
      </c>
      <c r="AT383" t="str">
        <f>IF(ISBLANK(JP!AW387),"","x")</f>
        <v/>
      </c>
      <c r="AU383" t="str">
        <f>IF(ISBLANK(JP!AX387),"","x")</f>
        <v/>
      </c>
    </row>
    <row r="384" spans="2:47">
      <c r="B384" t="str">
        <f>IF(ISBLANK(JP!AZ388),"",JP!AZ388)</f>
        <v/>
      </c>
      <c r="C384" t="str">
        <f>IF(ISBLANK(JP!BA388),"",JP!BA388)</f>
        <v/>
      </c>
      <c r="D384" t="str">
        <f>IF(ISBLANK(JP!BC388),"",JP!BC388)</f>
        <v/>
      </c>
      <c r="E384" t="str">
        <f>IF(ISBLANK(JP!BB388),"",JP!BB388)</f>
        <v/>
      </c>
      <c r="F384" t="str">
        <f>IF(ISBLANK(JP!D388),"","x")</f>
        <v/>
      </c>
      <c r="G384" t="str">
        <f>IF(ISBLANK(JP!E388),"","x")</f>
        <v/>
      </c>
      <c r="H384" t="str">
        <f>IF(ISBLANK(JP!F388),"","x")</f>
        <v/>
      </c>
      <c r="I384" t="str">
        <f>IF(ISBLANK(JP!G388),"","x")</f>
        <v/>
      </c>
      <c r="J384" t="str">
        <f>IF(ISBLANK(JP!H388),"","x")</f>
        <v/>
      </c>
      <c r="K384" t="str">
        <f>IF(ISBLANK(JP!I388),"","x")</f>
        <v/>
      </c>
      <c r="L384" t="str">
        <f>IF(ISBLANK(JP!J388),"","x")</f>
        <v/>
      </c>
      <c r="M384" t="str">
        <f>IF(ISBLANK(JP!L388),"","x")</f>
        <v/>
      </c>
      <c r="N384" t="str">
        <f>IF(ISBLANK(JP!M388),"","x")</f>
        <v/>
      </c>
      <c r="O384" t="str">
        <f>IF(ISBLANK(JP!N388),"","x")</f>
        <v/>
      </c>
      <c r="P384" t="str">
        <f>IF(ISBLANK(JP!O388),"","x")</f>
        <v/>
      </c>
      <c r="Q384" t="str">
        <f>IF(ISBLANK(JP!P388),"","x")</f>
        <v/>
      </c>
      <c r="R384" t="str">
        <f>IF(ISBLANK(JP!Q388),"","x")</f>
        <v/>
      </c>
      <c r="S384" t="str">
        <f>IF(ISBLANK(JP!R388),"","x")</f>
        <v/>
      </c>
      <c r="T384" t="str">
        <f>IF(ISBLANK(JP!T388),"","x")</f>
        <v/>
      </c>
      <c r="U384" t="str">
        <f>IF(ISBLANK(JP!U388),"","x")</f>
        <v/>
      </c>
      <c r="V384" t="str">
        <f>IF(ISBLANK(JP!V388),"","x")</f>
        <v/>
      </c>
      <c r="W384" t="str">
        <f>IF(ISBLANK(JP!W388),"","x")</f>
        <v/>
      </c>
      <c r="X384" t="str">
        <f>IF(ISBLANK(JP!X388),"","x")</f>
        <v/>
      </c>
      <c r="Y384" t="str">
        <f>IF(ISBLANK(JP!Y388),"","x")</f>
        <v/>
      </c>
      <c r="Z384" t="str">
        <f>IF(ISBLANK(JP!Z388),"","x")</f>
        <v/>
      </c>
      <c r="AA384" t="str">
        <f>IF(ISBLANK(JP!AB388),"","x")</f>
        <v/>
      </c>
      <c r="AB384" t="str">
        <f>IF(ISBLANK(JP!AC388),"","x")</f>
        <v/>
      </c>
      <c r="AC384" t="str">
        <f>IF(ISBLANK(JP!AD388),"","x")</f>
        <v/>
      </c>
      <c r="AD384" t="str">
        <f>IF(ISBLANK(JP!AE388),"","x")</f>
        <v/>
      </c>
      <c r="AE384" t="str">
        <f>IF(ISBLANK(JP!AF388),"","x")</f>
        <v/>
      </c>
      <c r="AF384" t="str">
        <f>IF(ISBLANK(JP!AG388),"","x")</f>
        <v/>
      </c>
      <c r="AG384" t="str">
        <f>IF(ISBLANK(JP!AH388),"","x")</f>
        <v/>
      </c>
      <c r="AH384" t="str">
        <f>IF(ISBLANK(JP!AJ388),"","x")</f>
        <v/>
      </c>
      <c r="AI384" t="str">
        <f>IF(ISBLANK(JP!AK388),"","x")</f>
        <v/>
      </c>
      <c r="AJ384" t="str">
        <f>IF(ISBLANK(JP!AL388),"","x")</f>
        <v/>
      </c>
      <c r="AK384" t="str">
        <f>IF(ISBLANK(JP!AM388),"","x")</f>
        <v/>
      </c>
      <c r="AL384" t="str">
        <f>IF(ISBLANK(JP!AN388),"","x")</f>
        <v/>
      </c>
      <c r="AM384" t="str">
        <f>IF(ISBLANK(JP!AO388),"","x")</f>
        <v/>
      </c>
      <c r="AN384" t="str">
        <f>IF(ISBLANK(JP!AP388),"","x")</f>
        <v/>
      </c>
      <c r="AO384" t="str">
        <f>IF(ISBLANK(JP!AR388),"","x")</f>
        <v/>
      </c>
      <c r="AP384" t="str">
        <f>IF(ISBLANK(JP!AS388),"","x")</f>
        <v/>
      </c>
      <c r="AQ384" t="str">
        <f>IF(ISBLANK(JP!AT388),"","x")</f>
        <v/>
      </c>
      <c r="AR384" t="str">
        <f>IF(ISBLANK(JP!AU388),"","x")</f>
        <v/>
      </c>
      <c r="AS384" t="str">
        <f>IF(ISBLANK(JP!AV388),"","x")</f>
        <v/>
      </c>
      <c r="AT384" t="str">
        <f>IF(ISBLANK(JP!AW388),"","x")</f>
        <v/>
      </c>
      <c r="AU384" t="str">
        <f>IF(ISBLANK(JP!AX388),"","x")</f>
        <v/>
      </c>
    </row>
    <row r="385" spans="2:47">
      <c r="B385" t="str">
        <f>IF(ISBLANK(JP!AZ389),"",JP!AZ389)</f>
        <v/>
      </c>
      <c r="C385" t="str">
        <f>IF(ISBLANK(JP!BA389),"",JP!BA389)</f>
        <v/>
      </c>
      <c r="D385" t="str">
        <f>IF(ISBLANK(JP!BC389),"",JP!BC389)</f>
        <v/>
      </c>
      <c r="E385" t="str">
        <f>IF(ISBLANK(JP!BB389),"",JP!BB389)</f>
        <v/>
      </c>
      <c r="F385" t="str">
        <f>IF(ISBLANK(JP!D389),"","x")</f>
        <v/>
      </c>
      <c r="G385" t="str">
        <f>IF(ISBLANK(JP!E389),"","x")</f>
        <v/>
      </c>
      <c r="H385" t="str">
        <f>IF(ISBLANK(JP!F389),"","x")</f>
        <v/>
      </c>
      <c r="I385" t="str">
        <f>IF(ISBLANK(JP!G389),"","x")</f>
        <v/>
      </c>
      <c r="J385" t="str">
        <f>IF(ISBLANK(JP!H389),"","x")</f>
        <v/>
      </c>
      <c r="K385" t="str">
        <f>IF(ISBLANK(JP!I389),"","x")</f>
        <v/>
      </c>
      <c r="L385" t="str">
        <f>IF(ISBLANK(JP!J389),"","x")</f>
        <v/>
      </c>
      <c r="M385" t="str">
        <f>IF(ISBLANK(JP!L389),"","x")</f>
        <v/>
      </c>
      <c r="N385" t="str">
        <f>IF(ISBLANK(JP!M389),"","x")</f>
        <v/>
      </c>
      <c r="O385" t="str">
        <f>IF(ISBLANK(JP!N389),"","x")</f>
        <v/>
      </c>
      <c r="P385" t="str">
        <f>IF(ISBLANK(JP!O389),"","x")</f>
        <v/>
      </c>
      <c r="Q385" t="str">
        <f>IF(ISBLANK(JP!P389),"","x")</f>
        <v/>
      </c>
      <c r="R385" t="str">
        <f>IF(ISBLANK(JP!Q389),"","x")</f>
        <v/>
      </c>
      <c r="S385" t="str">
        <f>IF(ISBLANK(JP!R389),"","x")</f>
        <v/>
      </c>
      <c r="T385" t="str">
        <f>IF(ISBLANK(JP!T389),"","x")</f>
        <v/>
      </c>
      <c r="U385" t="str">
        <f>IF(ISBLANK(JP!U389),"","x")</f>
        <v/>
      </c>
      <c r="V385" t="str">
        <f>IF(ISBLANK(JP!V389),"","x")</f>
        <v/>
      </c>
      <c r="W385" t="str">
        <f>IF(ISBLANK(JP!W389),"","x")</f>
        <v/>
      </c>
      <c r="X385" t="str">
        <f>IF(ISBLANK(JP!X389),"","x")</f>
        <v/>
      </c>
      <c r="Y385" t="str">
        <f>IF(ISBLANK(JP!Y389),"","x")</f>
        <v/>
      </c>
      <c r="Z385" t="str">
        <f>IF(ISBLANK(JP!Z389),"","x")</f>
        <v/>
      </c>
      <c r="AA385" t="str">
        <f>IF(ISBLANK(JP!AB389),"","x")</f>
        <v/>
      </c>
      <c r="AB385" t="str">
        <f>IF(ISBLANK(JP!AC389),"","x")</f>
        <v/>
      </c>
      <c r="AC385" t="str">
        <f>IF(ISBLANK(JP!AD389),"","x")</f>
        <v/>
      </c>
      <c r="AD385" t="str">
        <f>IF(ISBLANK(JP!AE389),"","x")</f>
        <v/>
      </c>
      <c r="AE385" t="str">
        <f>IF(ISBLANK(JP!AF389),"","x")</f>
        <v/>
      </c>
      <c r="AF385" t="str">
        <f>IF(ISBLANK(JP!AG389),"","x")</f>
        <v/>
      </c>
      <c r="AG385" t="str">
        <f>IF(ISBLANK(JP!AH389),"","x")</f>
        <v/>
      </c>
      <c r="AH385" t="str">
        <f>IF(ISBLANK(JP!AJ389),"","x")</f>
        <v/>
      </c>
      <c r="AI385" t="str">
        <f>IF(ISBLANK(JP!AK389),"","x")</f>
        <v/>
      </c>
      <c r="AJ385" t="str">
        <f>IF(ISBLANK(JP!AL389),"","x")</f>
        <v/>
      </c>
      <c r="AK385" t="str">
        <f>IF(ISBLANK(JP!AM389),"","x")</f>
        <v/>
      </c>
      <c r="AL385" t="str">
        <f>IF(ISBLANK(JP!AN389),"","x")</f>
        <v/>
      </c>
      <c r="AM385" t="str">
        <f>IF(ISBLANK(JP!AO389),"","x")</f>
        <v/>
      </c>
      <c r="AN385" t="str">
        <f>IF(ISBLANK(JP!AP389),"","x")</f>
        <v/>
      </c>
      <c r="AO385" t="str">
        <f>IF(ISBLANK(JP!AR389),"","x")</f>
        <v/>
      </c>
      <c r="AP385" t="str">
        <f>IF(ISBLANK(JP!AS389),"","x")</f>
        <v/>
      </c>
      <c r="AQ385" t="str">
        <f>IF(ISBLANK(JP!AT389),"","x")</f>
        <v/>
      </c>
      <c r="AR385" t="str">
        <f>IF(ISBLANK(JP!AU389),"","x")</f>
        <v/>
      </c>
      <c r="AS385" t="str">
        <f>IF(ISBLANK(JP!AV389),"","x")</f>
        <v/>
      </c>
      <c r="AT385" t="str">
        <f>IF(ISBLANK(JP!AW389),"","x")</f>
        <v/>
      </c>
      <c r="AU385" t="str">
        <f>IF(ISBLANK(JP!AX389),"","x")</f>
        <v/>
      </c>
    </row>
    <row r="386" spans="2:47">
      <c r="B386" t="str">
        <f>IF(ISBLANK(JP!AZ390),"",JP!AZ390)</f>
        <v/>
      </c>
      <c r="C386" t="str">
        <f>IF(ISBLANK(JP!BA390),"",JP!BA390)</f>
        <v/>
      </c>
      <c r="D386" t="str">
        <f>IF(ISBLANK(JP!BC390),"",JP!BC390)</f>
        <v/>
      </c>
      <c r="E386" t="str">
        <f>IF(ISBLANK(JP!BB390),"",JP!BB390)</f>
        <v/>
      </c>
      <c r="F386" t="str">
        <f>IF(ISBLANK(JP!D390),"","x")</f>
        <v/>
      </c>
      <c r="G386" t="str">
        <f>IF(ISBLANK(JP!E390),"","x")</f>
        <v/>
      </c>
      <c r="H386" t="str">
        <f>IF(ISBLANK(JP!F390),"","x")</f>
        <v/>
      </c>
      <c r="I386" t="str">
        <f>IF(ISBLANK(JP!G390),"","x")</f>
        <v/>
      </c>
      <c r="J386" t="str">
        <f>IF(ISBLANK(JP!H390),"","x")</f>
        <v/>
      </c>
      <c r="K386" t="str">
        <f>IF(ISBLANK(JP!I390),"","x")</f>
        <v/>
      </c>
      <c r="L386" t="str">
        <f>IF(ISBLANK(JP!J390),"","x")</f>
        <v/>
      </c>
      <c r="M386" t="str">
        <f>IF(ISBLANK(JP!L390),"","x")</f>
        <v/>
      </c>
      <c r="N386" t="str">
        <f>IF(ISBLANK(JP!M390),"","x")</f>
        <v/>
      </c>
      <c r="O386" t="str">
        <f>IF(ISBLANK(JP!N390),"","x")</f>
        <v/>
      </c>
      <c r="P386" t="str">
        <f>IF(ISBLANK(JP!O390),"","x")</f>
        <v/>
      </c>
      <c r="Q386" t="str">
        <f>IF(ISBLANK(JP!P390),"","x")</f>
        <v/>
      </c>
      <c r="R386" t="str">
        <f>IF(ISBLANK(JP!Q390),"","x")</f>
        <v/>
      </c>
      <c r="S386" t="str">
        <f>IF(ISBLANK(JP!R390),"","x")</f>
        <v/>
      </c>
      <c r="T386" t="str">
        <f>IF(ISBLANK(JP!T390),"","x")</f>
        <v/>
      </c>
      <c r="U386" t="str">
        <f>IF(ISBLANK(JP!U390),"","x")</f>
        <v/>
      </c>
      <c r="V386" t="str">
        <f>IF(ISBLANK(JP!V390),"","x")</f>
        <v/>
      </c>
      <c r="W386" t="str">
        <f>IF(ISBLANK(JP!W390),"","x")</f>
        <v/>
      </c>
      <c r="X386" t="str">
        <f>IF(ISBLANK(JP!X390),"","x")</f>
        <v/>
      </c>
      <c r="Y386" t="str">
        <f>IF(ISBLANK(JP!Y390),"","x")</f>
        <v/>
      </c>
      <c r="Z386" t="str">
        <f>IF(ISBLANK(JP!Z390),"","x")</f>
        <v/>
      </c>
      <c r="AA386" t="str">
        <f>IF(ISBLANK(JP!AB390),"","x")</f>
        <v/>
      </c>
      <c r="AB386" t="str">
        <f>IF(ISBLANK(JP!AC390),"","x")</f>
        <v/>
      </c>
      <c r="AC386" t="str">
        <f>IF(ISBLANK(JP!AD390),"","x")</f>
        <v/>
      </c>
      <c r="AD386" t="str">
        <f>IF(ISBLANK(JP!AE390),"","x")</f>
        <v/>
      </c>
      <c r="AE386" t="str">
        <f>IF(ISBLANK(JP!AF390),"","x")</f>
        <v/>
      </c>
      <c r="AF386" t="str">
        <f>IF(ISBLANK(JP!AG390),"","x")</f>
        <v/>
      </c>
      <c r="AG386" t="str">
        <f>IF(ISBLANK(JP!AH390),"","x")</f>
        <v/>
      </c>
      <c r="AH386" t="str">
        <f>IF(ISBLANK(JP!AJ390),"","x")</f>
        <v/>
      </c>
      <c r="AI386" t="str">
        <f>IF(ISBLANK(JP!AK390),"","x")</f>
        <v/>
      </c>
      <c r="AJ386" t="str">
        <f>IF(ISBLANK(JP!AL390),"","x")</f>
        <v/>
      </c>
      <c r="AK386" t="str">
        <f>IF(ISBLANK(JP!AM390),"","x")</f>
        <v/>
      </c>
      <c r="AL386" t="str">
        <f>IF(ISBLANK(JP!AN390),"","x")</f>
        <v/>
      </c>
      <c r="AM386" t="str">
        <f>IF(ISBLANK(JP!AO390),"","x")</f>
        <v/>
      </c>
      <c r="AN386" t="str">
        <f>IF(ISBLANK(JP!AP390),"","x")</f>
        <v/>
      </c>
      <c r="AO386" t="str">
        <f>IF(ISBLANK(JP!AR390),"","x")</f>
        <v/>
      </c>
      <c r="AP386" t="str">
        <f>IF(ISBLANK(JP!AS390),"","x")</f>
        <v/>
      </c>
      <c r="AQ386" t="str">
        <f>IF(ISBLANK(JP!AT390),"","x")</f>
        <v/>
      </c>
      <c r="AR386" t="str">
        <f>IF(ISBLANK(JP!AU390),"","x")</f>
        <v/>
      </c>
      <c r="AS386" t="str">
        <f>IF(ISBLANK(JP!AV390),"","x")</f>
        <v/>
      </c>
      <c r="AT386" t="str">
        <f>IF(ISBLANK(JP!AW390),"","x")</f>
        <v/>
      </c>
      <c r="AU386" t="str">
        <f>IF(ISBLANK(JP!AX390),"","x")</f>
        <v/>
      </c>
    </row>
    <row r="387" spans="2:47">
      <c r="B387" t="str">
        <f>IF(ISBLANK(JP!AZ391),"",JP!AZ391)</f>
        <v/>
      </c>
      <c r="C387" t="str">
        <f>IF(ISBLANK(JP!BA391),"",JP!BA391)</f>
        <v/>
      </c>
      <c r="D387" t="str">
        <f>IF(ISBLANK(JP!BC391),"",JP!BC391)</f>
        <v/>
      </c>
      <c r="E387" t="str">
        <f>IF(ISBLANK(JP!BB391),"",JP!BB391)</f>
        <v/>
      </c>
      <c r="F387" t="str">
        <f>IF(ISBLANK(JP!D391),"","x")</f>
        <v/>
      </c>
      <c r="G387" t="str">
        <f>IF(ISBLANK(JP!E391),"","x")</f>
        <v/>
      </c>
      <c r="H387" t="str">
        <f>IF(ISBLANK(JP!F391),"","x")</f>
        <v/>
      </c>
      <c r="I387" t="str">
        <f>IF(ISBLANK(JP!G391),"","x")</f>
        <v/>
      </c>
      <c r="J387" t="str">
        <f>IF(ISBLANK(JP!H391),"","x")</f>
        <v/>
      </c>
      <c r="K387" t="str">
        <f>IF(ISBLANK(JP!I391),"","x")</f>
        <v/>
      </c>
      <c r="L387" t="str">
        <f>IF(ISBLANK(JP!J391),"","x")</f>
        <v/>
      </c>
      <c r="M387" t="str">
        <f>IF(ISBLANK(JP!L391),"","x")</f>
        <v/>
      </c>
      <c r="N387" t="str">
        <f>IF(ISBLANK(JP!M391),"","x")</f>
        <v/>
      </c>
      <c r="O387" t="str">
        <f>IF(ISBLANK(JP!N391),"","x")</f>
        <v/>
      </c>
      <c r="P387" t="str">
        <f>IF(ISBLANK(JP!O391),"","x")</f>
        <v/>
      </c>
      <c r="Q387" t="str">
        <f>IF(ISBLANK(JP!P391),"","x")</f>
        <v/>
      </c>
      <c r="R387" t="str">
        <f>IF(ISBLANK(JP!Q391),"","x")</f>
        <v/>
      </c>
      <c r="S387" t="str">
        <f>IF(ISBLANK(JP!R391),"","x")</f>
        <v/>
      </c>
      <c r="T387" t="str">
        <f>IF(ISBLANK(JP!T391),"","x")</f>
        <v/>
      </c>
      <c r="U387" t="str">
        <f>IF(ISBLANK(JP!U391),"","x")</f>
        <v/>
      </c>
      <c r="V387" t="str">
        <f>IF(ISBLANK(JP!V391),"","x")</f>
        <v/>
      </c>
      <c r="W387" t="str">
        <f>IF(ISBLANK(JP!W391),"","x")</f>
        <v/>
      </c>
      <c r="X387" t="str">
        <f>IF(ISBLANK(JP!X391),"","x")</f>
        <v/>
      </c>
      <c r="Y387" t="str">
        <f>IF(ISBLANK(JP!Y391),"","x")</f>
        <v/>
      </c>
      <c r="Z387" t="str">
        <f>IF(ISBLANK(JP!Z391),"","x")</f>
        <v/>
      </c>
      <c r="AA387" t="str">
        <f>IF(ISBLANK(JP!AB391),"","x")</f>
        <v/>
      </c>
      <c r="AB387" t="str">
        <f>IF(ISBLANK(JP!AC391),"","x")</f>
        <v/>
      </c>
      <c r="AC387" t="str">
        <f>IF(ISBLANK(JP!AD391),"","x")</f>
        <v/>
      </c>
      <c r="AD387" t="str">
        <f>IF(ISBLANK(JP!AE391),"","x")</f>
        <v/>
      </c>
      <c r="AE387" t="str">
        <f>IF(ISBLANK(JP!AF391),"","x")</f>
        <v/>
      </c>
      <c r="AF387" t="str">
        <f>IF(ISBLANK(JP!AG391),"","x")</f>
        <v/>
      </c>
      <c r="AG387" t="str">
        <f>IF(ISBLANK(JP!AH391),"","x")</f>
        <v/>
      </c>
      <c r="AH387" t="str">
        <f>IF(ISBLANK(JP!AJ391),"","x")</f>
        <v/>
      </c>
      <c r="AI387" t="str">
        <f>IF(ISBLANK(JP!AK391),"","x")</f>
        <v/>
      </c>
      <c r="AJ387" t="str">
        <f>IF(ISBLANK(JP!AL391),"","x")</f>
        <v/>
      </c>
      <c r="AK387" t="str">
        <f>IF(ISBLANK(JP!AM391),"","x")</f>
        <v/>
      </c>
      <c r="AL387" t="str">
        <f>IF(ISBLANK(JP!AN391),"","x")</f>
        <v/>
      </c>
      <c r="AM387" t="str">
        <f>IF(ISBLANK(JP!AO391),"","x")</f>
        <v/>
      </c>
      <c r="AN387" t="str">
        <f>IF(ISBLANK(JP!AP391),"","x")</f>
        <v/>
      </c>
      <c r="AO387" t="str">
        <f>IF(ISBLANK(JP!AR391),"","x")</f>
        <v/>
      </c>
      <c r="AP387" t="str">
        <f>IF(ISBLANK(JP!AS391),"","x")</f>
        <v/>
      </c>
      <c r="AQ387" t="str">
        <f>IF(ISBLANK(JP!AT391),"","x")</f>
        <v/>
      </c>
      <c r="AR387" t="str">
        <f>IF(ISBLANK(JP!AU391),"","x")</f>
        <v/>
      </c>
      <c r="AS387" t="str">
        <f>IF(ISBLANK(JP!AV391),"","x")</f>
        <v/>
      </c>
      <c r="AT387" t="str">
        <f>IF(ISBLANK(JP!AW391),"","x")</f>
        <v/>
      </c>
      <c r="AU387" t="str">
        <f>IF(ISBLANK(JP!AX391),"","x")</f>
        <v/>
      </c>
    </row>
    <row r="388" spans="2:47">
      <c r="B388" t="str">
        <f>IF(ISBLANK(JP!AZ392),"",JP!AZ392)</f>
        <v/>
      </c>
      <c r="C388" t="str">
        <f>IF(ISBLANK(JP!BA392),"",JP!BA392)</f>
        <v/>
      </c>
      <c r="D388" t="str">
        <f>IF(ISBLANK(JP!BC392),"",JP!BC392)</f>
        <v/>
      </c>
      <c r="E388" t="str">
        <f>IF(ISBLANK(JP!BB392),"",JP!BB392)</f>
        <v/>
      </c>
      <c r="F388" t="str">
        <f>IF(ISBLANK(JP!D392),"","x")</f>
        <v/>
      </c>
      <c r="G388" t="str">
        <f>IF(ISBLANK(JP!E392),"","x")</f>
        <v/>
      </c>
      <c r="H388" t="str">
        <f>IF(ISBLANK(JP!F392),"","x")</f>
        <v/>
      </c>
      <c r="I388" t="str">
        <f>IF(ISBLANK(JP!G392),"","x")</f>
        <v/>
      </c>
      <c r="J388" t="str">
        <f>IF(ISBLANK(JP!H392),"","x")</f>
        <v/>
      </c>
      <c r="K388" t="str">
        <f>IF(ISBLANK(JP!I392),"","x")</f>
        <v/>
      </c>
      <c r="L388" t="str">
        <f>IF(ISBLANK(JP!J392),"","x")</f>
        <v/>
      </c>
      <c r="M388" t="str">
        <f>IF(ISBLANK(JP!L392),"","x")</f>
        <v/>
      </c>
      <c r="N388" t="str">
        <f>IF(ISBLANK(JP!M392),"","x")</f>
        <v/>
      </c>
      <c r="O388" t="str">
        <f>IF(ISBLANK(JP!N392),"","x")</f>
        <v/>
      </c>
      <c r="P388" t="str">
        <f>IF(ISBLANK(JP!O392),"","x")</f>
        <v/>
      </c>
      <c r="Q388" t="str">
        <f>IF(ISBLANK(JP!P392),"","x")</f>
        <v/>
      </c>
      <c r="R388" t="str">
        <f>IF(ISBLANK(JP!Q392),"","x")</f>
        <v/>
      </c>
      <c r="S388" t="str">
        <f>IF(ISBLANK(JP!R392),"","x")</f>
        <v/>
      </c>
      <c r="T388" t="str">
        <f>IF(ISBLANK(JP!T392),"","x")</f>
        <v/>
      </c>
      <c r="U388" t="str">
        <f>IF(ISBLANK(JP!U392),"","x")</f>
        <v/>
      </c>
      <c r="V388" t="str">
        <f>IF(ISBLANK(JP!V392),"","x")</f>
        <v/>
      </c>
      <c r="W388" t="str">
        <f>IF(ISBLANK(JP!W392),"","x")</f>
        <v/>
      </c>
      <c r="X388" t="str">
        <f>IF(ISBLANK(JP!X392),"","x")</f>
        <v/>
      </c>
      <c r="Y388" t="str">
        <f>IF(ISBLANK(JP!Y392),"","x")</f>
        <v/>
      </c>
      <c r="Z388" t="str">
        <f>IF(ISBLANK(JP!Z392),"","x")</f>
        <v/>
      </c>
      <c r="AA388" t="str">
        <f>IF(ISBLANK(JP!AB392),"","x")</f>
        <v/>
      </c>
      <c r="AB388" t="str">
        <f>IF(ISBLANK(JP!AC392),"","x")</f>
        <v/>
      </c>
      <c r="AC388" t="str">
        <f>IF(ISBLANK(JP!AD392),"","x")</f>
        <v/>
      </c>
      <c r="AD388" t="str">
        <f>IF(ISBLANK(JP!AE392),"","x")</f>
        <v/>
      </c>
      <c r="AE388" t="str">
        <f>IF(ISBLANK(JP!AF392),"","x")</f>
        <v/>
      </c>
      <c r="AF388" t="str">
        <f>IF(ISBLANK(JP!AG392),"","x")</f>
        <v/>
      </c>
      <c r="AG388" t="str">
        <f>IF(ISBLANK(JP!AH392),"","x")</f>
        <v/>
      </c>
      <c r="AH388" t="str">
        <f>IF(ISBLANK(JP!AJ392),"","x")</f>
        <v/>
      </c>
      <c r="AI388" t="str">
        <f>IF(ISBLANK(JP!AK392),"","x")</f>
        <v/>
      </c>
      <c r="AJ388" t="str">
        <f>IF(ISBLANK(JP!AL392),"","x")</f>
        <v/>
      </c>
      <c r="AK388" t="str">
        <f>IF(ISBLANK(JP!AM392),"","x")</f>
        <v/>
      </c>
      <c r="AL388" t="str">
        <f>IF(ISBLANK(JP!AN392),"","x")</f>
        <v/>
      </c>
      <c r="AM388" t="str">
        <f>IF(ISBLANK(JP!AO392),"","x")</f>
        <v/>
      </c>
      <c r="AN388" t="str">
        <f>IF(ISBLANK(JP!AP392),"","x")</f>
        <v/>
      </c>
      <c r="AO388" t="str">
        <f>IF(ISBLANK(JP!AR392),"","x")</f>
        <v/>
      </c>
      <c r="AP388" t="str">
        <f>IF(ISBLANK(JP!AS392),"","x")</f>
        <v/>
      </c>
      <c r="AQ388" t="str">
        <f>IF(ISBLANK(JP!AT392),"","x")</f>
        <v/>
      </c>
      <c r="AR388" t="str">
        <f>IF(ISBLANK(JP!AU392),"","x")</f>
        <v/>
      </c>
      <c r="AS388" t="str">
        <f>IF(ISBLANK(JP!AV392),"","x")</f>
        <v/>
      </c>
      <c r="AT388" t="str">
        <f>IF(ISBLANK(JP!AW392),"","x")</f>
        <v/>
      </c>
      <c r="AU388" t="str">
        <f>IF(ISBLANK(JP!AX392),"","x")</f>
        <v/>
      </c>
    </row>
    <row r="389" spans="2:47">
      <c r="B389" t="str">
        <f>IF(ISBLANK(JP!AZ393),"",JP!AZ393)</f>
        <v/>
      </c>
      <c r="C389" t="str">
        <f>IF(ISBLANK(JP!BA393),"",JP!BA393)</f>
        <v/>
      </c>
      <c r="D389" t="str">
        <f>IF(ISBLANK(JP!BC393),"",JP!BC393)</f>
        <v/>
      </c>
      <c r="E389" t="str">
        <f>IF(ISBLANK(JP!BB393),"",JP!BB393)</f>
        <v/>
      </c>
      <c r="F389" t="str">
        <f>IF(ISBLANK(JP!D393),"","x")</f>
        <v/>
      </c>
      <c r="G389" t="str">
        <f>IF(ISBLANK(JP!E393),"","x")</f>
        <v/>
      </c>
      <c r="H389" t="str">
        <f>IF(ISBLANK(JP!F393),"","x")</f>
        <v/>
      </c>
      <c r="I389" t="str">
        <f>IF(ISBLANK(JP!G393),"","x")</f>
        <v/>
      </c>
      <c r="J389" t="str">
        <f>IF(ISBLANK(JP!H393),"","x")</f>
        <v/>
      </c>
      <c r="K389" t="str">
        <f>IF(ISBLANK(JP!I393),"","x")</f>
        <v/>
      </c>
      <c r="L389" t="str">
        <f>IF(ISBLANK(JP!J393),"","x")</f>
        <v/>
      </c>
      <c r="M389" t="str">
        <f>IF(ISBLANK(JP!L393),"","x")</f>
        <v/>
      </c>
      <c r="N389" t="str">
        <f>IF(ISBLANK(JP!M393),"","x")</f>
        <v/>
      </c>
      <c r="O389" t="str">
        <f>IF(ISBLANK(JP!N393),"","x")</f>
        <v/>
      </c>
      <c r="P389" t="str">
        <f>IF(ISBLANK(JP!O393),"","x")</f>
        <v/>
      </c>
      <c r="Q389" t="str">
        <f>IF(ISBLANK(JP!P393),"","x")</f>
        <v/>
      </c>
      <c r="R389" t="str">
        <f>IF(ISBLANK(JP!Q393),"","x")</f>
        <v/>
      </c>
      <c r="S389" t="str">
        <f>IF(ISBLANK(JP!R393),"","x")</f>
        <v/>
      </c>
      <c r="T389" t="str">
        <f>IF(ISBLANK(JP!T393),"","x")</f>
        <v/>
      </c>
      <c r="U389" t="str">
        <f>IF(ISBLANK(JP!U393),"","x")</f>
        <v/>
      </c>
      <c r="V389" t="str">
        <f>IF(ISBLANK(JP!V393),"","x")</f>
        <v/>
      </c>
      <c r="W389" t="str">
        <f>IF(ISBLANK(JP!W393),"","x")</f>
        <v/>
      </c>
      <c r="X389" t="str">
        <f>IF(ISBLANK(JP!X393),"","x")</f>
        <v/>
      </c>
      <c r="Y389" t="str">
        <f>IF(ISBLANK(JP!Y393),"","x")</f>
        <v/>
      </c>
      <c r="Z389" t="str">
        <f>IF(ISBLANK(JP!Z393),"","x")</f>
        <v/>
      </c>
      <c r="AA389" t="str">
        <f>IF(ISBLANK(JP!AB393),"","x")</f>
        <v/>
      </c>
      <c r="AB389" t="str">
        <f>IF(ISBLANK(JP!AC393),"","x")</f>
        <v/>
      </c>
      <c r="AC389" t="str">
        <f>IF(ISBLANK(JP!AD393),"","x")</f>
        <v/>
      </c>
      <c r="AD389" t="str">
        <f>IF(ISBLANK(JP!AE393),"","x")</f>
        <v/>
      </c>
      <c r="AE389" t="str">
        <f>IF(ISBLANK(JP!AF393),"","x")</f>
        <v/>
      </c>
      <c r="AF389" t="str">
        <f>IF(ISBLANK(JP!AG393),"","x")</f>
        <v/>
      </c>
      <c r="AG389" t="str">
        <f>IF(ISBLANK(JP!AH393),"","x")</f>
        <v/>
      </c>
      <c r="AH389" t="str">
        <f>IF(ISBLANK(JP!AJ393),"","x")</f>
        <v/>
      </c>
      <c r="AI389" t="str">
        <f>IF(ISBLANK(JP!AK393),"","x")</f>
        <v/>
      </c>
      <c r="AJ389" t="str">
        <f>IF(ISBLANK(JP!AL393),"","x")</f>
        <v/>
      </c>
      <c r="AK389" t="str">
        <f>IF(ISBLANK(JP!AM393),"","x")</f>
        <v/>
      </c>
      <c r="AL389" t="str">
        <f>IF(ISBLANK(JP!AN393),"","x")</f>
        <v/>
      </c>
      <c r="AM389" t="str">
        <f>IF(ISBLANK(JP!AO393),"","x")</f>
        <v/>
      </c>
      <c r="AN389" t="str">
        <f>IF(ISBLANK(JP!AP393),"","x")</f>
        <v/>
      </c>
      <c r="AO389" t="str">
        <f>IF(ISBLANK(JP!AR393),"","x")</f>
        <v/>
      </c>
      <c r="AP389" t="str">
        <f>IF(ISBLANK(JP!AS393),"","x")</f>
        <v/>
      </c>
      <c r="AQ389" t="str">
        <f>IF(ISBLANK(JP!AT393),"","x")</f>
        <v/>
      </c>
      <c r="AR389" t="str">
        <f>IF(ISBLANK(JP!AU393),"","x")</f>
        <v/>
      </c>
      <c r="AS389" t="str">
        <f>IF(ISBLANK(JP!AV393),"","x")</f>
        <v/>
      </c>
      <c r="AT389" t="str">
        <f>IF(ISBLANK(JP!AW393),"","x")</f>
        <v/>
      </c>
      <c r="AU389" t="str">
        <f>IF(ISBLANK(JP!AX393),"","x")</f>
        <v/>
      </c>
    </row>
    <row r="390" spans="2:47">
      <c r="B390" t="str">
        <f>IF(ISBLANK(JP!AZ394),"",JP!AZ394)</f>
        <v/>
      </c>
      <c r="C390" t="str">
        <f>IF(ISBLANK(JP!BA394),"",JP!BA394)</f>
        <v/>
      </c>
      <c r="D390" t="str">
        <f>IF(ISBLANK(JP!BC394),"",JP!BC394)</f>
        <v/>
      </c>
      <c r="E390" t="str">
        <f>IF(ISBLANK(JP!BB394),"",JP!BB394)</f>
        <v/>
      </c>
      <c r="F390" t="str">
        <f>IF(ISBLANK(JP!D394),"","x")</f>
        <v/>
      </c>
      <c r="G390" t="str">
        <f>IF(ISBLANK(JP!E394),"","x")</f>
        <v/>
      </c>
      <c r="H390" t="str">
        <f>IF(ISBLANK(JP!F394),"","x")</f>
        <v/>
      </c>
      <c r="I390" t="str">
        <f>IF(ISBLANK(JP!G394),"","x")</f>
        <v/>
      </c>
      <c r="J390" t="str">
        <f>IF(ISBLANK(JP!H394),"","x")</f>
        <v/>
      </c>
      <c r="K390" t="str">
        <f>IF(ISBLANK(JP!I394),"","x")</f>
        <v/>
      </c>
      <c r="L390" t="str">
        <f>IF(ISBLANK(JP!J394),"","x")</f>
        <v/>
      </c>
      <c r="M390" t="str">
        <f>IF(ISBLANK(JP!L394),"","x")</f>
        <v/>
      </c>
      <c r="N390" t="str">
        <f>IF(ISBLANK(JP!M394),"","x")</f>
        <v/>
      </c>
      <c r="O390" t="str">
        <f>IF(ISBLANK(JP!N394),"","x")</f>
        <v/>
      </c>
      <c r="P390" t="str">
        <f>IF(ISBLANK(JP!O394),"","x")</f>
        <v/>
      </c>
      <c r="Q390" t="str">
        <f>IF(ISBLANK(JP!P394),"","x")</f>
        <v/>
      </c>
      <c r="R390" t="str">
        <f>IF(ISBLANK(JP!Q394),"","x")</f>
        <v/>
      </c>
      <c r="S390" t="str">
        <f>IF(ISBLANK(JP!R394),"","x")</f>
        <v/>
      </c>
      <c r="T390" t="str">
        <f>IF(ISBLANK(JP!T394),"","x")</f>
        <v/>
      </c>
      <c r="U390" t="str">
        <f>IF(ISBLANK(JP!U394),"","x")</f>
        <v/>
      </c>
      <c r="V390" t="str">
        <f>IF(ISBLANK(JP!V394),"","x")</f>
        <v/>
      </c>
      <c r="W390" t="str">
        <f>IF(ISBLANK(JP!W394),"","x")</f>
        <v/>
      </c>
      <c r="X390" t="str">
        <f>IF(ISBLANK(JP!X394),"","x")</f>
        <v/>
      </c>
      <c r="Y390" t="str">
        <f>IF(ISBLANK(JP!Y394),"","x")</f>
        <v/>
      </c>
      <c r="Z390" t="str">
        <f>IF(ISBLANK(JP!Z394),"","x")</f>
        <v/>
      </c>
      <c r="AA390" t="str">
        <f>IF(ISBLANK(JP!AB394),"","x")</f>
        <v/>
      </c>
      <c r="AB390" t="str">
        <f>IF(ISBLANK(JP!AC394),"","x")</f>
        <v/>
      </c>
      <c r="AC390" t="str">
        <f>IF(ISBLANK(JP!AD394),"","x")</f>
        <v/>
      </c>
      <c r="AD390" t="str">
        <f>IF(ISBLANK(JP!AE394),"","x")</f>
        <v/>
      </c>
      <c r="AE390" t="str">
        <f>IF(ISBLANK(JP!AF394),"","x")</f>
        <v/>
      </c>
      <c r="AF390" t="str">
        <f>IF(ISBLANK(JP!AG394),"","x")</f>
        <v/>
      </c>
      <c r="AG390" t="str">
        <f>IF(ISBLANK(JP!AH394),"","x")</f>
        <v/>
      </c>
      <c r="AH390" t="str">
        <f>IF(ISBLANK(JP!AJ394),"","x")</f>
        <v/>
      </c>
      <c r="AI390" t="str">
        <f>IF(ISBLANK(JP!AK394),"","x")</f>
        <v/>
      </c>
      <c r="AJ390" t="str">
        <f>IF(ISBLANK(JP!AL394),"","x")</f>
        <v/>
      </c>
      <c r="AK390" t="str">
        <f>IF(ISBLANK(JP!AM394),"","x")</f>
        <v/>
      </c>
      <c r="AL390" t="str">
        <f>IF(ISBLANK(JP!AN394),"","x")</f>
        <v/>
      </c>
      <c r="AM390" t="str">
        <f>IF(ISBLANK(JP!AO394),"","x")</f>
        <v/>
      </c>
      <c r="AN390" t="str">
        <f>IF(ISBLANK(JP!AP394),"","x")</f>
        <v/>
      </c>
      <c r="AO390" t="str">
        <f>IF(ISBLANK(JP!AR394),"","x")</f>
        <v/>
      </c>
      <c r="AP390" t="str">
        <f>IF(ISBLANK(JP!AS394),"","x")</f>
        <v/>
      </c>
      <c r="AQ390" t="str">
        <f>IF(ISBLANK(JP!AT394),"","x")</f>
        <v/>
      </c>
      <c r="AR390" t="str">
        <f>IF(ISBLANK(JP!AU394),"","x")</f>
        <v/>
      </c>
      <c r="AS390" t="str">
        <f>IF(ISBLANK(JP!AV394),"","x")</f>
        <v/>
      </c>
      <c r="AT390" t="str">
        <f>IF(ISBLANK(JP!AW394),"","x")</f>
        <v/>
      </c>
      <c r="AU390" t="str">
        <f>IF(ISBLANK(JP!AX394),"","x")</f>
        <v/>
      </c>
    </row>
    <row r="391" spans="2:47">
      <c r="B391" t="str">
        <f>IF(ISBLANK(JP!AZ395),"",JP!AZ395)</f>
        <v/>
      </c>
      <c r="C391" t="str">
        <f>IF(ISBLANK(JP!BA395),"",JP!BA395)</f>
        <v/>
      </c>
      <c r="D391" t="str">
        <f>IF(ISBLANK(JP!BC395),"",JP!BC395)</f>
        <v/>
      </c>
      <c r="E391" t="str">
        <f>IF(ISBLANK(JP!BB395),"",JP!BB395)</f>
        <v/>
      </c>
      <c r="F391" t="str">
        <f>IF(ISBLANK(JP!D395),"","x")</f>
        <v/>
      </c>
      <c r="G391" t="str">
        <f>IF(ISBLANK(JP!E395),"","x")</f>
        <v/>
      </c>
      <c r="H391" t="str">
        <f>IF(ISBLANK(JP!F395),"","x")</f>
        <v/>
      </c>
      <c r="I391" t="str">
        <f>IF(ISBLANK(JP!G395),"","x")</f>
        <v/>
      </c>
      <c r="J391" t="str">
        <f>IF(ISBLANK(JP!H395),"","x")</f>
        <v/>
      </c>
      <c r="K391" t="str">
        <f>IF(ISBLANK(JP!I395),"","x")</f>
        <v/>
      </c>
      <c r="L391" t="str">
        <f>IF(ISBLANK(JP!J395),"","x")</f>
        <v/>
      </c>
      <c r="M391" t="str">
        <f>IF(ISBLANK(JP!L395),"","x")</f>
        <v/>
      </c>
      <c r="N391" t="str">
        <f>IF(ISBLANK(JP!M395),"","x")</f>
        <v/>
      </c>
      <c r="O391" t="str">
        <f>IF(ISBLANK(JP!N395),"","x")</f>
        <v/>
      </c>
      <c r="P391" t="str">
        <f>IF(ISBLANK(JP!O395),"","x")</f>
        <v/>
      </c>
      <c r="Q391" t="str">
        <f>IF(ISBLANK(JP!P395),"","x")</f>
        <v/>
      </c>
      <c r="R391" t="str">
        <f>IF(ISBLANK(JP!Q395),"","x")</f>
        <v/>
      </c>
      <c r="S391" t="str">
        <f>IF(ISBLANK(JP!R395),"","x")</f>
        <v/>
      </c>
      <c r="T391" t="str">
        <f>IF(ISBLANK(JP!T395),"","x")</f>
        <v/>
      </c>
      <c r="U391" t="str">
        <f>IF(ISBLANK(JP!U395),"","x")</f>
        <v/>
      </c>
      <c r="V391" t="str">
        <f>IF(ISBLANK(JP!V395),"","x")</f>
        <v/>
      </c>
      <c r="W391" t="str">
        <f>IF(ISBLANK(JP!W395),"","x")</f>
        <v/>
      </c>
      <c r="X391" t="str">
        <f>IF(ISBLANK(JP!X395),"","x")</f>
        <v/>
      </c>
      <c r="Y391" t="str">
        <f>IF(ISBLANK(JP!Y395),"","x")</f>
        <v/>
      </c>
      <c r="Z391" t="str">
        <f>IF(ISBLANK(JP!Z395),"","x")</f>
        <v/>
      </c>
      <c r="AA391" t="str">
        <f>IF(ISBLANK(JP!AB395),"","x")</f>
        <v/>
      </c>
      <c r="AB391" t="str">
        <f>IF(ISBLANK(JP!AC395),"","x")</f>
        <v/>
      </c>
      <c r="AC391" t="str">
        <f>IF(ISBLANK(JP!AD395),"","x")</f>
        <v/>
      </c>
      <c r="AD391" t="str">
        <f>IF(ISBLANK(JP!AE395),"","x")</f>
        <v/>
      </c>
      <c r="AE391" t="str">
        <f>IF(ISBLANK(JP!AF395),"","x")</f>
        <v/>
      </c>
      <c r="AF391" t="str">
        <f>IF(ISBLANK(JP!AG395),"","x")</f>
        <v/>
      </c>
      <c r="AG391" t="str">
        <f>IF(ISBLANK(JP!AH395),"","x")</f>
        <v/>
      </c>
      <c r="AH391" t="str">
        <f>IF(ISBLANK(JP!AJ395),"","x")</f>
        <v/>
      </c>
      <c r="AI391" t="str">
        <f>IF(ISBLANK(JP!AK395),"","x")</f>
        <v/>
      </c>
      <c r="AJ391" t="str">
        <f>IF(ISBLANK(JP!AL395),"","x")</f>
        <v/>
      </c>
      <c r="AK391" t="str">
        <f>IF(ISBLANK(JP!AM395),"","x")</f>
        <v/>
      </c>
      <c r="AL391" t="str">
        <f>IF(ISBLANK(JP!AN395),"","x")</f>
        <v/>
      </c>
      <c r="AM391" t="str">
        <f>IF(ISBLANK(JP!AO395),"","x")</f>
        <v/>
      </c>
      <c r="AN391" t="str">
        <f>IF(ISBLANK(JP!AP395),"","x")</f>
        <v/>
      </c>
      <c r="AO391" t="str">
        <f>IF(ISBLANK(JP!AR395),"","x")</f>
        <v/>
      </c>
      <c r="AP391" t="str">
        <f>IF(ISBLANK(JP!AS395),"","x")</f>
        <v/>
      </c>
      <c r="AQ391" t="str">
        <f>IF(ISBLANK(JP!AT395),"","x")</f>
        <v/>
      </c>
      <c r="AR391" t="str">
        <f>IF(ISBLANK(JP!AU395),"","x")</f>
        <v/>
      </c>
      <c r="AS391" t="str">
        <f>IF(ISBLANK(JP!AV395),"","x")</f>
        <v/>
      </c>
      <c r="AT391" t="str">
        <f>IF(ISBLANK(JP!AW395),"","x")</f>
        <v/>
      </c>
      <c r="AU391" t="str">
        <f>IF(ISBLANK(JP!AX395),"","x")</f>
        <v/>
      </c>
    </row>
    <row r="392" spans="2:47">
      <c r="B392" t="str">
        <f>IF(ISBLANK(JP!AZ396),"",JP!AZ396)</f>
        <v/>
      </c>
      <c r="C392" t="str">
        <f>IF(ISBLANK(JP!BA396),"",JP!BA396)</f>
        <v/>
      </c>
      <c r="D392" t="str">
        <f>IF(ISBLANK(JP!BC396),"",JP!BC396)</f>
        <v/>
      </c>
      <c r="E392" t="str">
        <f>IF(ISBLANK(JP!BB396),"",JP!BB396)</f>
        <v/>
      </c>
      <c r="F392" t="str">
        <f>IF(ISBLANK(JP!D396),"","x")</f>
        <v/>
      </c>
      <c r="G392" t="str">
        <f>IF(ISBLANK(JP!E396),"","x")</f>
        <v/>
      </c>
      <c r="H392" t="str">
        <f>IF(ISBLANK(JP!F396),"","x")</f>
        <v/>
      </c>
      <c r="I392" t="str">
        <f>IF(ISBLANK(JP!G396),"","x")</f>
        <v/>
      </c>
      <c r="J392" t="str">
        <f>IF(ISBLANK(JP!H396),"","x")</f>
        <v/>
      </c>
      <c r="K392" t="str">
        <f>IF(ISBLANK(JP!I396),"","x")</f>
        <v/>
      </c>
      <c r="L392" t="str">
        <f>IF(ISBLANK(JP!J396),"","x")</f>
        <v/>
      </c>
      <c r="M392" t="str">
        <f>IF(ISBLANK(JP!L396),"","x")</f>
        <v/>
      </c>
      <c r="N392" t="str">
        <f>IF(ISBLANK(JP!M396),"","x")</f>
        <v/>
      </c>
      <c r="O392" t="str">
        <f>IF(ISBLANK(JP!N396),"","x")</f>
        <v/>
      </c>
      <c r="P392" t="str">
        <f>IF(ISBLANK(JP!O396),"","x")</f>
        <v/>
      </c>
      <c r="Q392" t="str">
        <f>IF(ISBLANK(JP!P396),"","x")</f>
        <v/>
      </c>
      <c r="R392" t="str">
        <f>IF(ISBLANK(JP!Q396),"","x")</f>
        <v/>
      </c>
      <c r="S392" t="str">
        <f>IF(ISBLANK(JP!R396),"","x")</f>
        <v/>
      </c>
      <c r="T392" t="str">
        <f>IF(ISBLANK(JP!T396),"","x")</f>
        <v/>
      </c>
      <c r="U392" t="str">
        <f>IF(ISBLANK(JP!U396),"","x")</f>
        <v/>
      </c>
      <c r="V392" t="str">
        <f>IF(ISBLANK(JP!V396),"","x")</f>
        <v/>
      </c>
      <c r="W392" t="str">
        <f>IF(ISBLANK(JP!W396),"","x")</f>
        <v/>
      </c>
      <c r="X392" t="str">
        <f>IF(ISBLANK(JP!X396),"","x")</f>
        <v/>
      </c>
      <c r="Y392" t="str">
        <f>IF(ISBLANK(JP!Y396),"","x")</f>
        <v/>
      </c>
      <c r="Z392" t="str">
        <f>IF(ISBLANK(JP!Z396),"","x")</f>
        <v/>
      </c>
      <c r="AA392" t="str">
        <f>IF(ISBLANK(JP!AB396),"","x")</f>
        <v/>
      </c>
      <c r="AB392" t="str">
        <f>IF(ISBLANK(JP!AC396),"","x")</f>
        <v/>
      </c>
      <c r="AC392" t="str">
        <f>IF(ISBLANK(JP!AD396),"","x")</f>
        <v/>
      </c>
      <c r="AD392" t="str">
        <f>IF(ISBLANK(JP!AE396),"","x")</f>
        <v/>
      </c>
      <c r="AE392" t="str">
        <f>IF(ISBLANK(JP!AF396),"","x")</f>
        <v/>
      </c>
      <c r="AF392" t="str">
        <f>IF(ISBLANK(JP!AG396),"","x")</f>
        <v/>
      </c>
      <c r="AG392" t="str">
        <f>IF(ISBLANK(JP!AH396),"","x")</f>
        <v/>
      </c>
      <c r="AH392" t="str">
        <f>IF(ISBLANK(JP!AJ396),"","x")</f>
        <v/>
      </c>
      <c r="AI392" t="str">
        <f>IF(ISBLANK(JP!AK396),"","x")</f>
        <v/>
      </c>
      <c r="AJ392" t="str">
        <f>IF(ISBLANK(JP!AL396),"","x")</f>
        <v/>
      </c>
      <c r="AK392" t="str">
        <f>IF(ISBLANK(JP!AM396),"","x")</f>
        <v/>
      </c>
      <c r="AL392" t="str">
        <f>IF(ISBLANK(JP!AN396),"","x")</f>
        <v/>
      </c>
      <c r="AM392" t="str">
        <f>IF(ISBLANK(JP!AO396),"","x")</f>
        <v/>
      </c>
      <c r="AN392" t="str">
        <f>IF(ISBLANK(JP!AP396),"","x")</f>
        <v/>
      </c>
      <c r="AO392" t="str">
        <f>IF(ISBLANK(JP!AR396),"","x")</f>
        <v/>
      </c>
      <c r="AP392" t="str">
        <f>IF(ISBLANK(JP!AS396),"","x")</f>
        <v/>
      </c>
      <c r="AQ392" t="str">
        <f>IF(ISBLANK(JP!AT396),"","x")</f>
        <v/>
      </c>
      <c r="AR392" t="str">
        <f>IF(ISBLANK(JP!AU396),"","x")</f>
        <v/>
      </c>
      <c r="AS392" t="str">
        <f>IF(ISBLANK(JP!AV396),"","x")</f>
        <v/>
      </c>
      <c r="AT392" t="str">
        <f>IF(ISBLANK(JP!AW396),"","x")</f>
        <v/>
      </c>
      <c r="AU392" t="str">
        <f>IF(ISBLANK(JP!AX396),"","x")</f>
        <v/>
      </c>
    </row>
    <row r="393" spans="2:47">
      <c r="B393" t="str">
        <f>IF(ISBLANK(JP!AZ397),"",JP!AZ397)</f>
        <v/>
      </c>
      <c r="C393" t="str">
        <f>IF(ISBLANK(JP!BA397),"",JP!BA397)</f>
        <v/>
      </c>
      <c r="D393" t="str">
        <f>IF(ISBLANK(JP!BC397),"",JP!BC397)</f>
        <v/>
      </c>
      <c r="E393" t="str">
        <f>IF(ISBLANK(JP!BB397),"",JP!BB397)</f>
        <v/>
      </c>
      <c r="F393" t="str">
        <f>IF(ISBLANK(JP!D397),"","x")</f>
        <v/>
      </c>
      <c r="G393" t="str">
        <f>IF(ISBLANK(JP!E397),"","x")</f>
        <v/>
      </c>
      <c r="H393" t="str">
        <f>IF(ISBLANK(JP!F397),"","x")</f>
        <v/>
      </c>
      <c r="I393" t="str">
        <f>IF(ISBLANK(JP!G397),"","x")</f>
        <v/>
      </c>
      <c r="J393" t="str">
        <f>IF(ISBLANK(JP!H397),"","x")</f>
        <v/>
      </c>
      <c r="K393" t="str">
        <f>IF(ISBLANK(JP!I397),"","x")</f>
        <v/>
      </c>
      <c r="L393" t="str">
        <f>IF(ISBLANK(JP!J397),"","x")</f>
        <v/>
      </c>
      <c r="M393" t="str">
        <f>IF(ISBLANK(JP!L397),"","x")</f>
        <v/>
      </c>
      <c r="N393" t="str">
        <f>IF(ISBLANK(JP!M397),"","x")</f>
        <v/>
      </c>
      <c r="O393" t="str">
        <f>IF(ISBLANK(JP!N397),"","x")</f>
        <v/>
      </c>
      <c r="P393" t="str">
        <f>IF(ISBLANK(JP!O397),"","x")</f>
        <v/>
      </c>
      <c r="Q393" t="str">
        <f>IF(ISBLANK(JP!P397),"","x")</f>
        <v/>
      </c>
      <c r="R393" t="str">
        <f>IF(ISBLANK(JP!Q397),"","x")</f>
        <v/>
      </c>
      <c r="S393" t="str">
        <f>IF(ISBLANK(JP!R397),"","x")</f>
        <v/>
      </c>
      <c r="T393" t="str">
        <f>IF(ISBLANK(JP!T397),"","x")</f>
        <v/>
      </c>
      <c r="U393" t="str">
        <f>IF(ISBLANK(JP!U397),"","x")</f>
        <v/>
      </c>
      <c r="V393" t="str">
        <f>IF(ISBLANK(JP!V397),"","x")</f>
        <v/>
      </c>
      <c r="W393" t="str">
        <f>IF(ISBLANK(JP!W397),"","x")</f>
        <v/>
      </c>
      <c r="X393" t="str">
        <f>IF(ISBLANK(JP!X397),"","x")</f>
        <v/>
      </c>
      <c r="Y393" t="str">
        <f>IF(ISBLANK(JP!Y397),"","x")</f>
        <v/>
      </c>
      <c r="Z393" t="str">
        <f>IF(ISBLANK(JP!Z397),"","x")</f>
        <v/>
      </c>
      <c r="AA393" t="str">
        <f>IF(ISBLANK(JP!AB397),"","x")</f>
        <v/>
      </c>
      <c r="AB393" t="str">
        <f>IF(ISBLANK(JP!AC397),"","x")</f>
        <v/>
      </c>
      <c r="AC393" t="str">
        <f>IF(ISBLANK(JP!AD397),"","x")</f>
        <v/>
      </c>
      <c r="AD393" t="str">
        <f>IF(ISBLANK(JP!AE397),"","x")</f>
        <v/>
      </c>
      <c r="AE393" t="str">
        <f>IF(ISBLANK(JP!AF397),"","x")</f>
        <v/>
      </c>
      <c r="AF393" t="str">
        <f>IF(ISBLANK(JP!AG397),"","x")</f>
        <v/>
      </c>
      <c r="AG393" t="str">
        <f>IF(ISBLANK(JP!AH397),"","x")</f>
        <v/>
      </c>
      <c r="AH393" t="str">
        <f>IF(ISBLANK(JP!AJ397),"","x")</f>
        <v/>
      </c>
      <c r="AI393" t="str">
        <f>IF(ISBLANK(JP!AK397),"","x")</f>
        <v/>
      </c>
      <c r="AJ393" t="str">
        <f>IF(ISBLANK(JP!AL397),"","x")</f>
        <v/>
      </c>
      <c r="AK393" t="str">
        <f>IF(ISBLANK(JP!AM397),"","x")</f>
        <v/>
      </c>
      <c r="AL393" t="str">
        <f>IF(ISBLANK(JP!AN397),"","x")</f>
        <v/>
      </c>
      <c r="AM393" t="str">
        <f>IF(ISBLANK(JP!AO397),"","x")</f>
        <v/>
      </c>
      <c r="AN393" t="str">
        <f>IF(ISBLANK(JP!AP397),"","x")</f>
        <v/>
      </c>
      <c r="AO393" t="str">
        <f>IF(ISBLANK(JP!AR397),"","x")</f>
        <v/>
      </c>
      <c r="AP393" t="str">
        <f>IF(ISBLANK(JP!AS397),"","x")</f>
        <v/>
      </c>
      <c r="AQ393" t="str">
        <f>IF(ISBLANK(JP!AT397),"","x")</f>
        <v/>
      </c>
      <c r="AR393" t="str">
        <f>IF(ISBLANK(JP!AU397),"","x")</f>
        <v/>
      </c>
      <c r="AS393" t="str">
        <f>IF(ISBLANK(JP!AV397),"","x")</f>
        <v/>
      </c>
      <c r="AT393" t="str">
        <f>IF(ISBLANK(JP!AW397),"","x")</f>
        <v/>
      </c>
      <c r="AU393" t="str">
        <f>IF(ISBLANK(JP!AX397),"","x")</f>
        <v/>
      </c>
    </row>
    <row r="394" spans="2:47">
      <c r="B394" t="str">
        <f>IF(ISBLANK(JP!AZ398),"",JP!AZ398)</f>
        <v/>
      </c>
      <c r="C394" t="str">
        <f>IF(ISBLANK(JP!BA398),"",JP!BA398)</f>
        <v/>
      </c>
      <c r="D394" t="str">
        <f>IF(ISBLANK(JP!BC398),"",JP!BC398)</f>
        <v/>
      </c>
      <c r="E394" t="str">
        <f>IF(ISBLANK(JP!BB398),"",JP!BB398)</f>
        <v/>
      </c>
      <c r="F394" t="str">
        <f>IF(ISBLANK(JP!D398),"","x")</f>
        <v/>
      </c>
      <c r="G394" t="str">
        <f>IF(ISBLANK(JP!E398),"","x")</f>
        <v/>
      </c>
      <c r="H394" t="str">
        <f>IF(ISBLANK(JP!F398),"","x")</f>
        <v/>
      </c>
      <c r="I394" t="str">
        <f>IF(ISBLANK(JP!G398),"","x")</f>
        <v/>
      </c>
      <c r="J394" t="str">
        <f>IF(ISBLANK(JP!H398),"","x")</f>
        <v/>
      </c>
      <c r="K394" t="str">
        <f>IF(ISBLANK(JP!I398),"","x")</f>
        <v/>
      </c>
      <c r="L394" t="str">
        <f>IF(ISBLANK(JP!J398),"","x")</f>
        <v/>
      </c>
      <c r="M394" t="str">
        <f>IF(ISBLANK(JP!L398),"","x")</f>
        <v/>
      </c>
      <c r="N394" t="str">
        <f>IF(ISBLANK(JP!M398),"","x")</f>
        <v/>
      </c>
      <c r="O394" t="str">
        <f>IF(ISBLANK(JP!N398),"","x")</f>
        <v/>
      </c>
      <c r="P394" t="str">
        <f>IF(ISBLANK(JP!O398),"","x")</f>
        <v/>
      </c>
      <c r="Q394" t="str">
        <f>IF(ISBLANK(JP!P398),"","x")</f>
        <v/>
      </c>
      <c r="R394" t="str">
        <f>IF(ISBLANK(JP!Q398),"","x")</f>
        <v/>
      </c>
      <c r="S394" t="str">
        <f>IF(ISBLANK(JP!R398),"","x")</f>
        <v/>
      </c>
      <c r="T394" t="str">
        <f>IF(ISBLANK(JP!T398),"","x")</f>
        <v/>
      </c>
      <c r="U394" t="str">
        <f>IF(ISBLANK(JP!U398),"","x")</f>
        <v/>
      </c>
      <c r="V394" t="str">
        <f>IF(ISBLANK(JP!V398),"","x")</f>
        <v/>
      </c>
      <c r="W394" t="str">
        <f>IF(ISBLANK(JP!W398),"","x")</f>
        <v/>
      </c>
      <c r="X394" t="str">
        <f>IF(ISBLANK(JP!X398),"","x")</f>
        <v/>
      </c>
      <c r="Y394" t="str">
        <f>IF(ISBLANK(JP!Y398),"","x")</f>
        <v/>
      </c>
      <c r="Z394" t="str">
        <f>IF(ISBLANK(JP!Z398),"","x")</f>
        <v/>
      </c>
      <c r="AA394" t="str">
        <f>IF(ISBLANK(JP!AB398),"","x")</f>
        <v/>
      </c>
      <c r="AB394" t="str">
        <f>IF(ISBLANK(JP!AC398),"","x")</f>
        <v/>
      </c>
      <c r="AC394" t="str">
        <f>IF(ISBLANK(JP!AD398),"","x")</f>
        <v/>
      </c>
      <c r="AD394" t="str">
        <f>IF(ISBLANK(JP!AE398),"","x")</f>
        <v/>
      </c>
      <c r="AE394" t="str">
        <f>IF(ISBLANK(JP!AF398),"","x")</f>
        <v/>
      </c>
      <c r="AF394" t="str">
        <f>IF(ISBLANK(JP!AG398),"","x")</f>
        <v/>
      </c>
      <c r="AG394" t="str">
        <f>IF(ISBLANK(JP!AH398),"","x")</f>
        <v/>
      </c>
      <c r="AH394" t="str">
        <f>IF(ISBLANK(JP!AJ398),"","x")</f>
        <v/>
      </c>
      <c r="AI394" t="str">
        <f>IF(ISBLANK(JP!AK398),"","x")</f>
        <v/>
      </c>
      <c r="AJ394" t="str">
        <f>IF(ISBLANK(JP!AL398),"","x")</f>
        <v/>
      </c>
      <c r="AK394" t="str">
        <f>IF(ISBLANK(JP!AM398),"","x")</f>
        <v/>
      </c>
      <c r="AL394" t="str">
        <f>IF(ISBLANK(JP!AN398),"","x")</f>
        <v/>
      </c>
      <c r="AM394" t="str">
        <f>IF(ISBLANK(JP!AO398),"","x")</f>
        <v/>
      </c>
      <c r="AN394" t="str">
        <f>IF(ISBLANK(JP!AP398),"","x")</f>
        <v/>
      </c>
      <c r="AO394" t="str">
        <f>IF(ISBLANK(JP!AR398),"","x")</f>
        <v/>
      </c>
      <c r="AP394" t="str">
        <f>IF(ISBLANK(JP!AS398),"","x")</f>
        <v/>
      </c>
      <c r="AQ394" t="str">
        <f>IF(ISBLANK(JP!AT398),"","x")</f>
        <v/>
      </c>
      <c r="AR394" t="str">
        <f>IF(ISBLANK(JP!AU398),"","x")</f>
        <v/>
      </c>
      <c r="AS394" t="str">
        <f>IF(ISBLANK(JP!AV398),"","x")</f>
        <v/>
      </c>
      <c r="AT394" t="str">
        <f>IF(ISBLANK(JP!AW398),"","x")</f>
        <v/>
      </c>
      <c r="AU394" t="str">
        <f>IF(ISBLANK(JP!AX398),"","x")</f>
        <v/>
      </c>
    </row>
    <row r="395" spans="2:47">
      <c r="B395" t="str">
        <f>IF(ISBLANK(JP!AZ399),"",JP!AZ399)</f>
        <v/>
      </c>
      <c r="C395" t="str">
        <f>IF(ISBLANK(JP!BA399),"",JP!BA399)</f>
        <v/>
      </c>
      <c r="D395" t="str">
        <f>IF(ISBLANK(JP!BC399),"",JP!BC399)</f>
        <v/>
      </c>
      <c r="E395" t="str">
        <f>IF(ISBLANK(JP!BB399),"",JP!BB399)</f>
        <v/>
      </c>
      <c r="F395" t="str">
        <f>IF(ISBLANK(JP!D399),"","x")</f>
        <v/>
      </c>
      <c r="G395" t="str">
        <f>IF(ISBLANK(JP!E399),"","x")</f>
        <v/>
      </c>
      <c r="H395" t="str">
        <f>IF(ISBLANK(JP!F399),"","x")</f>
        <v/>
      </c>
      <c r="I395" t="str">
        <f>IF(ISBLANK(JP!G399),"","x")</f>
        <v/>
      </c>
      <c r="J395" t="str">
        <f>IF(ISBLANK(JP!H399),"","x")</f>
        <v/>
      </c>
      <c r="K395" t="str">
        <f>IF(ISBLANK(JP!I399),"","x")</f>
        <v/>
      </c>
      <c r="L395" t="str">
        <f>IF(ISBLANK(JP!J399),"","x")</f>
        <v/>
      </c>
      <c r="M395" t="str">
        <f>IF(ISBLANK(JP!L399),"","x")</f>
        <v/>
      </c>
      <c r="N395" t="str">
        <f>IF(ISBLANK(JP!M399),"","x")</f>
        <v/>
      </c>
      <c r="O395" t="str">
        <f>IF(ISBLANK(JP!N399),"","x")</f>
        <v/>
      </c>
      <c r="P395" t="str">
        <f>IF(ISBLANK(JP!O399),"","x")</f>
        <v/>
      </c>
      <c r="Q395" t="str">
        <f>IF(ISBLANK(JP!P399),"","x")</f>
        <v/>
      </c>
      <c r="R395" t="str">
        <f>IF(ISBLANK(JP!Q399),"","x")</f>
        <v/>
      </c>
      <c r="S395" t="str">
        <f>IF(ISBLANK(JP!R399),"","x")</f>
        <v/>
      </c>
      <c r="T395" t="str">
        <f>IF(ISBLANK(JP!T399),"","x")</f>
        <v/>
      </c>
      <c r="U395" t="str">
        <f>IF(ISBLANK(JP!U399),"","x")</f>
        <v/>
      </c>
      <c r="V395" t="str">
        <f>IF(ISBLANK(JP!V399),"","x")</f>
        <v/>
      </c>
      <c r="W395" t="str">
        <f>IF(ISBLANK(JP!W399),"","x")</f>
        <v/>
      </c>
      <c r="X395" t="str">
        <f>IF(ISBLANK(JP!X399),"","x")</f>
        <v/>
      </c>
      <c r="Y395" t="str">
        <f>IF(ISBLANK(JP!Y399),"","x")</f>
        <v/>
      </c>
      <c r="Z395" t="str">
        <f>IF(ISBLANK(JP!Z399),"","x")</f>
        <v/>
      </c>
      <c r="AA395" t="str">
        <f>IF(ISBLANK(JP!AB399),"","x")</f>
        <v/>
      </c>
      <c r="AB395" t="str">
        <f>IF(ISBLANK(JP!AC399),"","x")</f>
        <v/>
      </c>
      <c r="AC395" t="str">
        <f>IF(ISBLANK(JP!AD399),"","x")</f>
        <v/>
      </c>
      <c r="AD395" t="str">
        <f>IF(ISBLANK(JP!AE399),"","x")</f>
        <v/>
      </c>
      <c r="AE395" t="str">
        <f>IF(ISBLANK(JP!AF399),"","x")</f>
        <v/>
      </c>
      <c r="AF395" t="str">
        <f>IF(ISBLANK(JP!AG399),"","x")</f>
        <v/>
      </c>
      <c r="AG395" t="str">
        <f>IF(ISBLANK(JP!AH399),"","x")</f>
        <v/>
      </c>
      <c r="AH395" t="str">
        <f>IF(ISBLANK(JP!AJ399),"","x")</f>
        <v/>
      </c>
      <c r="AI395" t="str">
        <f>IF(ISBLANK(JP!AK399),"","x")</f>
        <v/>
      </c>
      <c r="AJ395" t="str">
        <f>IF(ISBLANK(JP!AL399),"","x")</f>
        <v/>
      </c>
      <c r="AK395" t="str">
        <f>IF(ISBLANK(JP!AM399),"","x")</f>
        <v/>
      </c>
      <c r="AL395" t="str">
        <f>IF(ISBLANK(JP!AN399),"","x")</f>
        <v/>
      </c>
      <c r="AM395" t="str">
        <f>IF(ISBLANK(JP!AO399),"","x")</f>
        <v/>
      </c>
      <c r="AN395" t="str">
        <f>IF(ISBLANK(JP!AP399),"","x")</f>
        <v/>
      </c>
      <c r="AO395" t="str">
        <f>IF(ISBLANK(JP!AR399),"","x")</f>
        <v/>
      </c>
      <c r="AP395" t="str">
        <f>IF(ISBLANK(JP!AS399),"","x")</f>
        <v/>
      </c>
      <c r="AQ395" t="str">
        <f>IF(ISBLANK(JP!AT399),"","x")</f>
        <v/>
      </c>
      <c r="AR395" t="str">
        <f>IF(ISBLANK(JP!AU399),"","x")</f>
        <v/>
      </c>
      <c r="AS395" t="str">
        <f>IF(ISBLANK(JP!AV399),"","x")</f>
        <v/>
      </c>
      <c r="AT395" t="str">
        <f>IF(ISBLANK(JP!AW399),"","x")</f>
        <v/>
      </c>
      <c r="AU395" t="str">
        <f>IF(ISBLANK(JP!AX399),"","x")</f>
        <v/>
      </c>
    </row>
    <row r="396" spans="2:47">
      <c r="B396" t="str">
        <f>IF(ISBLANK(JP!AZ400),"",JP!AZ400)</f>
        <v/>
      </c>
      <c r="C396" t="str">
        <f>IF(ISBLANK(JP!BA400),"",JP!BA400)</f>
        <v/>
      </c>
      <c r="D396" t="str">
        <f>IF(ISBLANK(JP!BC400),"",JP!BC400)</f>
        <v/>
      </c>
      <c r="E396" t="str">
        <f>IF(ISBLANK(JP!BB400),"",JP!BB400)</f>
        <v/>
      </c>
      <c r="F396" t="str">
        <f>IF(ISBLANK(JP!D400),"","x")</f>
        <v/>
      </c>
      <c r="G396" t="str">
        <f>IF(ISBLANK(JP!E400),"","x")</f>
        <v/>
      </c>
      <c r="H396" t="str">
        <f>IF(ISBLANK(JP!F400),"","x")</f>
        <v/>
      </c>
      <c r="I396" t="str">
        <f>IF(ISBLANK(JP!G400),"","x")</f>
        <v/>
      </c>
      <c r="J396" t="str">
        <f>IF(ISBLANK(JP!H400),"","x")</f>
        <v/>
      </c>
      <c r="K396" t="str">
        <f>IF(ISBLANK(JP!I400),"","x")</f>
        <v/>
      </c>
      <c r="L396" t="str">
        <f>IF(ISBLANK(JP!J400),"","x")</f>
        <v/>
      </c>
      <c r="M396" t="str">
        <f>IF(ISBLANK(JP!L400),"","x")</f>
        <v/>
      </c>
      <c r="N396" t="str">
        <f>IF(ISBLANK(JP!M400),"","x")</f>
        <v/>
      </c>
      <c r="O396" t="str">
        <f>IF(ISBLANK(JP!N400),"","x")</f>
        <v/>
      </c>
      <c r="P396" t="str">
        <f>IF(ISBLANK(JP!O400),"","x")</f>
        <v/>
      </c>
      <c r="Q396" t="str">
        <f>IF(ISBLANK(JP!P400),"","x")</f>
        <v/>
      </c>
      <c r="R396" t="str">
        <f>IF(ISBLANK(JP!Q400),"","x")</f>
        <v/>
      </c>
      <c r="S396" t="str">
        <f>IF(ISBLANK(JP!R400),"","x")</f>
        <v/>
      </c>
      <c r="T396" t="str">
        <f>IF(ISBLANK(JP!T400),"","x")</f>
        <v/>
      </c>
      <c r="U396" t="str">
        <f>IF(ISBLANK(JP!U400),"","x")</f>
        <v/>
      </c>
      <c r="V396" t="str">
        <f>IF(ISBLANK(JP!V400),"","x")</f>
        <v/>
      </c>
      <c r="W396" t="str">
        <f>IF(ISBLANK(JP!W400),"","x")</f>
        <v/>
      </c>
      <c r="X396" t="str">
        <f>IF(ISBLANK(JP!X400),"","x")</f>
        <v/>
      </c>
      <c r="Y396" t="str">
        <f>IF(ISBLANK(JP!Y400),"","x")</f>
        <v/>
      </c>
      <c r="Z396" t="str">
        <f>IF(ISBLANK(JP!Z400),"","x")</f>
        <v/>
      </c>
      <c r="AA396" t="str">
        <f>IF(ISBLANK(JP!AB400),"","x")</f>
        <v/>
      </c>
      <c r="AB396" t="str">
        <f>IF(ISBLANK(JP!AC400),"","x")</f>
        <v/>
      </c>
      <c r="AC396" t="str">
        <f>IF(ISBLANK(JP!AD400),"","x")</f>
        <v/>
      </c>
      <c r="AD396" t="str">
        <f>IF(ISBLANK(JP!AE400),"","x")</f>
        <v/>
      </c>
      <c r="AE396" t="str">
        <f>IF(ISBLANK(JP!AF400),"","x")</f>
        <v/>
      </c>
      <c r="AF396" t="str">
        <f>IF(ISBLANK(JP!AG400),"","x")</f>
        <v/>
      </c>
      <c r="AG396" t="str">
        <f>IF(ISBLANK(JP!AH400),"","x")</f>
        <v/>
      </c>
      <c r="AH396" t="str">
        <f>IF(ISBLANK(JP!AJ400),"","x")</f>
        <v/>
      </c>
      <c r="AI396" t="str">
        <f>IF(ISBLANK(JP!AK400),"","x")</f>
        <v/>
      </c>
      <c r="AJ396" t="str">
        <f>IF(ISBLANK(JP!AL400),"","x")</f>
        <v/>
      </c>
      <c r="AK396" t="str">
        <f>IF(ISBLANK(JP!AM400),"","x")</f>
        <v/>
      </c>
      <c r="AL396" t="str">
        <f>IF(ISBLANK(JP!AN400),"","x")</f>
        <v/>
      </c>
      <c r="AM396" t="str">
        <f>IF(ISBLANK(JP!AO400),"","x")</f>
        <v/>
      </c>
      <c r="AN396" t="str">
        <f>IF(ISBLANK(JP!AP400),"","x")</f>
        <v/>
      </c>
      <c r="AO396" t="str">
        <f>IF(ISBLANK(JP!AR400),"","x")</f>
        <v/>
      </c>
      <c r="AP396" t="str">
        <f>IF(ISBLANK(JP!AS400),"","x")</f>
        <v/>
      </c>
      <c r="AQ396" t="str">
        <f>IF(ISBLANK(JP!AT400),"","x")</f>
        <v/>
      </c>
      <c r="AR396" t="str">
        <f>IF(ISBLANK(JP!AU400),"","x")</f>
        <v/>
      </c>
      <c r="AS396" t="str">
        <f>IF(ISBLANK(JP!AV400),"","x")</f>
        <v/>
      </c>
      <c r="AT396" t="str">
        <f>IF(ISBLANK(JP!AW400),"","x")</f>
        <v/>
      </c>
      <c r="AU396" t="str">
        <f>IF(ISBLANK(JP!AX400),"","x")</f>
        <v/>
      </c>
    </row>
    <row r="397" spans="2:47">
      <c r="B397" t="str">
        <f>IF(ISBLANK(JP!AZ401),"",JP!AZ401)</f>
        <v/>
      </c>
      <c r="C397" t="str">
        <f>IF(ISBLANK(JP!BA401),"",JP!BA401)</f>
        <v/>
      </c>
      <c r="D397" t="str">
        <f>IF(ISBLANK(JP!BC401),"",JP!BC401)</f>
        <v/>
      </c>
      <c r="E397" t="str">
        <f>IF(ISBLANK(JP!BB401),"",JP!BB401)</f>
        <v/>
      </c>
      <c r="F397" t="str">
        <f>IF(ISBLANK(JP!D401),"","x")</f>
        <v/>
      </c>
      <c r="G397" t="str">
        <f>IF(ISBLANK(JP!E401),"","x")</f>
        <v/>
      </c>
      <c r="H397" t="str">
        <f>IF(ISBLANK(JP!F401),"","x")</f>
        <v/>
      </c>
      <c r="I397" t="str">
        <f>IF(ISBLANK(JP!G401),"","x")</f>
        <v/>
      </c>
      <c r="J397" t="str">
        <f>IF(ISBLANK(JP!H401),"","x")</f>
        <v/>
      </c>
      <c r="K397" t="str">
        <f>IF(ISBLANK(JP!I401),"","x")</f>
        <v/>
      </c>
      <c r="L397" t="str">
        <f>IF(ISBLANK(JP!J401),"","x")</f>
        <v/>
      </c>
      <c r="M397" t="str">
        <f>IF(ISBLANK(JP!L401),"","x")</f>
        <v/>
      </c>
      <c r="N397" t="str">
        <f>IF(ISBLANK(JP!M401),"","x")</f>
        <v/>
      </c>
      <c r="O397" t="str">
        <f>IF(ISBLANK(JP!N401),"","x")</f>
        <v/>
      </c>
      <c r="P397" t="str">
        <f>IF(ISBLANK(JP!O401),"","x")</f>
        <v/>
      </c>
      <c r="Q397" t="str">
        <f>IF(ISBLANK(JP!P401),"","x")</f>
        <v/>
      </c>
      <c r="R397" t="str">
        <f>IF(ISBLANK(JP!Q401),"","x")</f>
        <v/>
      </c>
      <c r="S397" t="str">
        <f>IF(ISBLANK(JP!R401),"","x")</f>
        <v/>
      </c>
      <c r="T397" t="str">
        <f>IF(ISBLANK(JP!T401),"","x")</f>
        <v/>
      </c>
      <c r="U397" t="str">
        <f>IF(ISBLANK(JP!U401),"","x")</f>
        <v/>
      </c>
      <c r="V397" t="str">
        <f>IF(ISBLANK(JP!V401),"","x")</f>
        <v/>
      </c>
      <c r="W397" t="str">
        <f>IF(ISBLANK(JP!W401),"","x")</f>
        <v/>
      </c>
      <c r="X397" t="str">
        <f>IF(ISBLANK(JP!X401),"","x")</f>
        <v/>
      </c>
      <c r="Y397" t="str">
        <f>IF(ISBLANK(JP!Y401),"","x")</f>
        <v/>
      </c>
      <c r="Z397" t="str">
        <f>IF(ISBLANK(JP!Z401),"","x")</f>
        <v/>
      </c>
      <c r="AA397" t="str">
        <f>IF(ISBLANK(JP!AB401),"","x")</f>
        <v/>
      </c>
      <c r="AB397" t="str">
        <f>IF(ISBLANK(JP!AC401),"","x")</f>
        <v/>
      </c>
      <c r="AC397" t="str">
        <f>IF(ISBLANK(JP!AD401),"","x")</f>
        <v/>
      </c>
      <c r="AD397" t="str">
        <f>IF(ISBLANK(JP!AE401),"","x")</f>
        <v/>
      </c>
      <c r="AE397" t="str">
        <f>IF(ISBLANK(JP!AF401),"","x")</f>
        <v/>
      </c>
      <c r="AF397" t="str">
        <f>IF(ISBLANK(JP!AG401),"","x")</f>
        <v/>
      </c>
      <c r="AG397" t="str">
        <f>IF(ISBLANK(JP!AH401),"","x")</f>
        <v/>
      </c>
      <c r="AH397" t="str">
        <f>IF(ISBLANK(JP!AJ401),"","x")</f>
        <v/>
      </c>
      <c r="AI397" t="str">
        <f>IF(ISBLANK(JP!AK401),"","x")</f>
        <v/>
      </c>
      <c r="AJ397" t="str">
        <f>IF(ISBLANK(JP!AL401),"","x")</f>
        <v/>
      </c>
      <c r="AK397" t="str">
        <f>IF(ISBLANK(JP!AM401),"","x")</f>
        <v/>
      </c>
      <c r="AL397" t="str">
        <f>IF(ISBLANK(JP!AN401),"","x")</f>
        <v/>
      </c>
      <c r="AM397" t="str">
        <f>IF(ISBLANK(JP!AO401),"","x")</f>
        <v/>
      </c>
      <c r="AN397" t="str">
        <f>IF(ISBLANK(JP!AP401),"","x")</f>
        <v/>
      </c>
      <c r="AO397" t="str">
        <f>IF(ISBLANK(JP!AR401),"","x")</f>
        <v/>
      </c>
      <c r="AP397" t="str">
        <f>IF(ISBLANK(JP!AS401),"","x")</f>
        <v/>
      </c>
      <c r="AQ397" t="str">
        <f>IF(ISBLANK(JP!AT401),"","x")</f>
        <v/>
      </c>
      <c r="AR397" t="str">
        <f>IF(ISBLANK(JP!AU401),"","x")</f>
        <v/>
      </c>
      <c r="AS397" t="str">
        <f>IF(ISBLANK(JP!AV401),"","x")</f>
        <v/>
      </c>
      <c r="AT397" t="str">
        <f>IF(ISBLANK(JP!AW401),"","x")</f>
        <v/>
      </c>
      <c r="AU397" t="str">
        <f>IF(ISBLANK(JP!AX401),"","x")</f>
        <v/>
      </c>
    </row>
    <row r="398" spans="2:47">
      <c r="B398" t="str">
        <f>IF(ISBLANK(JP!AZ402),"",JP!AZ402)</f>
        <v/>
      </c>
      <c r="C398" t="str">
        <f>IF(ISBLANK(JP!BA402),"",JP!BA402)</f>
        <v/>
      </c>
      <c r="D398" t="str">
        <f>IF(ISBLANK(JP!BC402),"",JP!BC402)</f>
        <v/>
      </c>
      <c r="E398" t="str">
        <f>IF(ISBLANK(JP!BB402),"",JP!BB402)</f>
        <v/>
      </c>
      <c r="F398" t="str">
        <f>IF(ISBLANK(JP!D402),"","x")</f>
        <v/>
      </c>
      <c r="G398" t="str">
        <f>IF(ISBLANK(JP!E402),"","x")</f>
        <v/>
      </c>
      <c r="H398" t="str">
        <f>IF(ISBLANK(JP!F402),"","x")</f>
        <v/>
      </c>
      <c r="I398" t="str">
        <f>IF(ISBLANK(JP!G402),"","x")</f>
        <v/>
      </c>
      <c r="J398" t="str">
        <f>IF(ISBLANK(JP!H402),"","x")</f>
        <v/>
      </c>
      <c r="K398" t="str">
        <f>IF(ISBLANK(JP!I402),"","x")</f>
        <v/>
      </c>
      <c r="L398" t="str">
        <f>IF(ISBLANK(JP!J402),"","x")</f>
        <v/>
      </c>
      <c r="M398" t="str">
        <f>IF(ISBLANK(JP!L402),"","x")</f>
        <v/>
      </c>
      <c r="N398" t="str">
        <f>IF(ISBLANK(JP!M402),"","x")</f>
        <v/>
      </c>
      <c r="O398" t="str">
        <f>IF(ISBLANK(JP!N402),"","x")</f>
        <v/>
      </c>
      <c r="P398" t="str">
        <f>IF(ISBLANK(JP!O402),"","x")</f>
        <v/>
      </c>
      <c r="Q398" t="str">
        <f>IF(ISBLANK(JP!P402),"","x")</f>
        <v/>
      </c>
      <c r="R398" t="str">
        <f>IF(ISBLANK(JP!Q402),"","x")</f>
        <v/>
      </c>
      <c r="S398" t="str">
        <f>IF(ISBLANK(JP!R402),"","x")</f>
        <v/>
      </c>
      <c r="T398" t="str">
        <f>IF(ISBLANK(JP!T402),"","x")</f>
        <v/>
      </c>
      <c r="U398" t="str">
        <f>IF(ISBLANK(JP!U402),"","x")</f>
        <v/>
      </c>
      <c r="V398" t="str">
        <f>IF(ISBLANK(JP!V402),"","x")</f>
        <v/>
      </c>
      <c r="W398" t="str">
        <f>IF(ISBLANK(JP!W402),"","x")</f>
        <v/>
      </c>
      <c r="X398" t="str">
        <f>IF(ISBLANK(JP!X402),"","x")</f>
        <v/>
      </c>
      <c r="Y398" t="str">
        <f>IF(ISBLANK(JP!Y402),"","x")</f>
        <v/>
      </c>
      <c r="Z398" t="str">
        <f>IF(ISBLANK(JP!Z402),"","x")</f>
        <v/>
      </c>
      <c r="AA398" t="str">
        <f>IF(ISBLANK(JP!AB402),"","x")</f>
        <v/>
      </c>
      <c r="AB398" t="str">
        <f>IF(ISBLANK(JP!AC402),"","x")</f>
        <v/>
      </c>
      <c r="AC398" t="str">
        <f>IF(ISBLANK(JP!AD402),"","x")</f>
        <v/>
      </c>
      <c r="AD398" t="str">
        <f>IF(ISBLANK(JP!AE402),"","x")</f>
        <v/>
      </c>
      <c r="AE398" t="str">
        <f>IF(ISBLANK(JP!AF402),"","x")</f>
        <v/>
      </c>
      <c r="AF398" t="str">
        <f>IF(ISBLANK(JP!AG402),"","x")</f>
        <v/>
      </c>
      <c r="AG398" t="str">
        <f>IF(ISBLANK(JP!AH402),"","x")</f>
        <v/>
      </c>
      <c r="AH398" t="str">
        <f>IF(ISBLANK(JP!AJ402),"","x")</f>
        <v/>
      </c>
      <c r="AI398" t="str">
        <f>IF(ISBLANK(JP!AK402),"","x")</f>
        <v/>
      </c>
      <c r="AJ398" t="str">
        <f>IF(ISBLANK(JP!AL402),"","x")</f>
        <v/>
      </c>
      <c r="AK398" t="str">
        <f>IF(ISBLANK(JP!AM402),"","x")</f>
        <v/>
      </c>
      <c r="AL398" t="str">
        <f>IF(ISBLANK(JP!AN402),"","x")</f>
        <v/>
      </c>
      <c r="AM398" t="str">
        <f>IF(ISBLANK(JP!AO402),"","x")</f>
        <v/>
      </c>
      <c r="AN398" t="str">
        <f>IF(ISBLANK(JP!AP402),"","x")</f>
        <v/>
      </c>
      <c r="AO398" t="str">
        <f>IF(ISBLANK(JP!AR402),"","x")</f>
        <v/>
      </c>
      <c r="AP398" t="str">
        <f>IF(ISBLANK(JP!AS402),"","x")</f>
        <v/>
      </c>
      <c r="AQ398" t="str">
        <f>IF(ISBLANK(JP!AT402),"","x")</f>
        <v/>
      </c>
      <c r="AR398" t="str">
        <f>IF(ISBLANK(JP!AU402),"","x")</f>
        <v/>
      </c>
      <c r="AS398" t="str">
        <f>IF(ISBLANK(JP!AV402),"","x")</f>
        <v/>
      </c>
      <c r="AT398" t="str">
        <f>IF(ISBLANK(JP!AW402),"","x")</f>
        <v/>
      </c>
      <c r="AU398" t="str">
        <f>IF(ISBLANK(JP!AX402),"","x")</f>
        <v/>
      </c>
    </row>
    <row r="399" spans="2:47">
      <c r="B399" t="str">
        <f>IF(ISBLANK(JP!AZ403),"",JP!AZ403)</f>
        <v/>
      </c>
      <c r="C399" t="str">
        <f>IF(ISBLANK(JP!BA403),"",JP!BA403)</f>
        <v/>
      </c>
      <c r="D399" t="str">
        <f>IF(ISBLANK(JP!BC403),"",JP!BC403)</f>
        <v/>
      </c>
      <c r="E399" t="str">
        <f>IF(ISBLANK(JP!BB403),"",JP!BB403)</f>
        <v/>
      </c>
      <c r="F399" t="str">
        <f>IF(ISBLANK(JP!D403),"","x")</f>
        <v/>
      </c>
      <c r="G399" t="str">
        <f>IF(ISBLANK(JP!E403),"","x")</f>
        <v/>
      </c>
      <c r="H399" t="str">
        <f>IF(ISBLANK(JP!F403),"","x")</f>
        <v/>
      </c>
      <c r="I399" t="str">
        <f>IF(ISBLANK(JP!G403),"","x")</f>
        <v/>
      </c>
      <c r="J399" t="str">
        <f>IF(ISBLANK(JP!H403),"","x")</f>
        <v/>
      </c>
      <c r="K399" t="str">
        <f>IF(ISBLANK(JP!I403),"","x")</f>
        <v/>
      </c>
      <c r="L399" t="str">
        <f>IF(ISBLANK(JP!J403),"","x")</f>
        <v/>
      </c>
      <c r="M399" t="str">
        <f>IF(ISBLANK(JP!L403),"","x")</f>
        <v/>
      </c>
      <c r="N399" t="str">
        <f>IF(ISBLANK(JP!M403),"","x")</f>
        <v/>
      </c>
      <c r="O399" t="str">
        <f>IF(ISBLANK(JP!N403),"","x")</f>
        <v/>
      </c>
      <c r="P399" t="str">
        <f>IF(ISBLANK(JP!O403),"","x")</f>
        <v/>
      </c>
      <c r="Q399" t="str">
        <f>IF(ISBLANK(JP!P403),"","x")</f>
        <v/>
      </c>
      <c r="R399" t="str">
        <f>IF(ISBLANK(JP!Q403),"","x")</f>
        <v/>
      </c>
      <c r="S399" t="str">
        <f>IF(ISBLANK(JP!R403),"","x")</f>
        <v/>
      </c>
      <c r="T399" t="str">
        <f>IF(ISBLANK(JP!T403),"","x")</f>
        <v/>
      </c>
      <c r="U399" t="str">
        <f>IF(ISBLANK(JP!U403),"","x")</f>
        <v/>
      </c>
      <c r="V399" t="str">
        <f>IF(ISBLANK(JP!V403),"","x")</f>
        <v/>
      </c>
      <c r="W399" t="str">
        <f>IF(ISBLANK(JP!W403),"","x")</f>
        <v/>
      </c>
      <c r="X399" t="str">
        <f>IF(ISBLANK(JP!X403),"","x")</f>
        <v/>
      </c>
      <c r="Y399" t="str">
        <f>IF(ISBLANK(JP!Y403),"","x")</f>
        <v/>
      </c>
      <c r="Z399" t="str">
        <f>IF(ISBLANK(JP!Z403),"","x")</f>
        <v/>
      </c>
      <c r="AA399" t="str">
        <f>IF(ISBLANK(JP!AB403),"","x")</f>
        <v/>
      </c>
      <c r="AB399" t="str">
        <f>IF(ISBLANK(JP!AC403),"","x")</f>
        <v/>
      </c>
      <c r="AC399" t="str">
        <f>IF(ISBLANK(JP!AD403),"","x")</f>
        <v/>
      </c>
      <c r="AD399" t="str">
        <f>IF(ISBLANK(JP!AE403),"","x")</f>
        <v/>
      </c>
      <c r="AE399" t="str">
        <f>IF(ISBLANK(JP!AF403),"","x")</f>
        <v/>
      </c>
      <c r="AF399" t="str">
        <f>IF(ISBLANK(JP!AG403),"","x")</f>
        <v/>
      </c>
      <c r="AG399" t="str">
        <f>IF(ISBLANK(JP!AH403),"","x")</f>
        <v/>
      </c>
      <c r="AH399" t="str">
        <f>IF(ISBLANK(JP!AJ403),"","x")</f>
        <v/>
      </c>
      <c r="AI399" t="str">
        <f>IF(ISBLANK(JP!AK403),"","x")</f>
        <v/>
      </c>
      <c r="AJ399" t="str">
        <f>IF(ISBLANK(JP!AL403),"","x")</f>
        <v/>
      </c>
      <c r="AK399" t="str">
        <f>IF(ISBLANK(JP!AM403),"","x")</f>
        <v/>
      </c>
      <c r="AL399" t="str">
        <f>IF(ISBLANK(JP!AN403),"","x")</f>
        <v/>
      </c>
      <c r="AM399" t="str">
        <f>IF(ISBLANK(JP!AO403),"","x")</f>
        <v/>
      </c>
      <c r="AN399" t="str">
        <f>IF(ISBLANK(JP!AP403),"","x")</f>
        <v/>
      </c>
      <c r="AO399" t="str">
        <f>IF(ISBLANK(JP!AR403),"","x")</f>
        <v/>
      </c>
      <c r="AP399" t="str">
        <f>IF(ISBLANK(JP!AS403),"","x")</f>
        <v/>
      </c>
      <c r="AQ399" t="str">
        <f>IF(ISBLANK(JP!AT403),"","x")</f>
        <v/>
      </c>
      <c r="AR399" t="str">
        <f>IF(ISBLANK(JP!AU403),"","x")</f>
        <v/>
      </c>
      <c r="AS399" t="str">
        <f>IF(ISBLANK(JP!AV403),"","x")</f>
        <v/>
      </c>
      <c r="AT399" t="str">
        <f>IF(ISBLANK(JP!AW403),"","x")</f>
        <v/>
      </c>
      <c r="AU399" t="str">
        <f>IF(ISBLANK(JP!AX403),"","x")</f>
        <v/>
      </c>
    </row>
    <row r="400" spans="2:47">
      <c r="B400" t="str">
        <f>IF(ISBLANK(JP!AZ404),"",JP!AZ404)</f>
        <v/>
      </c>
      <c r="C400" t="str">
        <f>IF(ISBLANK(JP!BA404),"",JP!BA404)</f>
        <v/>
      </c>
      <c r="D400" t="str">
        <f>IF(ISBLANK(JP!BC404),"",JP!BC404)</f>
        <v/>
      </c>
      <c r="E400" t="str">
        <f>IF(ISBLANK(JP!BB404),"",JP!BB404)</f>
        <v/>
      </c>
      <c r="F400" t="str">
        <f>IF(ISBLANK(JP!D404),"","x")</f>
        <v/>
      </c>
      <c r="G400" t="str">
        <f>IF(ISBLANK(JP!E404),"","x")</f>
        <v/>
      </c>
      <c r="H400" t="str">
        <f>IF(ISBLANK(JP!F404),"","x")</f>
        <v/>
      </c>
      <c r="I400" t="str">
        <f>IF(ISBLANK(JP!G404),"","x")</f>
        <v/>
      </c>
      <c r="J400" t="str">
        <f>IF(ISBLANK(JP!H404),"","x")</f>
        <v/>
      </c>
      <c r="K400" t="str">
        <f>IF(ISBLANK(JP!I404),"","x")</f>
        <v/>
      </c>
      <c r="L400" t="str">
        <f>IF(ISBLANK(JP!J404),"","x")</f>
        <v/>
      </c>
      <c r="M400" t="str">
        <f>IF(ISBLANK(JP!L404),"","x")</f>
        <v/>
      </c>
      <c r="N400" t="str">
        <f>IF(ISBLANK(JP!M404),"","x")</f>
        <v/>
      </c>
      <c r="O400" t="str">
        <f>IF(ISBLANK(JP!N404),"","x")</f>
        <v/>
      </c>
      <c r="P400" t="str">
        <f>IF(ISBLANK(JP!O404),"","x")</f>
        <v/>
      </c>
      <c r="Q400" t="str">
        <f>IF(ISBLANK(JP!P404),"","x")</f>
        <v/>
      </c>
      <c r="R400" t="str">
        <f>IF(ISBLANK(JP!Q404),"","x")</f>
        <v/>
      </c>
      <c r="S400" t="str">
        <f>IF(ISBLANK(JP!R404),"","x")</f>
        <v/>
      </c>
      <c r="T400" t="str">
        <f>IF(ISBLANK(JP!T404),"","x")</f>
        <v/>
      </c>
      <c r="U400" t="str">
        <f>IF(ISBLANK(JP!U404),"","x")</f>
        <v/>
      </c>
      <c r="V400" t="str">
        <f>IF(ISBLANK(JP!V404),"","x")</f>
        <v/>
      </c>
      <c r="W400" t="str">
        <f>IF(ISBLANK(JP!W404),"","x")</f>
        <v/>
      </c>
      <c r="X400" t="str">
        <f>IF(ISBLANK(JP!X404),"","x")</f>
        <v/>
      </c>
      <c r="Y400" t="str">
        <f>IF(ISBLANK(JP!Y404),"","x")</f>
        <v/>
      </c>
      <c r="Z400" t="str">
        <f>IF(ISBLANK(JP!Z404),"","x")</f>
        <v/>
      </c>
      <c r="AA400" t="str">
        <f>IF(ISBLANK(JP!AB404),"","x")</f>
        <v/>
      </c>
      <c r="AB400" t="str">
        <f>IF(ISBLANK(JP!AC404),"","x")</f>
        <v/>
      </c>
      <c r="AC400" t="str">
        <f>IF(ISBLANK(JP!AD404),"","x")</f>
        <v/>
      </c>
      <c r="AD400" t="str">
        <f>IF(ISBLANK(JP!AE404),"","x")</f>
        <v/>
      </c>
      <c r="AE400" t="str">
        <f>IF(ISBLANK(JP!AF404),"","x")</f>
        <v/>
      </c>
      <c r="AF400" t="str">
        <f>IF(ISBLANK(JP!AG404),"","x")</f>
        <v/>
      </c>
      <c r="AG400" t="str">
        <f>IF(ISBLANK(JP!AH404),"","x")</f>
        <v/>
      </c>
      <c r="AH400" t="str">
        <f>IF(ISBLANK(JP!AJ404),"","x")</f>
        <v/>
      </c>
      <c r="AI400" t="str">
        <f>IF(ISBLANK(JP!AK404),"","x")</f>
        <v/>
      </c>
      <c r="AJ400" t="str">
        <f>IF(ISBLANK(JP!AL404),"","x")</f>
        <v/>
      </c>
      <c r="AK400" t="str">
        <f>IF(ISBLANK(JP!AM404),"","x")</f>
        <v/>
      </c>
      <c r="AL400" t="str">
        <f>IF(ISBLANK(JP!AN404),"","x")</f>
        <v/>
      </c>
      <c r="AM400" t="str">
        <f>IF(ISBLANK(JP!AO404),"","x")</f>
        <v/>
      </c>
      <c r="AN400" t="str">
        <f>IF(ISBLANK(JP!AP404),"","x")</f>
        <v/>
      </c>
      <c r="AO400" t="str">
        <f>IF(ISBLANK(JP!AR404),"","x")</f>
        <v/>
      </c>
      <c r="AP400" t="str">
        <f>IF(ISBLANK(JP!AS404),"","x")</f>
        <v/>
      </c>
      <c r="AQ400" t="str">
        <f>IF(ISBLANK(JP!AT404),"","x")</f>
        <v/>
      </c>
      <c r="AR400" t="str">
        <f>IF(ISBLANK(JP!AU404),"","x")</f>
        <v/>
      </c>
      <c r="AS400" t="str">
        <f>IF(ISBLANK(JP!AV404),"","x")</f>
        <v/>
      </c>
      <c r="AT400" t="str">
        <f>IF(ISBLANK(JP!AW404),"","x")</f>
        <v/>
      </c>
      <c r="AU400" t="str">
        <f>IF(ISBLANK(JP!AX404),"","x")</f>
        <v/>
      </c>
    </row>
    <row r="401" spans="2:47">
      <c r="B401" t="str">
        <f>IF(ISBLANK(JP!AZ405),"",JP!AZ405)</f>
        <v/>
      </c>
      <c r="C401" t="str">
        <f>IF(ISBLANK(JP!BA405),"",JP!BA405)</f>
        <v/>
      </c>
      <c r="D401" t="str">
        <f>IF(ISBLANK(JP!BC405),"",JP!BC405)</f>
        <v/>
      </c>
      <c r="E401" t="str">
        <f>IF(ISBLANK(JP!BB405),"",JP!BB405)</f>
        <v/>
      </c>
      <c r="F401" t="str">
        <f>IF(ISBLANK(JP!D405),"","x")</f>
        <v/>
      </c>
      <c r="G401" t="str">
        <f>IF(ISBLANK(JP!E405),"","x")</f>
        <v/>
      </c>
      <c r="H401" t="str">
        <f>IF(ISBLANK(JP!F405),"","x")</f>
        <v/>
      </c>
      <c r="I401" t="str">
        <f>IF(ISBLANK(JP!G405),"","x")</f>
        <v/>
      </c>
      <c r="J401" t="str">
        <f>IF(ISBLANK(JP!H405),"","x")</f>
        <v/>
      </c>
      <c r="K401" t="str">
        <f>IF(ISBLANK(JP!I405),"","x")</f>
        <v/>
      </c>
      <c r="L401" t="str">
        <f>IF(ISBLANK(JP!J405),"","x")</f>
        <v/>
      </c>
      <c r="M401" t="str">
        <f>IF(ISBLANK(JP!L405),"","x")</f>
        <v/>
      </c>
      <c r="N401" t="str">
        <f>IF(ISBLANK(JP!M405),"","x")</f>
        <v/>
      </c>
      <c r="O401" t="str">
        <f>IF(ISBLANK(JP!N405),"","x")</f>
        <v/>
      </c>
      <c r="P401" t="str">
        <f>IF(ISBLANK(JP!O405),"","x")</f>
        <v/>
      </c>
      <c r="Q401" t="str">
        <f>IF(ISBLANK(JP!P405),"","x")</f>
        <v/>
      </c>
      <c r="R401" t="str">
        <f>IF(ISBLANK(JP!Q405),"","x")</f>
        <v/>
      </c>
      <c r="S401" t="str">
        <f>IF(ISBLANK(JP!R405),"","x")</f>
        <v/>
      </c>
      <c r="T401" t="str">
        <f>IF(ISBLANK(JP!T405),"","x")</f>
        <v/>
      </c>
      <c r="U401" t="str">
        <f>IF(ISBLANK(JP!U405),"","x")</f>
        <v/>
      </c>
      <c r="V401" t="str">
        <f>IF(ISBLANK(JP!V405),"","x")</f>
        <v/>
      </c>
      <c r="W401" t="str">
        <f>IF(ISBLANK(JP!W405),"","x")</f>
        <v/>
      </c>
      <c r="X401" t="str">
        <f>IF(ISBLANK(JP!X405),"","x")</f>
        <v/>
      </c>
      <c r="Y401" t="str">
        <f>IF(ISBLANK(JP!Y405),"","x")</f>
        <v/>
      </c>
      <c r="Z401" t="str">
        <f>IF(ISBLANK(JP!Z405),"","x")</f>
        <v/>
      </c>
      <c r="AA401" t="str">
        <f>IF(ISBLANK(JP!AB405),"","x")</f>
        <v/>
      </c>
      <c r="AB401" t="str">
        <f>IF(ISBLANK(JP!AC405),"","x")</f>
        <v/>
      </c>
      <c r="AC401" t="str">
        <f>IF(ISBLANK(JP!AD405),"","x")</f>
        <v/>
      </c>
      <c r="AD401" t="str">
        <f>IF(ISBLANK(JP!AE405),"","x")</f>
        <v/>
      </c>
      <c r="AE401" t="str">
        <f>IF(ISBLANK(JP!AF405),"","x")</f>
        <v/>
      </c>
      <c r="AF401" t="str">
        <f>IF(ISBLANK(JP!AG405),"","x")</f>
        <v/>
      </c>
      <c r="AG401" t="str">
        <f>IF(ISBLANK(JP!AH405),"","x")</f>
        <v/>
      </c>
      <c r="AH401" t="str">
        <f>IF(ISBLANK(JP!AJ405),"","x")</f>
        <v/>
      </c>
      <c r="AI401" t="str">
        <f>IF(ISBLANK(JP!AK405),"","x")</f>
        <v/>
      </c>
      <c r="AJ401" t="str">
        <f>IF(ISBLANK(JP!AL405),"","x")</f>
        <v/>
      </c>
      <c r="AK401" t="str">
        <f>IF(ISBLANK(JP!AM405),"","x")</f>
        <v/>
      </c>
      <c r="AL401" t="str">
        <f>IF(ISBLANK(JP!AN405),"","x")</f>
        <v/>
      </c>
      <c r="AM401" t="str">
        <f>IF(ISBLANK(JP!AO405),"","x")</f>
        <v/>
      </c>
      <c r="AN401" t="str">
        <f>IF(ISBLANK(JP!AP405),"","x")</f>
        <v/>
      </c>
      <c r="AO401" t="str">
        <f>IF(ISBLANK(JP!AR405),"","x")</f>
        <v/>
      </c>
      <c r="AP401" t="str">
        <f>IF(ISBLANK(JP!AS405),"","x")</f>
        <v/>
      </c>
      <c r="AQ401" t="str">
        <f>IF(ISBLANK(JP!AT405),"","x")</f>
        <v/>
      </c>
      <c r="AR401" t="str">
        <f>IF(ISBLANK(JP!AU405),"","x")</f>
        <v/>
      </c>
      <c r="AS401" t="str">
        <f>IF(ISBLANK(JP!AV405),"","x")</f>
        <v/>
      </c>
      <c r="AT401" t="str">
        <f>IF(ISBLANK(JP!AW405),"","x")</f>
        <v/>
      </c>
      <c r="AU401" t="str">
        <f>IF(ISBLANK(JP!AX405),"","x")</f>
        <v/>
      </c>
    </row>
    <row r="402" spans="2:47">
      <c r="B402" t="str">
        <f>IF(ISBLANK(JP!AZ406),"",JP!AZ406)</f>
        <v/>
      </c>
      <c r="C402" t="str">
        <f>IF(ISBLANK(JP!BA406),"",JP!BA406)</f>
        <v/>
      </c>
      <c r="D402" t="str">
        <f>IF(ISBLANK(JP!BC406),"",JP!BC406)</f>
        <v/>
      </c>
      <c r="E402" t="str">
        <f>IF(ISBLANK(JP!BB406),"",JP!BB406)</f>
        <v/>
      </c>
      <c r="F402" t="str">
        <f>IF(ISBLANK(JP!D406),"","x")</f>
        <v/>
      </c>
      <c r="G402" t="str">
        <f>IF(ISBLANK(JP!E406),"","x")</f>
        <v/>
      </c>
      <c r="H402" t="str">
        <f>IF(ISBLANK(JP!F406),"","x")</f>
        <v/>
      </c>
      <c r="I402" t="str">
        <f>IF(ISBLANK(JP!G406),"","x")</f>
        <v/>
      </c>
      <c r="J402" t="str">
        <f>IF(ISBLANK(JP!H406),"","x")</f>
        <v/>
      </c>
      <c r="K402" t="str">
        <f>IF(ISBLANK(JP!I406),"","x")</f>
        <v/>
      </c>
      <c r="L402" t="str">
        <f>IF(ISBLANK(JP!J406),"","x")</f>
        <v/>
      </c>
      <c r="M402" t="str">
        <f>IF(ISBLANK(JP!L406),"","x")</f>
        <v/>
      </c>
      <c r="N402" t="str">
        <f>IF(ISBLANK(JP!M406),"","x")</f>
        <v/>
      </c>
      <c r="O402" t="str">
        <f>IF(ISBLANK(JP!N406),"","x")</f>
        <v/>
      </c>
      <c r="P402" t="str">
        <f>IF(ISBLANK(JP!O406),"","x")</f>
        <v/>
      </c>
      <c r="Q402" t="str">
        <f>IF(ISBLANK(JP!P406),"","x")</f>
        <v/>
      </c>
      <c r="R402" t="str">
        <f>IF(ISBLANK(JP!Q406),"","x")</f>
        <v/>
      </c>
      <c r="S402" t="str">
        <f>IF(ISBLANK(JP!R406),"","x")</f>
        <v/>
      </c>
      <c r="T402" t="str">
        <f>IF(ISBLANK(JP!T406),"","x")</f>
        <v/>
      </c>
      <c r="U402" t="str">
        <f>IF(ISBLANK(JP!U406),"","x")</f>
        <v/>
      </c>
      <c r="V402" t="str">
        <f>IF(ISBLANK(JP!V406),"","x")</f>
        <v/>
      </c>
      <c r="W402" t="str">
        <f>IF(ISBLANK(JP!W406),"","x")</f>
        <v/>
      </c>
      <c r="X402" t="str">
        <f>IF(ISBLANK(JP!X406),"","x")</f>
        <v/>
      </c>
      <c r="Y402" t="str">
        <f>IF(ISBLANK(JP!Y406),"","x")</f>
        <v/>
      </c>
      <c r="Z402" t="str">
        <f>IF(ISBLANK(JP!Z406),"","x")</f>
        <v/>
      </c>
      <c r="AA402" t="str">
        <f>IF(ISBLANK(JP!AB406),"","x")</f>
        <v/>
      </c>
      <c r="AB402" t="str">
        <f>IF(ISBLANK(JP!AC406),"","x")</f>
        <v/>
      </c>
      <c r="AC402" t="str">
        <f>IF(ISBLANK(JP!AD406),"","x")</f>
        <v/>
      </c>
      <c r="AD402" t="str">
        <f>IF(ISBLANK(JP!AE406),"","x")</f>
        <v/>
      </c>
      <c r="AE402" t="str">
        <f>IF(ISBLANK(JP!AF406),"","x")</f>
        <v/>
      </c>
      <c r="AF402" t="str">
        <f>IF(ISBLANK(JP!AG406),"","x")</f>
        <v/>
      </c>
      <c r="AG402" t="str">
        <f>IF(ISBLANK(JP!AH406),"","x")</f>
        <v/>
      </c>
      <c r="AH402" t="str">
        <f>IF(ISBLANK(JP!AJ406),"","x")</f>
        <v/>
      </c>
      <c r="AI402" t="str">
        <f>IF(ISBLANK(JP!AK406),"","x")</f>
        <v/>
      </c>
      <c r="AJ402" t="str">
        <f>IF(ISBLANK(JP!AL406),"","x")</f>
        <v/>
      </c>
      <c r="AK402" t="str">
        <f>IF(ISBLANK(JP!AM406),"","x")</f>
        <v/>
      </c>
      <c r="AL402" t="str">
        <f>IF(ISBLANK(JP!AN406),"","x")</f>
        <v/>
      </c>
      <c r="AM402" t="str">
        <f>IF(ISBLANK(JP!AO406),"","x")</f>
        <v/>
      </c>
      <c r="AN402" t="str">
        <f>IF(ISBLANK(JP!AP406),"","x")</f>
        <v/>
      </c>
      <c r="AO402" t="str">
        <f>IF(ISBLANK(JP!AR406),"","x")</f>
        <v/>
      </c>
      <c r="AP402" t="str">
        <f>IF(ISBLANK(JP!AS406),"","x")</f>
        <v/>
      </c>
      <c r="AQ402" t="str">
        <f>IF(ISBLANK(JP!AT406),"","x")</f>
        <v/>
      </c>
      <c r="AR402" t="str">
        <f>IF(ISBLANK(JP!AU406),"","x")</f>
        <v/>
      </c>
      <c r="AS402" t="str">
        <f>IF(ISBLANK(JP!AV406),"","x")</f>
        <v/>
      </c>
      <c r="AT402" t="str">
        <f>IF(ISBLANK(JP!AW406),"","x")</f>
        <v/>
      </c>
      <c r="AU402" t="str">
        <f>IF(ISBLANK(JP!AX406),"","x")</f>
        <v/>
      </c>
    </row>
    <row r="403" spans="2:47">
      <c r="B403" t="str">
        <f>IF(ISBLANK(JP!AZ407),"",JP!AZ407)</f>
        <v/>
      </c>
      <c r="C403" t="str">
        <f>IF(ISBLANK(JP!BA407),"",JP!BA407)</f>
        <v/>
      </c>
      <c r="D403" t="str">
        <f>IF(ISBLANK(JP!BC407),"",JP!BC407)</f>
        <v/>
      </c>
      <c r="E403" t="str">
        <f>IF(ISBLANK(JP!BB407),"",JP!BB407)</f>
        <v/>
      </c>
      <c r="F403" t="str">
        <f>IF(ISBLANK(JP!D407),"","x")</f>
        <v/>
      </c>
      <c r="G403" t="str">
        <f>IF(ISBLANK(JP!E407),"","x")</f>
        <v/>
      </c>
      <c r="H403" t="str">
        <f>IF(ISBLANK(JP!F407),"","x")</f>
        <v/>
      </c>
      <c r="I403" t="str">
        <f>IF(ISBLANK(JP!G407),"","x")</f>
        <v/>
      </c>
      <c r="J403" t="str">
        <f>IF(ISBLANK(JP!H407),"","x")</f>
        <v/>
      </c>
      <c r="K403" t="str">
        <f>IF(ISBLANK(JP!I407),"","x")</f>
        <v/>
      </c>
      <c r="L403" t="str">
        <f>IF(ISBLANK(JP!J407),"","x")</f>
        <v/>
      </c>
      <c r="M403" t="str">
        <f>IF(ISBLANK(JP!L407),"","x")</f>
        <v/>
      </c>
      <c r="N403" t="str">
        <f>IF(ISBLANK(JP!M407),"","x")</f>
        <v/>
      </c>
      <c r="O403" t="str">
        <f>IF(ISBLANK(JP!N407),"","x")</f>
        <v/>
      </c>
      <c r="P403" t="str">
        <f>IF(ISBLANK(JP!O407),"","x")</f>
        <v/>
      </c>
      <c r="Q403" t="str">
        <f>IF(ISBLANK(JP!P407),"","x")</f>
        <v/>
      </c>
      <c r="R403" t="str">
        <f>IF(ISBLANK(JP!Q407),"","x")</f>
        <v/>
      </c>
      <c r="S403" t="str">
        <f>IF(ISBLANK(JP!R407),"","x")</f>
        <v/>
      </c>
      <c r="T403" t="str">
        <f>IF(ISBLANK(JP!T407),"","x")</f>
        <v/>
      </c>
      <c r="U403" t="str">
        <f>IF(ISBLANK(JP!U407),"","x")</f>
        <v/>
      </c>
      <c r="V403" t="str">
        <f>IF(ISBLANK(JP!V407),"","x")</f>
        <v/>
      </c>
      <c r="W403" t="str">
        <f>IF(ISBLANK(JP!W407),"","x")</f>
        <v/>
      </c>
      <c r="X403" t="str">
        <f>IF(ISBLANK(JP!X407),"","x")</f>
        <v/>
      </c>
      <c r="Y403" t="str">
        <f>IF(ISBLANK(JP!Y407),"","x")</f>
        <v/>
      </c>
      <c r="Z403" t="str">
        <f>IF(ISBLANK(JP!Z407),"","x")</f>
        <v/>
      </c>
      <c r="AA403" t="str">
        <f>IF(ISBLANK(JP!AB407),"","x")</f>
        <v/>
      </c>
      <c r="AB403" t="str">
        <f>IF(ISBLANK(JP!AC407),"","x")</f>
        <v/>
      </c>
      <c r="AC403" t="str">
        <f>IF(ISBLANK(JP!AD407),"","x")</f>
        <v/>
      </c>
      <c r="AD403" t="str">
        <f>IF(ISBLANK(JP!AE407),"","x")</f>
        <v/>
      </c>
      <c r="AE403" t="str">
        <f>IF(ISBLANK(JP!AF407),"","x")</f>
        <v/>
      </c>
      <c r="AF403" t="str">
        <f>IF(ISBLANK(JP!AG407),"","x")</f>
        <v/>
      </c>
      <c r="AG403" t="str">
        <f>IF(ISBLANK(JP!AH407),"","x")</f>
        <v/>
      </c>
      <c r="AH403" t="str">
        <f>IF(ISBLANK(JP!AJ407),"","x")</f>
        <v/>
      </c>
      <c r="AI403" t="str">
        <f>IF(ISBLANK(JP!AK407),"","x")</f>
        <v/>
      </c>
      <c r="AJ403" t="str">
        <f>IF(ISBLANK(JP!AL407),"","x")</f>
        <v/>
      </c>
      <c r="AK403" t="str">
        <f>IF(ISBLANK(JP!AM407),"","x")</f>
        <v/>
      </c>
      <c r="AL403" t="str">
        <f>IF(ISBLANK(JP!AN407),"","x")</f>
        <v/>
      </c>
      <c r="AM403" t="str">
        <f>IF(ISBLANK(JP!AO407),"","x")</f>
        <v/>
      </c>
      <c r="AN403" t="str">
        <f>IF(ISBLANK(JP!AP407),"","x")</f>
        <v/>
      </c>
      <c r="AO403" t="str">
        <f>IF(ISBLANK(JP!AR407),"","x")</f>
        <v/>
      </c>
      <c r="AP403" t="str">
        <f>IF(ISBLANK(JP!AS407),"","x")</f>
        <v/>
      </c>
      <c r="AQ403" t="str">
        <f>IF(ISBLANK(JP!AT407),"","x")</f>
        <v/>
      </c>
      <c r="AR403" t="str">
        <f>IF(ISBLANK(JP!AU407),"","x")</f>
        <v/>
      </c>
      <c r="AS403" t="str">
        <f>IF(ISBLANK(JP!AV407),"","x")</f>
        <v/>
      </c>
      <c r="AT403" t="str">
        <f>IF(ISBLANK(JP!AW407),"","x")</f>
        <v/>
      </c>
      <c r="AU403" t="str">
        <f>IF(ISBLANK(JP!AX407),"","x")</f>
        <v/>
      </c>
    </row>
    <row r="404" spans="2:47">
      <c r="B404" t="str">
        <f>IF(ISBLANK(JP!AZ408),"",JP!AZ408)</f>
        <v/>
      </c>
      <c r="C404" t="str">
        <f>IF(ISBLANK(JP!BA408),"",JP!BA408)</f>
        <v/>
      </c>
      <c r="D404" t="str">
        <f>IF(ISBLANK(JP!BC408),"",JP!BC408)</f>
        <v/>
      </c>
      <c r="E404" t="str">
        <f>IF(ISBLANK(JP!BB408),"",JP!BB408)</f>
        <v/>
      </c>
      <c r="F404" t="str">
        <f>IF(ISBLANK(JP!D408),"","x")</f>
        <v/>
      </c>
      <c r="G404" t="str">
        <f>IF(ISBLANK(JP!E408),"","x")</f>
        <v/>
      </c>
      <c r="H404" t="str">
        <f>IF(ISBLANK(JP!F408),"","x")</f>
        <v/>
      </c>
      <c r="I404" t="str">
        <f>IF(ISBLANK(JP!G408),"","x")</f>
        <v/>
      </c>
      <c r="J404" t="str">
        <f>IF(ISBLANK(JP!H408),"","x")</f>
        <v/>
      </c>
      <c r="K404" t="str">
        <f>IF(ISBLANK(JP!I408),"","x")</f>
        <v/>
      </c>
      <c r="L404" t="str">
        <f>IF(ISBLANK(JP!J408),"","x")</f>
        <v/>
      </c>
      <c r="M404" t="str">
        <f>IF(ISBLANK(JP!L408),"","x")</f>
        <v/>
      </c>
      <c r="N404" t="str">
        <f>IF(ISBLANK(JP!M408),"","x")</f>
        <v/>
      </c>
      <c r="O404" t="str">
        <f>IF(ISBLANK(JP!N408),"","x")</f>
        <v/>
      </c>
      <c r="P404" t="str">
        <f>IF(ISBLANK(JP!O408),"","x")</f>
        <v/>
      </c>
      <c r="Q404" t="str">
        <f>IF(ISBLANK(JP!P408),"","x")</f>
        <v/>
      </c>
      <c r="R404" t="str">
        <f>IF(ISBLANK(JP!Q408),"","x")</f>
        <v/>
      </c>
      <c r="S404" t="str">
        <f>IF(ISBLANK(JP!R408),"","x")</f>
        <v/>
      </c>
      <c r="T404" t="str">
        <f>IF(ISBLANK(JP!T408),"","x")</f>
        <v/>
      </c>
      <c r="U404" t="str">
        <f>IF(ISBLANK(JP!U408),"","x")</f>
        <v/>
      </c>
      <c r="V404" t="str">
        <f>IF(ISBLANK(JP!V408),"","x")</f>
        <v/>
      </c>
      <c r="W404" t="str">
        <f>IF(ISBLANK(JP!W408),"","x")</f>
        <v/>
      </c>
      <c r="X404" t="str">
        <f>IF(ISBLANK(JP!X408),"","x")</f>
        <v/>
      </c>
      <c r="Y404" t="str">
        <f>IF(ISBLANK(JP!Y408),"","x")</f>
        <v/>
      </c>
      <c r="Z404" t="str">
        <f>IF(ISBLANK(JP!Z408),"","x")</f>
        <v/>
      </c>
      <c r="AA404" t="str">
        <f>IF(ISBLANK(JP!AB408),"","x")</f>
        <v/>
      </c>
      <c r="AB404" t="str">
        <f>IF(ISBLANK(JP!AC408),"","x")</f>
        <v/>
      </c>
      <c r="AC404" t="str">
        <f>IF(ISBLANK(JP!AD408),"","x")</f>
        <v/>
      </c>
      <c r="AD404" t="str">
        <f>IF(ISBLANK(JP!AE408),"","x")</f>
        <v/>
      </c>
      <c r="AE404" t="str">
        <f>IF(ISBLANK(JP!AF408),"","x")</f>
        <v/>
      </c>
      <c r="AF404" t="str">
        <f>IF(ISBLANK(JP!AG408),"","x")</f>
        <v/>
      </c>
      <c r="AG404" t="str">
        <f>IF(ISBLANK(JP!AH408),"","x")</f>
        <v/>
      </c>
      <c r="AH404" t="str">
        <f>IF(ISBLANK(JP!AJ408),"","x")</f>
        <v/>
      </c>
      <c r="AI404" t="str">
        <f>IF(ISBLANK(JP!AK408),"","x")</f>
        <v/>
      </c>
      <c r="AJ404" t="str">
        <f>IF(ISBLANK(JP!AL408),"","x")</f>
        <v/>
      </c>
      <c r="AK404" t="str">
        <f>IF(ISBLANK(JP!AM408),"","x")</f>
        <v/>
      </c>
      <c r="AL404" t="str">
        <f>IF(ISBLANK(JP!AN408),"","x")</f>
        <v/>
      </c>
      <c r="AM404" t="str">
        <f>IF(ISBLANK(JP!AO408),"","x")</f>
        <v/>
      </c>
      <c r="AN404" t="str">
        <f>IF(ISBLANK(JP!AP408),"","x")</f>
        <v/>
      </c>
      <c r="AO404" t="str">
        <f>IF(ISBLANK(JP!AR408),"","x")</f>
        <v/>
      </c>
      <c r="AP404" t="str">
        <f>IF(ISBLANK(JP!AS408),"","x")</f>
        <v/>
      </c>
      <c r="AQ404" t="str">
        <f>IF(ISBLANK(JP!AT408),"","x")</f>
        <v/>
      </c>
      <c r="AR404" t="str">
        <f>IF(ISBLANK(JP!AU408),"","x")</f>
        <v/>
      </c>
      <c r="AS404" t="str">
        <f>IF(ISBLANK(JP!AV408),"","x")</f>
        <v/>
      </c>
      <c r="AT404" t="str">
        <f>IF(ISBLANK(JP!AW408),"","x")</f>
        <v/>
      </c>
      <c r="AU404" t="str">
        <f>IF(ISBLANK(JP!AX408),"","x")</f>
        <v/>
      </c>
    </row>
    <row r="405" spans="2:47">
      <c r="B405" t="str">
        <f>IF(ISBLANK(JP!AZ409),"",JP!AZ409)</f>
        <v/>
      </c>
      <c r="C405" t="str">
        <f>IF(ISBLANK(JP!BA409),"",JP!BA409)</f>
        <v/>
      </c>
      <c r="D405" t="str">
        <f>IF(ISBLANK(JP!BC409),"",JP!BC409)</f>
        <v/>
      </c>
      <c r="E405" t="str">
        <f>IF(ISBLANK(JP!BB409),"",JP!BB409)</f>
        <v/>
      </c>
      <c r="F405" t="str">
        <f>IF(ISBLANK(JP!D409),"","x")</f>
        <v/>
      </c>
      <c r="G405" t="str">
        <f>IF(ISBLANK(JP!E409),"","x")</f>
        <v/>
      </c>
      <c r="H405" t="str">
        <f>IF(ISBLANK(JP!F409),"","x")</f>
        <v/>
      </c>
      <c r="I405" t="str">
        <f>IF(ISBLANK(JP!G409),"","x")</f>
        <v/>
      </c>
      <c r="J405" t="str">
        <f>IF(ISBLANK(JP!H409),"","x")</f>
        <v/>
      </c>
      <c r="K405" t="str">
        <f>IF(ISBLANK(JP!I409),"","x")</f>
        <v/>
      </c>
      <c r="L405" t="str">
        <f>IF(ISBLANK(JP!J409),"","x")</f>
        <v/>
      </c>
      <c r="M405" t="str">
        <f>IF(ISBLANK(JP!L409),"","x")</f>
        <v/>
      </c>
      <c r="N405" t="str">
        <f>IF(ISBLANK(JP!M409),"","x")</f>
        <v/>
      </c>
      <c r="O405" t="str">
        <f>IF(ISBLANK(JP!N409),"","x")</f>
        <v/>
      </c>
      <c r="P405" t="str">
        <f>IF(ISBLANK(JP!O409),"","x")</f>
        <v/>
      </c>
      <c r="Q405" t="str">
        <f>IF(ISBLANK(JP!P409),"","x")</f>
        <v/>
      </c>
      <c r="R405" t="str">
        <f>IF(ISBLANK(JP!Q409),"","x")</f>
        <v/>
      </c>
      <c r="S405" t="str">
        <f>IF(ISBLANK(JP!R409),"","x")</f>
        <v/>
      </c>
      <c r="T405" t="str">
        <f>IF(ISBLANK(JP!T409),"","x")</f>
        <v/>
      </c>
      <c r="U405" t="str">
        <f>IF(ISBLANK(JP!U409),"","x")</f>
        <v/>
      </c>
      <c r="V405" t="str">
        <f>IF(ISBLANK(JP!V409),"","x")</f>
        <v/>
      </c>
      <c r="W405" t="str">
        <f>IF(ISBLANK(JP!W409),"","x")</f>
        <v/>
      </c>
      <c r="X405" t="str">
        <f>IF(ISBLANK(JP!X409),"","x")</f>
        <v/>
      </c>
      <c r="Y405" t="str">
        <f>IF(ISBLANK(JP!Y409),"","x")</f>
        <v/>
      </c>
      <c r="Z405" t="str">
        <f>IF(ISBLANK(JP!Z409),"","x")</f>
        <v/>
      </c>
      <c r="AA405" t="str">
        <f>IF(ISBLANK(JP!AB409),"","x")</f>
        <v/>
      </c>
      <c r="AB405" t="str">
        <f>IF(ISBLANK(JP!AC409),"","x")</f>
        <v/>
      </c>
      <c r="AC405" t="str">
        <f>IF(ISBLANK(JP!AD409),"","x")</f>
        <v/>
      </c>
      <c r="AD405" t="str">
        <f>IF(ISBLANK(JP!AE409),"","x")</f>
        <v/>
      </c>
      <c r="AE405" t="str">
        <f>IF(ISBLANK(JP!AF409),"","x")</f>
        <v/>
      </c>
      <c r="AF405" t="str">
        <f>IF(ISBLANK(JP!AG409),"","x")</f>
        <v/>
      </c>
      <c r="AG405" t="str">
        <f>IF(ISBLANK(JP!AH409),"","x")</f>
        <v/>
      </c>
      <c r="AH405" t="str">
        <f>IF(ISBLANK(JP!AJ409),"","x")</f>
        <v/>
      </c>
      <c r="AI405" t="str">
        <f>IF(ISBLANK(JP!AK409),"","x")</f>
        <v/>
      </c>
      <c r="AJ405" t="str">
        <f>IF(ISBLANK(JP!AL409),"","x")</f>
        <v/>
      </c>
      <c r="AK405" t="str">
        <f>IF(ISBLANK(JP!AM409),"","x")</f>
        <v/>
      </c>
      <c r="AL405" t="str">
        <f>IF(ISBLANK(JP!AN409),"","x")</f>
        <v/>
      </c>
      <c r="AM405" t="str">
        <f>IF(ISBLANK(JP!AO409),"","x")</f>
        <v/>
      </c>
      <c r="AN405" t="str">
        <f>IF(ISBLANK(JP!AP409),"","x")</f>
        <v/>
      </c>
      <c r="AO405" t="str">
        <f>IF(ISBLANK(JP!AR409),"","x")</f>
        <v/>
      </c>
      <c r="AP405" t="str">
        <f>IF(ISBLANK(JP!AS409),"","x")</f>
        <v/>
      </c>
      <c r="AQ405" t="str">
        <f>IF(ISBLANK(JP!AT409),"","x")</f>
        <v/>
      </c>
      <c r="AR405" t="str">
        <f>IF(ISBLANK(JP!AU409),"","x")</f>
        <v/>
      </c>
      <c r="AS405" t="str">
        <f>IF(ISBLANK(JP!AV409),"","x")</f>
        <v/>
      </c>
      <c r="AT405" t="str">
        <f>IF(ISBLANK(JP!AW409),"","x")</f>
        <v/>
      </c>
      <c r="AU405" t="str">
        <f>IF(ISBLANK(JP!AX409),"","x")</f>
        <v/>
      </c>
    </row>
    <row r="406" spans="2:47">
      <c r="B406" t="str">
        <f>IF(ISBLANK(JP!AZ410),"",JP!AZ410)</f>
        <v/>
      </c>
      <c r="C406" t="str">
        <f>IF(ISBLANK(JP!BA410),"",JP!BA410)</f>
        <v/>
      </c>
      <c r="D406" t="str">
        <f>IF(ISBLANK(JP!BC410),"",JP!BC410)</f>
        <v/>
      </c>
      <c r="E406" t="str">
        <f>IF(ISBLANK(JP!BB410),"",JP!BB410)</f>
        <v/>
      </c>
      <c r="F406" t="str">
        <f>IF(ISBLANK(JP!D410),"","x")</f>
        <v/>
      </c>
      <c r="G406" t="str">
        <f>IF(ISBLANK(JP!E410),"","x")</f>
        <v/>
      </c>
      <c r="H406" t="str">
        <f>IF(ISBLANK(JP!F410),"","x")</f>
        <v/>
      </c>
      <c r="I406" t="str">
        <f>IF(ISBLANK(JP!G410),"","x")</f>
        <v/>
      </c>
      <c r="J406" t="str">
        <f>IF(ISBLANK(JP!H410),"","x")</f>
        <v/>
      </c>
      <c r="K406" t="str">
        <f>IF(ISBLANK(JP!I410),"","x")</f>
        <v/>
      </c>
      <c r="L406" t="str">
        <f>IF(ISBLANK(JP!J410),"","x")</f>
        <v/>
      </c>
      <c r="M406" t="str">
        <f>IF(ISBLANK(JP!L410),"","x")</f>
        <v/>
      </c>
      <c r="N406" t="str">
        <f>IF(ISBLANK(JP!M410),"","x")</f>
        <v/>
      </c>
      <c r="O406" t="str">
        <f>IF(ISBLANK(JP!N410),"","x")</f>
        <v/>
      </c>
      <c r="P406" t="str">
        <f>IF(ISBLANK(JP!O410),"","x")</f>
        <v/>
      </c>
      <c r="Q406" t="str">
        <f>IF(ISBLANK(JP!P410),"","x")</f>
        <v/>
      </c>
      <c r="R406" t="str">
        <f>IF(ISBLANK(JP!Q410),"","x")</f>
        <v/>
      </c>
      <c r="S406" t="str">
        <f>IF(ISBLANK(JP!R410),"","x")</f>
        <v/>
      </c>
      <c r="T406" t="str">
        <f>IF(ISBLANK(JP!T410),"","x")</f>
        <v/>
      </c>
      <c r="U406" t="str">
        <f>IF(ISBLANK(JP!U410),"","x")</f>
        <v/>
      </c>
      <c r="V406" t="str">
        <f>IF(ISBLANK(JP!V410),"","x")</f>
        <v/>
      </c>
      <c r="W406" t="str">
        <f>IF(ISBLANK(JP!W410),"","x")</f>
        <v/>
      </c>
      <c r="X406" t="str">
        <f>IF(ISBLANK(JP!X410),"","x")</f>
        <v/>
      </c>
      <c r="Y406" t="str">
        <f>IF(ISBLANK(JP!Y410),"","x")</f>
        <v/>
      </c>
      <c r="Z406" t="str">
        <f>IF(ISBLANK(JP!Z410),"","x")</f>
        <v/>
      </c>
      <c r="AA406" t="str">
        <f>IF(ISBLANK(JP!AB410),"","x")</f>
        <v/>
      </c>
      <c r="AB406" t="str">
        <f>IF(ISBLANK(JP!AC410),"","x")</f>
        <v/>
      </c>
      <c r="AC406" t="str">
        <f>IF(ISBLANK(JP!AD410),"","x")</f>
        <v/>
      </c>
      <c r="AD406" t="str">
        <f>IF(ISBLANK(JP!AE410),"","x")</f>
        <v/>
      </c>
      <c r="AE406" t="str">
        <f>IF(ISBLANK(JP!AF410),"","x")</f>
        <v/>
      </c>
      <c r="AF406" t="str">
        <f>IF(ISBLANK(JP!AG410),"","x")</f>
        <v/>
      </c>
      <c r="AG406" t="str">
        <f>IF(ISBLANK(JP!AH410),"","x")</f>
        <v/>
      </c>
      <c r="AH406" t="str">
        <f>IF(ISBLANK(JP!AJ410),"","x")</f>
        <v/>
      </c>
      <c r="AI406" t="str">
        <f>IF(ISBLANK(JP!AK410),"","x")</f>
        <v/>
      </c>
      <c r="AJ406" t="str">
        <f>IF(ISBLANK(JP!AL410),"","x")</f>
        <v/>
      </c>
      <c r="AK406" t="str">
        <f>IF(ISBLANK(JP!AM410),"","x")</f>
        <v/>
      </c>
      <c r="AL406" t="str">
        <f>IF(ISBLANK(JP!AN410),"","x")</f>
        <v/>
      </c>
      <c r="AM406" t="str">
        <f>IF(ISBLANK(JP!AO410),"","x")</f>
        <v/>
      </c>
      <c r="AN406" t="str">
        <f>IF(ISBLANK(JP!AP410),"","x")</f>
        <v/>
      </c>
      <c r="AO406" t="str">
        <f>IF(ISBLANK(JP!AR410),"","x")</f>
        <v/>
      </c>
      <c r="AP406" t="str">
        <f>IF(ISBLANK(JP!AS410),"","x")</f>
        <v/>
      </c>
      <c r="AQ406" t="str">
        <f>IF(ISBLANK(JP!AT410),"","x")</f>
        <v/>
      </c>
      <c r="AR406" t="str">
        <f>IF(ISBLANK(JP!AU410),"","x")</f>
        <v/>
      </c>
      <c r="AS406" t="str">
        <f>IF(ISBLANK(JP!AV410),"","x")</f>
        <v/>
      </c>
      <c r="AT406" t="str">
        <f>IF(ISBLANK(JP!AW410),"","x")</f>
        <v/>
      </c>
      <c r="AU406" t="str">
        <f>IF(ISBLANK(JP!AX410),"","x")</f>
        <v/>
      </c>
    </row>
    <row r="407" spans="2:47">
      <c r="B407" t="str">
        <f>IF(ISBLANK(JP!AZ411),"",JP!AZ411)</f>
        <v/>
      </c>
      <c r="C407" t="str">
        <f>IF(ISBLANK(JP!BA411),"",JP!BA411)</f>
        <v/>
      </c>
      <c r="D407" t="str">
        <f>IF(ISBLANK(JP!BC411),"",JP!BC411)</f>
        <v/>
      </c>
      <c r="E407" t="str">
        <f>IF(ISBLANK(JP!BB411),"",JP!BB411)</f>
        <v/>
      </c>
      <c r="F407" t="str">
        <f>IF(ISBLANK(JP!D411),"","x")</f>
        <v/>
      </c>
      <c r="G407" t="str">
        <f>IF(ISBLANK(JP!E411),"","x")</f>
        <v/>
      </c>
      <c r="H407" t="str">
        <f>IF(ISBLANK(JP!F411),"","x")</f>
        <v/>
      </c>
      <c r="I407" t="str">
        <f>IF(ISBLANK(JP!G411),"","x")</f>
        <v/>
      </c>
      <c r="J407" t="str">
        <f>IF(ISBLANK(JP!H411),"","x")</f>
        <v/>
      </c>
      <c r="K407" t="str">
        <f>IF(ISBLANK(JP!I411),"","x")</f>
        <v/>
      </c>
      <c r="L407" t="str">
        <f>IF(ISBLANK(JP!J411),"","x")</f>
        <v/>
      </c>
      <c r="M407" t="str">
        <f>IF(ISBLANK(JP!L411),"","x")</f>
        <v/>
      </c>
      <c r="N407" t="str">
        <f>IF(ISBLANK(JP!M411),"","x")</f>
        <v/>
      </c>
      <c r="O407" t="str">
        <f>IF(ISBLANK(JP!N411),"","x")</f>
        <v/>
      </c>
      <c r="P407" t="str">
        <f>IF(ISBLANK(JP!O411),"","x")</f>
        <v/>
      </c>
      <c r="Q407" t="str">
        <f>IF(ISBLANK(JP!P411),"","x")</f>
        <v/>
      </c>
      <c r="R407" t="str">
        <f>IF(ISBLANK(JP!Q411),"","x")</f>
        <v/>
      </c>
      <c r="S407" t="str">
        <f>IF(ISBLANK(JP!R411),"","x")</f>
        <v/>
      </c>
      <c r="T407" t="str">
        <f>IF(ISBLANK(JP!T411),"","x")</f>
        <v/>
      </c>
      <c r="U407" t="str">
        <f>IF(ISBLANK(JP!U411),"","x")</f>
        <v/>
      </c>
      <c r="V407" t="str">
        <f>IF(ISBLANK(JP!V411),"","x")</f>
        <v/>
      </c>
      <c r="W407" t="str">
        <f>IF(ISBLANK(JP!W411),"","x")</f>
        <v/>
      </c>
      <c r="X407" t="str">
        <f>IF(ISBLANK(JP!X411),"","x")</f>
        <v/>
      </c>
      <c r="Y407" t="str">
        <f>IF(ISBLANK(JP!Y411),"","x")</f>
        <v/>
      </c>
      <c r="Z407" t="str">
        <f>IF(ISBLANK(JP!Z411),"","x")</f>
        <v/>
      </c>
      <c r="AA407" t="str">
        <f>IF(ISBLANK(JP!AB411),"","x")</f>
        <v/>
      </c>
      <c r="AB407" t="str">
        <f>IF(ISBLANK(JP!AC411),"","x")</f>
        <v/>
      </c>
      <c r="AC407" t="str">
        <f>IF(ISBLANK(JP!AD411),"","x")</f>
        <v/>
      </c>
      <c r="AD407" t="str">
        <f>IF(ISBLANK(JP!AE411),"","x")</f>
        <v/>
      </c>
      <c r="AE407" t="str">
        <f>IF(ISBLANK(JP!AF411),"","x")</f>
        <v/>
      </c>
      <c r="AF407" t="str">
        <f>IF(ISBLANK(JP!AG411),"","x")</f>
        <v/>
      </c>
      <c r="AG407" t="str">
        <f>IF(ISBLANK(JP!AH411),"","x")</f>
        <v/>
      </c>
      <c r="AH407" t="str">
        <f>IF(ISBLANK(JP!AJ411),"","x")</f>
        <v/>
      </c>
      <c r="AI407" t="str">
        <f>IF(ISBLANK(JP!AK411),"","x")</f>
        <v/>
      </c>
      <c r="AJ407" t="str">
        <f>IF(ISBLANK(JP!AL411),"","x")</f>
        <v/>
      </c>
      <c r="AK407" t="str">
        <f>IF(ISBLANK(JP!AM411),"","x")</f>
        <v/>
      </c>
      <c r="AL407" t="str">
        <f>IF(ISBLANK(JP!AN411),"","x")</f>
        <v/>
      </c>
      <c r="AM407" t="str">
        <f>IF(ISBLANK(JP!AO411),"","x")</f>
        <v/>
      </c>
      <c r="AN407" t="str">
        <f>IF(ISBLANK(JP!AP411),"","x")</f>
        <v/>
      </c>
      <c r="AO407" t="str">
        <f>IF(ISBLANK(JP!AR411),"","x")</f>
        <v/>
      </c>
      <c r="AP407" t="str">
        <f>IF(ISBLANK(JP!AS411),"","x")</f>
        <v/>
      </c>
      <c r="AQ407" t="str">
        <f>IF(ISBLANK(JP!AT411),"","x")</f>
        <v/>
      </c>
      <c r="AR407" t="str">
        <f>IF(ISBLANK(JP!AU411),"","x")</f>
        <v/>
      </c>
      <c r="AS407" t="str">
        <f>IF(ISBLANK(JP!AV411),"","x")</f>
        <v/>
      </c>
      <c r="AT407" t="str">
        <f>IF(ISBLANK(JP!AW411),"","x")</f>
        <v/>
      </c>
      <c r="AU407" t="str">
        <f>IF(ISBLANK(JP!AX411),"","x")</f>
        <v/>
      </c>
    </row>
    <row r="408" spans="2:47">
      <c r="B408" t="str">
        <f>IF(ISBLANK(JP!AZ412),"",JP!AZ412)</f>
        <v/>
      </c>
      <c r="C408" t="str">
        <f>IF(ISBLANK(JP!BA412),"",JP!BA412)</f>
        <v/>
      </c>
      <c r="D408" t="str">
        <f>IF(ISBLANK(JP!BC412),"",JP!BC412)</f>
        <v/>
      </c>
      <c r="E408" t="str">
        <f>IF(ISBLANK(JP!BB412),"",JP!BB412)</f>
        <v/>
      </c>
      <c r="F408" t="str">
        <f>IF(ISBLANK(JP!D412),"","x")</f>
        <v/>
      </c>
      <c r="G408" t="str">
        <f>IF(ISBLANK(JP!E412),"","x")</f>
        <v/>
      </c>
      <c r="H408" t="str">
        <f>IF(ISBLANK(JP!F412),"","x")</f>
        <v/>
      </c>
      <c r="I408" t="str">
        <f>IF(ISBLANK(JP!G412),"","x")</f>
        <v/>
      </c>
      <c r="J408" t="str">
        <f>IF(ISBLANK(JP!H412),"","x")</f>
        <v/>
      </c>
      <c r="K408" t="str">
        <f>IF(ISBLANK(JP!I412),"","x")</f>
        <v/>
      </c>
      <c r="L408" t="str">
        <f>IF(ISBLANK(JP!J412),"","x")</f>
        <v/>
      </c>
      <c r="M408" t="str">
        <f>IF(ISBLANK(JP!L412),"","x")</f>
        <v/>
      </c>
      <c r="N408" t="str">
        <f>IF(ISBLANK(JP!M412),"","x")</f>
        <v/>
      </c>
      <c r="O408" t="str">
        <f>IF(ISBLANK(JP!N412),"","x")</f>
        <v/>
      </c>
      <c r="P408" t="str">
        <f>IF(ISBLANK(JP!O412),"","x")</f>
        <v/>
      </c>
      <c r="Q408" t="str">
        <f>IF(ISBLANK(JP!P412),"","x")</f>
        <v/>
      </c>
      <c r="R408" t="str">
        <f>IF(ISBLANK(JP!Q412),"","x")</f>
        <v/>
      </c>
      <c r="S408" t="str">
        <f>IF(ISBLANK(JP!R412),"","x")</f>
        <v/>
      </c>
      <c r="T408" t="str">
        <f>IF(ISBLANK(JP!T412),"","x")</f>
        <v/>
      </c>
      <c r="U408" t="str">
        <f>IF(ISBLANK(JP!U412),"","x")</f>
        <v/>
      </c>
      <c r="V408" t="str">
        <f>IF(ISBLANK(JP!V412),"","x")</f>
        <v/>
      </c>
      <c r="W408" t="str">
        <f>IF(ISBLANK(JP!W412),"","x")</f>
        <v/>
      </c>
      <c r="X408" t="str">
        <f>IF(ISBLANK(JP!X412),"","x")</f>
        <v/>
      </c>
      <c r="Y408" t="str">
        <f>IF(ISBLANK(JP!Y412),"","x")</f>
        <v/>
      </c>
      <c r="Z408" t="str">
        <f>IF(ISBLANK(JP!Z412),"","x")</f>
        <v/>
      </c>
      <c r="AA408" t="str">
        <f>IF(ISBLANK(JP!AB412),"","x")</f>
        <v/>
      </c>
      <c r="AB408" t="str">
        <f>IF(ISBLANK(JP!AC412),"","x")</f>
        <v/>
      </c>
      <c r="AC408" t="str">
        <f>IF(ISBLANK(JP!AD412),"","x")</f>
        <v/>
      </c>
      <c r="AD408" t="str">
        <f>IF(ISBLANK(JP!AE412),"","x")</f>
        <v/>
      </c>
      <c r="AE408" t="str">
        <f>IF(ISBLANK(JP!AF412),"","x")</f>
        <v/>
      </c>
      <c r="AF408" t="str">
        <f>IF(ISBLANK(JP!AG412),"","x")</f>
        <v/>
      </c>
      <c r="AG408" t="str">
        <f>IF(ISBLANK(JP!AH412),"","x")</f>
        <v/>
      </c>
      <c r="AH408" t="str">
        <f>IF(ISBLANK(JP!AJ412),"","x")</f>
        <v/>
      </c>
      <c r="AI408" t="str">
        <f>IF(ISBLANK(JP!AK412),"","x")</f>
        <v/>
      </c>
      <c r="AJ408" t="str">
        <f>IF(ISBLANK(JP!AL412),"","x")</f>
        <v/>
      </c>
      <c r="AK408" t="str">
        <f>IF(ISBLANK(JP!AM412),"","x")</f>
        <v/>
      </c>
      <c r="AL408" t="str">
        <f>IF(ISBLANK(JP!AN412),"","x")</f>
        <v/>
      </c>
      <c r="AM408" t="str">
        <f>IF(ISBLANK(JP!AO412),"","x")</f>
        <v/>
      </c>
      <c r="AN408" t="str">
        <f>IF(ISBLANK(JP!AP412),"","x")</f>
        <v/>
      </c>
      <c r="AO408" t="str">
        <f>IF(ISBLANK(JP!AR412),"","x")</f>
        <v/>
      </c>
      <c r="AP408" t="str">
        <f>IF(ISBLANK(JP!AS412),"","x")</f>
        <v/>
      </c>
      <c r="AQ408" t="str">
        <f>IF(ISBLANK(JP!AT412),"","x")</f>
        <v/>
      </c>
      <c r="AR408" t="str">
        <f>IF(ISBLANK(JP!AU412),"","x")</f>
        <v/>
      </c>
      <c r="AS408" t="str">
        <f>IF(ISBLANK(JP!AV412),"","x")</f>
        <v/>
      </c>
      <c r="AT408" t="str">
        <f>IF(ISBLANK(JP!AW412),"","x")</f>
        <v/>
      </c>
      <c r="AU408" t="str">
        <f>IF(ISBLANK(JP!AX412),"","x")</f>
        <v/>
      </c>
    </row>
    <row r="409" spans="2:47">
      <c r="B409" t="str">
        <f>IF(ISBLANK(JP!AZ413),"",JP!AZ413)</f>
        <v/>
      </c>
      <c r="C409" t="str">
        <f>IF(ISBLANK(JP!BA413),"",JP!BA413)</f>
        <v/>
      </c>
      <c r="D409" t="str">
        <f>IF(ISBLANK(JP!BC413),"",JP!BC413)</f>
        <v/>
      </c>
      <c r="E409" t="str">
        <f>IF(ISBLANK(JP!BB413),"",JP!BB413)</f>
        <v/>
      </c>
      <c r="F409" t="str">
        <f>IF(ISBLANK(JP!D413),"","x")</f>
        <v/>
      </c>
      <c r="G409" t="str">
        <f>IF(ISBLANK(JP!E413),"","x")</f>
        <v/>
      </c>
      <c r="H409" t="str">
        <f>IF(ISBLANK(JP!F413),"","x")</f>
        <v/>
      </c>
      <c r="I409" t="str">
        <f>IF(ISBLANK(JP!G413),"","x")</f>
        <v/>
      </c>
      <c r="J409" t="str">
        <f>IF(ISBLANK(JP!H413),"","x")</f>
        <v/>
      </c>
      <c r="K409" t="str">
        <f>IF(ISBLANK(JP!I413),"","x")</f>
        <v/>
      </c>
      <c r="L409" t="str">
        <f>IF(ISBLANK(JP!J413),"","x")</f>
        <v/>
      </c>
      <c r="M409" t="str">
        <f>IF(ISBLANK(JP!L413),"","x")</f>
        <v/>
      </c>
      <c r="N409" t="str">
        <f>IF(ISBLANK(JP!M413),"","x")</f>
        <v/>
      </c>
      <c r="O409" t="str">
        <f>IF(ISBLANK(JP!N413),"","x")</f>
        <v/>
      </c>
      <c r="P409" t="str">
        <f>IF(ISBLANK(JP!O413),"","x")</f>
        <v/>
      </c>
      <c r="Q409" t="str">
        <f>IF(ISBLANK(JP!P413),"","x")</f>
        <v/>
      </c>
      <c r="R409" t="str">
        <f>IF(ISBLANK(JP!Q413),"","x")</f>
        <v/>
      </c>
      <c r="S409" t="str">
        <f>IF(ISBLANK(JP!R413),"","x")</f>
        <v/>
      </c>
      <c r="T409" t="str">
        <f>IF(ISBLANK(JP!T413),"","x")</f>
        <v/>
      </c>
      <c r="U409" t="str">
        <f>IF(ISBLANK(JP!U413),"","x")</f>
        <v/>
      </c>
      <c r="V409" t="str">
        <f>IF(ISBLANK(JP!V413),"","x")</f>
        <v/>
      </c>
      <c r="W409" t="str">
        <f>IF(ISBLANK(JP!W413),"","x")</f>
        <v/>
      </c>
      <c r="X409" t="str">
        <f>IF(ISBLANK(JP!X413),"","x")</f>
        <v/>
      </c>
      <c r="Y409" t="str">
        <f>IF(ISBLANK(JP!Y413),"","x")</f>
        <v/>
      </c>
      <c r="Z409" t="str">
        <f>IF(ISBLANK(JP!Z413),"","x")</f>
        <v/>
      </c>
      <c r="AA409" t="str">
        <f>IF(ISBLANK(JP!AB413),"","x")</f>
        <v/>
      </c>
      <c r="AB409" t="str">
        <f>IF(ISBLANK(JP!AC413),"","x")</f>
        <v/>
      </c>
      <c r="AC409" t="str">
        <f>IF(ISBLANK(JP!AD413),"","x")</f>
        <v/>
      </c>
      <c r="AD409" t="str">
        <f>IF(ISBLANK(JP!AE413),"","x")</f>
        <v/>
      </c>
      <c r="AE409" t="str">
        <f>IF(ISBLANK(JP!AF413),"","x")</f>
        <v/>
      </c>
      <c r="AF409" t="str">
        <f>IF(ISBLANK(JP!AG413),"","x")</f>
        <v/>
      </c>
      <c r="AG409" t="str">
        <f>IF(ISBLANK(JP!AH413),"","x")</f>
        <v/>
      </c>
      <c r="AH409" t="str">
        <f>IF(ISBLANK(JP!AJ413),"","x")</f>
        <v/>
      </c>
      <c r="AI409" t="str">
        <f>IF(ISBLANK(JP!AK413),"","x")</f>
        <v/>
      </c>
      <c r="AJ409" t="str">
        <f>IF(ISBLANK(JP!AL413),"","x")</f>
        <v/>
      </c>
      <c r="AK409" t="str">
        <f>IF(ISBLANK(JP!AM413),"","x")</f>
        <v/>
      </c>
      <c r="AL409" t="str">
        <f>IF(ISBLANK(JP!AN413),"","x")</f>
        <v/>
      </c>
      <c r="AM409" t="str">
        <f>IF(ISBLANK(JP!AO413),"","x")</f>
        <v/>
      </c>
      <c r="AN409" t="str">
        <f>IF(ISBLANK(JP!AP413),"","x")</f>
        <v/>
      </c>
      <c r="AO409" t="str">
        <f>IF(ISBLANK(JP!AR413),"","x")</f>
        <v/>
      </c>
      <c r="AP409" t="str">
        <f>IF(ISBLANK(JP!AS413),"","x")</f>
        <v/>
      </c>
      <c r="AQ409" t="str">
        <f>IF(ISBLANK(JP!AT413),"","x")</f>
        <v/>
      </c>
      <c r="AR409" t="str">
        <f>IF(ISBLANK(JP!AU413),"","x")</f>
        <v/>
      </c>
      <c r="AS409" t="str">
        <f>IF(ISBLANK(JP!AV413),"","x")</f>
        <v/>
      </c>
      <c r="AT409" t="str">
        <f>IF(ISBLANK(JP!AW413),"","x")</f>
        <v/>
      </c>
      <c r="AU409" t="str">
        <f>IF(ISBLANK(JP!AX413),"","x")</f>
        <v/>
      </c>
    </row>
    <row r="410" spans="2:47">
      <c r="B410" t="str">
        <f>IF(ISBLANK(JP!AZ414),"",JP!AZ414)</f>
        <v/>
      </c>
      <c r="C410" t="str">
        <f>IF(ISBLANK(JP!BA414),"",JP!BA414)</f>
        <v/>
      </c>
      <c r="D410" t="str">
        <f>IF(ISBLANK(JP!BC414),"",JP!BC414)</f>
        <v/>
      </c>
      <c r="E410" t="str">
        <f>IF(ISBLANK(JP!BB414),"",JP!BB414)</f>
        <v/>
      </c>
      <c r="F410" t="str">
        <f>IF(ISBLANK(JP!D414),"","x")</f>
        <v/>
      </c>
      <c r="G410" t="str">
        <f>IF(ISBLANK(JP!E414),"","x")</f>
        <v/>
      </c>
      <c r="H410" t="str">
        <f>IF(ISBLANK(JP!F414),"","x")</f>
        <v/>
      </c>
      <c r="I410" t="str">
        <f>IF(ISBLANK(JP!G414),"","x")</f>
        <v/>
      </c>
      <c r="J410" t="str">
        <f>IF(ISBLANK(JP!H414),"","x")</f>
        <v/>
      </c>
      <c r="K410" t="str">
        <f>IF(ISBLANK(JP!I414),"","x")</f>
        <v/>
      </c>
      <c r="L410" t="str">
        <f>IF(ISBLANK(JP!J414),"","x")</f>
        <v/>
      </c>
      <c r="M410" t="str">
        <f>IF(ISBLANK(JP!L414),"","x")</f>
        <v/>
      </c>
      <c r="N410" t="str">
        <f>IF(ISBLANK(JP!M414),"","x")</f>
        <v/>
      </c>
      <c r="O410" t="str">
        <f>IF(ISBLANK(JP!N414),"","x")</f>
        <v/>
      </c>
      <c r="P410" t="str">
        <f>IF(ISBLANK(JP!O414),"","x")</f>
        <v/>
      </c>
      <c r="Q410" t="str">
        <f>IF(ISBLANK(JP!P414),"","x")</f>
        <v/>
      </c>
      <c r="R410" t="str">
        <f>IF(ISBLANK(JP!Q414),"","x")</f>
        <v/>
      </c>
      <c r="S410" t="str">
        <f>IF(ISBLANK(JP!R414),"","x")</f>
        <v/>
      </c>
      <c r="T410" t="str">
        <f>IF(ISBLANK(JP!T414),"","x")</f>
        <v/>
      </c>
      <c r="U410" t="str">
        <f>IF(ISBLANK(JP!U414),"","x")</f>
        <v/>
      </c>
      <c r="V410" t="str">
        <f>IF(ISBLANK(JP!V414),"","x")</f>
        <v/>
      </c>
      <c r="W410" t="str">
        <f>IF(ISBLANK(JP!W414),"","x")</f>
        <v/>
      </c>
      <c r="X410" t="str">
        <f>IF(ISBLANK(JP!X414),"","x")</f>
        <v/>
      </c>
      <c r="Y410" t="str">
        <f>IF(ISBLANK(JP!Y414),"","x")</f>
        <v/>
      </c>
      <c r="Z410" t="str">
        <f>IF(ISBLANK(JP!Z414),"","x")</f>
        <v/>
      </c>
      <c r="AA410" t="str">
        <f>IF(ISBLANK(JP!AB414),"","x")</f>
        <v/>
      </c>
      <c r="AB410" t="str">
        <f>IF(ISBLANK(JP!AC414),"","x")</f>
        <v/>
      </c>
      <c r="AC410" t="str">
        <f>IF(ISBLANK(JP!AD414),"","x")</f>
        <v/>
      </c>
      <c r="AD410" t="str">
        <f>IF(ISBLANK(JP!AE414),"","x")</f>
        <v/>
      </c>
      <c r="AE410" t="str">
        <f>IF(ISBLANK(JP!AF414),"","x")</f>
        <v/>
      </c>
      <c r="AF410" t="str">
        <f>IF(ISBLANK(JP!AG414),"","x")</f>
        <v/>
      </c>
      <c r="AG410" t="str">
        <f>IF(ISBLANK(JP!AH414),"","x")</f>
        <v/>
      </c>
      <c r="AH410" t="str">
        <f>IF(ISBLANK(JP!AJ414),"","x")</f>
        <v/>
      </c>
      <c r="AI410" t="str">
        <f>IF(ISBLANK(JP!AK414),"","x")</f>
        <v/>
      </c>
      <c r="AJ410" t="str">
        <f>IF(ISBLANK(JP!AL414),"","x")</f>
        <v/>
      </c>
      <c r="AK410" t="str">
        <f>IF(ISBLANK(JP!AM414),"","x")</f>
        <v/>
      </c>
      <c r="AL410" t="str">
        <f>IF(ISBLANK(JP!AN414),"","x")</f>
        <v/>
      </c>
      <c r="AM410" t="str">
        <f>IF(ISBLANK(JP!AO414),"","x")</f>
        <v/>
      </c>
      <c r="AN410" t="str">
        <f>IF(ISBLANK(JP!AP414),"","x")</f>
        <v/>
      </c>
      <c r="AO410" t="str">
        <f>IF(ISBLANK(JP!AR414),"","x")</f>
        <v/>
      </c>
      <c r="AP410" t="str">
        <f>IF(ISBLANK(JP!AS414),"","x")</f>
        <v/>
      </c>
      <c r="AQ410" t="str">
        <f>IF(ISBLANK(JP!AT414),"","x")</f>
        <v/>
      </c>
      <c r="AR410" t="str">
        <f>IF(ISBLANK(JP!AU414),"","x")</f>
        <v/>
      </c>
      <c r="AS410" t="str">
        <f>IF(ISBLANK(JP!AV414),"","x")</f>
        <v/>
      </c>
      <c r="AT410" t="str">
        <f>IF(ISBLANK(JP!AW414),"","x")</f>
        <v/>
      </c>
      <c r="AU410" t="str">
        <f>IF(ISBLANK(JP!AX414),"","x")</f>
        <v/>
      </c>
    </row>
    <row r="411" spans="2:47">
      <c r="B411" t="str">
        <f>IF(ISBLANK(JP!AZ415),"",JP!AZ415)</f>
        <v/>
      </c>
      <c r="C411" t="str">
        <f>IF(ISBLANK(JP!BA415),"",JP!BA415)</f>
        <v/>
      </c>
      <c r="D411" t="str">
        <f>IF(ISBLANK(JP!BC415),"",JP!BC415)</f>
        <v/>
      </c>
      <c r="E411" t="str">
        <f>IF(ISBLANK(JP!BB415),"",JP!BB415)</f>
        <v/>
      </c>
      <c r="F411" t="str">
        <f>IF(ISBLANK(JP!D415),"","x")</f>
        <v/>
      </c>
      <c r="G411" t="str">
        <f>IF(ISBLANK(JP!E415),"","x")</f>
        <v/>
      </c>
      <c r="H411" t="str">
        <f>IF(ISBLANK(JP!F415),"","x")</f>
        <v/>
      </c>
      <c r="I411" t="str">
        <f>IF(ISBLANK(JP!G415),"","x")</f>
        <v/>
      </c>
      <c r="J411" t="str">
        <f>IF(ISBLANK(JP!H415),"","x")</f>
        <v/>
      </c>
      <c r="K411" t="str">
        <f>IF(ISBLANK(JP!I415),"","x")</f>
        <v/>
      </c>
      <c r="L411" t="str">
        <f>IF(ISBLANK(JP!J415),"","x")</f>
        <v/>
      </c>
      <c r="M411" t="str">
        <f>IF(ISBLANK(JP!L415),"","x")</f>
        <v/>
      </c>
      <c r="N411" t="str">
        <f>IF(ISBLANK(JP!M415),"","x")</f>
        <v/>
      </c>
      <c r="O411" t="str">
        <f>IF(ISBLANK(JP!N415),"","x")</f>
        <v/>
      </c>
      <c r="P411" t="str">
        <f>IF(ISBLANK(JP!O415),"","x")</f>
        <v/>
      </c>
      <c r="Q411" t="str">
        <f>IF(ISBLANK(JP!P415),"","x")</f>
        <v/>
      </c>
      <c r="R411" t="str">
        <f>IF(ISBLANK(JP!Q415),"","x")</f>
        <v/>
      </c>
      <c r="S411" t="str">
        <f>IF(ISBLANK(JP!R415),"","x")</f>
        <v/>
      </c>
      <c r="T411" t="str">
        <f>IF(ISBLANK(JP!T415),"","x")</f>
        <v/>
      </c>
      <c r="U411" t="str">
        <f>IF(ISBLANK(JP!U415),"","x")</f>
        <v/>
      </c>
      <c r="V411" t="str">
        <f>IF(ISBLANK(JP!V415),"","x")</f>
        <v/>
      </c>
      <c r="W411" t="str">
        <f>IF(ISBLANK(JP!W415),"","x")</f>
        <v/>
      </c>
      <c r="X411" t="str">
        <f>IF(ISBLANK(JP!X415),"","x")</f>
        <v/>
      </c>
      <c r="Y411" t="str">
        <f>IF(ISBLANK(JP!Y415),"","x")</f>
        <v/>
      </c>
      <c r="Z411" t="str">
        <f>IF(ISBLANK(JP!Z415),"","x")</f>
        <v/>
      </c>
      <c r="AA411" t="str">
        <f>IF(ISBLANK(JP!AB415),"","x")</f>
        <v/>
      </c>
      <c r="AB411" t="str">
        <f>IF(ISBLANK(JP!AC415),"","x")</f>
        <v/>
      </c>
      <c r="AC411" t="str">
        <f>IF(ISBLANK(JP!AD415),"","x")</f>
        <v/>
      </c>
      <c r="AD411" t="str">
        <f>IF(ISBLANK(JP!AE415),"","x")</f>
        <v/>
      </c>
      <c r="AE411" t="str">
        <f>IF(ISBLANK(JP!AF415),"","x")</f>
        <v/>
      </c>
      <c r="AF411" t="str">
        <f>IF(ISBLANK(JP!AG415),"","x")</f>
        <v/>
      </c>
      <c r="AG411" t="str">
        <f>IF(ISBLANK(JP!AH415),"","x")</f>
        <v/>
      </c>
      <c r="AH411" t="str">
        <f>IF(ISBLANK(JP!AJ415),"","x")</f>
        <v/>
      </c>
      <c r="AI411" t="str">
        <f>IF(ISBLANK(JP!AK415),"","x")</f>
        <v/>
      </c>
      <c r="AJ411" t="str">
        <f>IF(ISBLANK(JP!AL415),"","x")</f>
        <v/>
      </c>
      <c r="AK411" t="str">
        <f>IF(ISBLANK(JP!AM415),"","x")</f>
        <v/>
      </c>
      <c r="AL411" t="str">
        <f>IF(ISBLANK(JP!AN415),"","x")</f>
        <v/>
      </c>
      <c r="AM411" t="str">
        <f>IF(ISBLANK(JP!AO415),"","x")</f>
        <v/>
      </c>
      <c r="AN411" t="str">
        <f>IF(ISBLANK(JP!AP415),"","x")</f>
        <v/>
      </c>
      <c r="AO411" t="str">
        <f>IF(ISBLANK(JP!AR415),"","x")</f>
        <v/>
      </c>
      <c r="AP411" t="str">
        <f>IF(ISBLANK(JP!AS415),"","x")</f>
        <v/>
      </c>
      <c r="AQ411" t="str">
        <f>IF(ISBLANK(JP!AT415),"","x")</f>
        <v/>
      </c>
      <c r="AR411" t="str">
        <f>IF(ISBLANK(JP!AU415),"","x")</f>
        <v/>
      </c>
      <c r="AS411" t="str">
        <f>IF(ISBLANK(JP!AV415),"","x")</f>
        <v/>
      </c>
      <c r="AT411" t="str">
        <f>IF(ISBLANK(JP!AW415),"","x")</f>
        <v/>
      </c>
      <c r="AU411" t="str">
        <f>IF(ISBLANK(JP!AX415),"","x")</f>
        <v/>
      </c>
    </row>
    <row r="412" spans="2:47">
      <c r="B412" t="str">
        <f>IF(ISBLANK(JP!AZ416),"",JP!AZ416)</f>
        <v/>
      </c>
      <c r="C412" t="str">
        <f>IF(ISBLANK(JP!BA416),"",JP!BA416)</f>
        <v/>
      </c>
      <c r="D412" t="str">
        <f>IF(ISBLANK(JP!BC416),"",JP!BC416)</f>
        <v/>
      </c>
      <c r="E412" t="str">
        <f>IF(ISBLANK(JP!BB416),"",JP!BB416)</f>
        <v/>
      </c>
      <c r="F412" t="str">
        <f>IF(ISBLANK(JP!D416),"","x")</f>
        <v/>
      </c>
      <c r="G412" t="str">
        <f>IF(ISBLANK(JP!E416),"","x")</f>
        <v/>
      </c>
      <c r="H412" t="str">
        <f>IF(ISBLANK(JP!F416),"","x")</f>
        <v/>
      </c>
      <c r="I412" t="str">
        <f>IF(ISBLANK(JP!G416),"","x")</f>
        <v/>
      </c>
      <c r="J412" t="str">
        <f>IF(ISBLANK(JP!H416),"","x")</f>
        <v/>
      </c>
      <c r="K412" t="str">
        <f>IF(ISBLANK(JP!I416),"","x")</f>
        <v/>
      </c>
      <c r="L412" t="str">
        <f>IF(ISBLANK(JP!J416),"","x")</f>
        <v/>
      </c>
      <c r="M412" t="str">
        <f>IF(ISBLANK(JP!L416),"","x")</f>
        <v/>
      </c>
      <c r="N412" t="str">
        <f>IF(ISBLANK(JP!M416),"","x")</f>
        <v/>
      </c>
      <c r="O412" t="str">
        <f>IF(ISBLANK(JP!N416),"","x")</f>
        <v/>
      </c>
      <c r="P412" t="str">
        <f>IF(ISBLANK(JP!O416),"","x")</f>
        <v/>
      </c>
      <c r="Q412" t="str">
        <f>IF(ISBLANK(JP!P416),"","x")</f>
        <v/>
      </c>
      <c r="R412" t="str">
        <f>IF(ISBLANK(JP!Q416),"","x")</f>
        <v/>
      </c>
      <c r="S412" t="str">
        <f>IF(ISBLANK(JP!R416),"","x")</f>
        <v/>
      </c>
      <c r="T412" t="str">
        <f>IF(ISBLANK(JP!T416),"","x")</f>
        <v/>
      </c>
      <c r="U412" t="str">
        <f>IF(ISBLANK(JP!U416),"","x")</f>
        <v/>
      </c>
      <c r="V412" t="str">
        <f>IF(ISBLANK(JP!V416),"","x")</f>
        <v/>
      </c>
      <c r="W412" t="str">
        <f>IF(ISBLANK(JP!W416),"","x")</f>
        <v/>
      </c>
      <c r="X412" t="str">
        <f>IF(ISBLANK(JP!X416),"","x")</f>
        <v/>
      </c>
      <c r="Y412" t="str">
        <f>IF(ISBLANK(JP!Y416),"","x")</f>
        <v/>
      </c>
      <c r="Z412" t="str">
        <f>IF(ISBLANK(JP!Z416),"","x")</f>
        <v/>
      </c>
      <c r="AA412" t="str">
        <f>IF(ISBLANK(JP!AB416),"","x")</f>
        <v/>
      </c>
      <c r="AB412" t="str">
        <f>IF(ISBLANK(JP!AC416),"","x")</f>
        <v/>
      </c>
      <c r="AC412" t="str">
        <f>IF(ISBLANK(JP!AD416),"","x")</f>
        <v/>
      </c>
      <c r="AD412" t="str">
        <f>IF(ISBLANK(JP!AE416),"","x")</f>
        <v/>
      </c>
      <c r="AE412" t="str">
        <f>IF(ISBLANK(JP!AF416),"","x")</f>
        <v/>
      </c>
      <c r="AF412" t="str">
        <f>IF(ISBLANK(JP!AG416),"","x")</f>
        <v/>
      </c>
      <c r="AG412" t="str">
        <f>IF(ISBLANK(JP!AH416),"","x")</f>
        <v/>
      </c>
      <c r="AH412" t="str">
        <f>IF(ISBLANK(JP!AJ416),"","x")</f>
        <v/>
      </c>
      <c r="AI412" t="str">
        <f>IF(ISBLANK(JP!AK416),"","x")</f>
        <v/>
      </c>
      <c r="AJ412" t="str">
        <f>IF(ISBLANK(JP!AL416),"","x")</f>
        <v/>
      </c>
      <c r="AK412" t="str">
        <f>IF(ISBLANK(JP!AM416),"","x")</f>
        <v/>
      </c>
      <c r="AL412" t="str">
        <f>IF(ISBLANK(JP!AN416),"","x")</f>
        <v/>
      </c>
      <c r="AM412" t="str">
        <f>IF(ISBLANK(JP!AO416),"","x")</f>
        <v/>
      </c>
      <c r="AN412" t="str">
        <f>IF(ISBLANK(JP!AP416),"","x")</f>
        <v/>
      </c>
      <c r="AO412" t="str">
        <f>IF(ISBLANK(JP!AR416),"","x")</f>
        <v/>
      </c>
      <c r="AP412" t="str">
        <f>IF(ISBLANK(JP!AS416),"","x")</f>
        <v/>
      </c>
      <c r="AQ412" t="str">
        <f>IF(ISBLANK(JP!AT416),"","x")</f>
        <v/>
      </c>
      <c r="AR412" t="str">
        <f>IF(ISBLANK(JP!AU416),"","x")</f>
        <v/>
      </c>
      <c r="AS412" t="str">
        <f>IF(ISBLANK(JP!AV416),"","x")</f>
        <v/>
      </c>
      <c r="AT412" t="str">
        <f>IF(ISBLANK(JP!AW416),"","x")</f>
        <v/>
      </c>
      <c r="AU412" t="str">
        <f>IF(ISBLANK(JP!AX416),"","x")</f>
        <v/>
      </c>
    </row>
    <row r="413" spans="2:47">
      <c r="B413" t="str">
        <f>IF(ISBLANK(JP!AZ417),"",JP!AZ417)</f>
        <v/>
      </c>
      <c r="C413" t="str">
        <f>IF(ISBLANK(JP!BA417),"",JP!BA417)</f>
        <v/>
      </c>
      <c r="D413" t="str">
        <f>IF(ISBLANK(JP!BC417),"",JP!BC417)</f>
        <v/>
      </c>
      <c r="E413" t="str">
        <f>IF(ISBLANK(JP!BB417),"",JP!BB417)</f>
        <v/>
      </c>
      <c r="F413" t="str">
        <f>IF(ISBLANK(JP!D417),"","x")</f>
        <v/>
      </c>
      <c r="G413" t="str">
        <f>IF(ISBLANK(JP!E417),"","x")</f>
        <v/>
      </c>
      <c r="H413" t="str">
        <f>IF(ISBLANK(JP!F417),"","x")</f>
        <v/>
      </c>
      <c r="I413" t="str">
        <f>IF(ISBLANK(JP!G417),"","x")</f>
        <v/>
      </c>
      <c r="J413" t="str">
        <f>IF(ISBLANK(JP!H417),"","x")</f>
        <v/>
      </c>
      <c r="K413" t="str">
        <f>IF(ISBLANK(JP!I417),"","x")</f>
        <v/>
      </c>
      <c r="L413" t="str">
        <f>IF(ISBLANK(JP!J417),"","x")</f>
        <v/>
      </c>
      <c r="M413" t="str">
        <f>IF(ISBLANK(JP!L417),"","x")</f>
        <v/>
      </c>
      <c r="N413" t="str">
        <f>IF(ISBLANK(JP!M417),"","x")</f>
        <v/>
      </c>
      <c r="O413" t="str">
        <f>IF(ISBLANK(JP!N417),"","x")</f>
        <v/>
      </c>
      <c r="P413" t="str">
        <f>IF(ISBLANK(JP!O417),"","x")</f>
        <v/>
      </c>
      <c r="Q413" t="str">
        <f>IF(ISBLANK(JP!P417),"","x")</f>
        <v/>
      </c>
      <c r="R413" t="str">
        <f>IF(ISBLANK(JP!Q417),"","x")</f>
        <v/>
      </c>
      <c r="S413" t="str">
        <f>IF(ISBLANK(JP!R417),"","x")</f>
        <v/>
      </c>
      <c r="T413" t="str">
        <f>IF(ISBLANK(JP!T417),"","x")</f>
        <v/>
      </c>
      <c r="U413" t="str">
        <f>IF(ISBLANK(JP!U417),"","x")</f>
        <v/>
      </c>
      <c r="V413" t="str">
        <f>IF(ISBLANK(JP!V417),"","x")</f>
        <v/>
      </c>
      <c r="W413" t="str">
        <f>IF(ISBLANK(JP!W417),"","x")</f>
        <v/>
      </c>
      <c r="X413" t="str">
        <f>IF(ISBLANK(JP!X417),"","x")</f>
        <v/>
      </c>
      <c r="Y413" t="str">
        <f>IF(ISBLANK(JP!Y417),"","x")</f>
        <v/>
      </c>
      <c r="Z413" t="str">
        <f>IF(ISBLANK(JP!Z417),"","x")</f>
        <v/>
      </c>
      <c r="AA413" t="str">
        <f>IF(ISBLANK(JP!AB417),"","x")</f>
        <v/>
      </c>
      <c r="AB413" t="str">
        <f>IF(ISBLANK(JP!AC417),"","x")</f>
        <v/>
      </c>
      <c r="AC413" t="str">
        <f>IF(ISBLANK(JP!AD417),"","x")</f>
        <v/>
      </c>
      <c r="AD413" t="str">
        <f>IF(ISBLANK(JP!AE417),"","x")</f>
        <v/>
      </c>
      <c r="AE413" t="str">
        <f>IF(ISBLANK(JP!AF417),"","x")</f>
        <v/>
      </c>
      <c r="AF413" t="str">
        <f>IF(ISBLANK(JP!AG417),"","x")</f>
        <v/>
      </c>
      <c r="AG413" t="str">
        <f>IF(ISBLANK(JP!AH417),"","x")</f>
        <v/>
      </c>
      <c r="AH413" t="str">
        <f>IF(ISBLANK(JP!AJ417),"","x")</f>
        <v/>
      </c>
      <c r="AI413" t="str">
        <f>IF(ISBLANK(JP!AK417),"","x")</f>
        <v/>
      </c>
      <c r="AJ413" t="str">
        <f>IF(ISBLANK(JP!AL417),"","x")</f>
        <v/>
      </c>
      <c r="AK413" t="str">
        <f>IF(ISBLANK(JP!AM417),"","x")</f>
        <v/>
      </c>
      <c r="AL413" t="str">
        <f>IF(ISBLANK(JP!AN417),"","x")</f>
        <v/>
      </c>
      <c r="AM413" t="str">
        <f>IF(ISBLANK(JP!AO417),"","x")</f>
        <v/>
      </c>
      <c r="AN413" t="str">
        <f>IF(ISBLANK(JP!AP417),"","x")</f>
        <v/>
      </c>
      <c r="AO413" t="str">
        <f>IF(ISBLANK(JP!AR417),"","x")</f>
        <v/>
      </c>
      <c r="AP413" t="str">
        <f>IF(ISBLANK(JP!AS417),"","x")</f>
        <v/>
      </c>
      <c r="AQ413" t="str">
        <f>IF(ISBLANK(JP!AT417),"","x")</f>
        <v/>
      </c>
      <c r="AR413" t="str">
        <f>IF(ISBLANK(JP!AU417),"","x")</f>
        <v/>
      </c>
      <c r="AS413" t="str">
        <f>IF(ISBLANK(JP!AV417),"","x")</f>
        <v/>
      </c>
      <c r="AT413" t="str">
        <f>IF(ISBLANK(JP!AW417),"","x")</f>
        <v/>
      </c>
      <c r="AU413" t="str">
        <f>IF(ISBLANK(JP!AX417),"","x")</f>
        <v/>
      </c>
    </row>
    <row r="414" spans="2:47">
      <c r="B414" t="str">
        <f>IF(ISBLANK(JP!AZ418),"",JP!AZ418)</f>
        <v/>
      </c>
      <c r="C414" t="str">
        <f>IF(ISBLANK(JP!BA418),"",JP!BA418)</f>
        <v/>
      </c>
      <c r="D414" t="str">
        <f>IF(ISBLANK(JP!BC418),"",JP!BC418)</f>
        <v/>
      </c>
      <c r="E414" t="str">
        <f>IF(ISBLANK(JP!BB418),"",JP!BB418)</f>
        <v/>
      </c>
      <c r="F414" t="str">
        <f>IF(ISBLANK(JP!D418),"","x")</f>
        <v/>
      </c>
      <c r="G414" t="str">
        <f>IF(ISBLANK(JP!E418),"","x")</f>
        <v/>
      </c>
      <c r="H414" t="str">
        <f>IF(ISBLANK(JP!F418),"","x")</f>
        <v/>
      </c>
      <c r="I414" t="str">
        <f>IF(ISBLANK(JP!G418),"","x")</f>
        <v/>
      </c>
      <c r="J414" t="str">
        <f>IF(ISBLANK(JP!H418),"","x")</f>
        <v/>
      </c>
      <c r="K414" t="str">
        <f>IF(ISBLANK(JP!I418),"","x")</f>
        <v/>
      </c>
      <c r="L414" t="str">
        <f>IF(ISBLANK(JP!J418),"","x")</f>
        <v/>
      </c>
      <c r="M414" t="str">
        <f>IF(ISBLANK(JP!L418),"","x")</f>
        <v/>
      </c>
      <c r="N414" t="str">
        <f>IF(ISBLANK(JP!M418),"","x")</f>
        <v/>
      </c>
      <c r="O414" t="str">
        <f>IF(ISBLANK(JP!N418),"","x")</f>
        <v/>
      </c>
      <c r="P414" t="str">
        <f>IF(ISBLANK(JP!O418),"","x")</f>
        <v/>
      </c>
      <c r="Q414" t="str">
        <f>IF(ISBLANK(JP!P418),"","x")</f>
        <v/>
      </c>
      <c r="R414" t="str">
        <f>IF(ISBLANK(JP!Q418),"","x")</f>
        <v/>
      </c>
      <c r="S414" t="str">
        <f>IF(ISBLANK(JP!R418),"","x")</f>
        <v/>
      </c>
      <c r="T414" t="str">
        <f>IF(ISBLANK(JP!T418),"","x")</f>
        <v/>
      </c>
      <c r="U414" t="str">
        <f>IF(ISBLANK(JP!U418),"","x")</f>
        <v/>
      </c>
      <c r="V414" t="str">
        <f>IF(ISBLANK(JP!V418),"","x")</f>
        <v/>
      </c>
      <c r="W414" t="str">
        <f>IF(ISBLANK(JP!W418),"","x")</f>
        <v/>
      </c>
      <c r="X414" t="str">
        <f>IF(ISBLANK(JP!X418),"","x")</f>
        <v/>
      </c>
      <c r="Y414" t="str">
        <f>IF(ISBLANK(JP!Y418),"","x")</f>
        <v/>
      </c>
      <c r="Z414" t="str">
        <f>IF(ISBLANK(JP!Z418),"","x")</f>
        <v/>
      </c>
      <c r="AA414" t="str">
        <f>IF(ISBLANK(JP!AB418),"","x")</f>
        <v/>
      </c>
      <c r="AB414" t="str">
        <f>IF(ISBLANK(JP!AC418),"","x")</f>
        <v/>
      </c>
      <c r="AC414" t="str">
        <f>IF(ISBLANK(JP!AD418),"","x")</f>
        <v/>
      </c>
      <c r="AD414" t="str">
        <f>IF(ISBLANK(JP!AE418),"","x")</f>
        <v/>
      </c>
      <c r="AE414" t="str">
        <f>IF(ISBLANK(JP!AF418),"","x")</f>
        <v/>
      </c>
      <c r="AF414" t="str">
        <f>IF(ISBLANK(JP!AG418),"","x")</f>
        <v/>
      </c>
      <c r="AG414" t="str">
        <f>IF(ISBLANK(JP!AH418),"","x")</f>
        <v/>
      </c>
      <c r="AH414" t="str">
        <f>IF(ISBLANK(JP!AJ418),"","x")</f>
        <v/>
      </c>
      <c r="AI414" t="str">
        <f>IF(ISBLANK(JP!AK418),"","x")</f>
        <v/>
      </c>
      <c r="AJ414" t="str">
        <f>IF(ISBLANK(JP!AL418),"","x")</f>
        <v/>
      </c>
      <c r="AK414" t="str">
        <f>IF(ISBLANK(JP!AM418),"","x")</f>
        <v/>
      </c>
      <c r="AL414" t="str">
        <f>IF(ISBLANK(JP!AN418),"","x")</f>
        <v/>
      </c>
      <c r="AM414" t="str">
        <f>IF(ISBLANK(JP!AO418),"","x")</f>
        <v/>
      </c>
      <c r="AN414" t="str">
        <f>IF(ISBLANK(JP!AP418),"","x")</f>
        <v/>
      </c>
      <c r="AO414" t="str">
        <f>IF(ISBLANK(JP!AR418),"","x")</f>
        <v/>
      </c>
      <c r="AP414" t="str">
        <f>IF(ISBLANK(JP!AS418),"","x")</f>
        <v/>
      </c>
      <c r="AQ414" t="str">
        <f>IF(ISBLANK(JP!AT418),"","x")</f>
        <v/>
      </c>
      <c r="AR414" t="str">
        <f>IF(ISBLANK(JP!AU418),"","x")</f>
        <v/>
      </c>
      <c r="AS414" t="str">
        <f>IF(ISBLANK(JP!AV418),"","x")</f>
        <v/>
      </c>
      <c r="AT414" t="str">
        <f>IF(ISBLANK(JP!AW418),"","x")</f>
        <v/>
      </c>
      <c r="AU414" t="str">
        <f>IF(ISBLANK(JP!AX418),"","x")</f>
        <v/>
      </c>
    </row>
    <row r="415" spans="2:47">
      <c r="B415" t="str">
        <f>IF(ISBLANK(JP!AZ419),"",JP!AZ419)</f>
        <v/>
      </c>
      <c r="C415" t="str">
        <f>IF(ISBLANK(JP!BA419),"",JP!BA419)</f>
        <v/>
      </c>
      <c r="D415" t="str">
        <f>IF(ISBLANK(JP!BC419),"",JP!BC419)</f>
        <v/>
      </c>
      <c r="E415" t="str">
        <f>IF(ISBLANK(JP!BB419),"",JP!BB419)</f>
        <v/>
      </c>
      <c r="F415" t="str">
        <f>IF(ISBLANK(JP!D419),"","x")</f>
        <v/>
      </c>
      <c r="G415" t="str">
        <f>IF(ISBLANK(JP!E419),"","x")</f>
        <v/>
      </c>
      <c r="H415" t="str">
        <f>IF(ISBLANK(JP!F419),"","x")</f>
        <v/>
      </c>
      <c r="I415" t="str">
        <f>IF(ISBLANK(JP!G419),"","x")</f>
        <v/>
      </c>
      <c r="J415" t="str">
        <f>IF(ISBLANK(JP!H419),"","x")</f>
        <v/>
      </c>
      <c r="K415" t="str">
        <f>IF(ISBLANK(JP!I419),"","x")</f>
        <v/>
      </c>
      <c r="L415" t="str">
        <f>IF(ISBLANK(JP!J419),"","x")</f>
        <v/>
      </c>
      <c r="M415" t="str">
        <f>IF(ISBLANK(JP!L419),"","x")</f>
        <v/>
      </c>
      <c r="N415" t="str">
        <f>IF(ISBLANK(JP!M419),"","x")</f>
        <v/>
      </c>
      <c r="O415" t="str">
        <f>IF(ISBLANK(JP!N419),"","x")</f>
        <v/>
      </c>
      <c r="P415" t="str">
        <f>IF(ISBLANK(JP!O419),"","x")</f>
        <v/>
      </c>
      <c r="Q415" t="str">
        <f>IF(ISBLANK(JP!P419),"","x")</f>
        <v/>
      </c>
      <c r="R415" t="str">
        <f>IF(ISBLANK(JP!Q419),"","x")</f>
        <v/>
      </c>
      <c r="S415" t="str">
        <f>IF(ISBLANK(JP!R419),"","x")</f>
        <v/>
      </c>
      <c r="T415" t="str">
        <f>IF(ISBLANK(JP!T419),"","x")</f>
        <v/>
      </c>
      <c r="U415" t="str">
        <f>IF(ISBLANK(JP!U419),"","x")</f>
        <v/>
      </c>
      <c r="V415" t="str">
        <f>IF(ISBLANK(JP!V419),"","x")</f>
        <v/>
      </c>
      <c r="W415" t="str">
        <f>IF(ISBLANK(JP!W419),"","x")</f>
        <v/>
      </c>
      <c r="X415" t="str">
        <f>IF(ISBLANK(JP!X419),"","x")</f>
        <v/>
      </c>
      <c r="Y415" t="str">
        <f>IF(ISBLANK(JP!Y419),"","x")</f>
        <v/>
      </c>
      <c r="Z415" t="str">
        <f>IF(ISBLANK(JP!Z419),"","x")</f>
        <v/>
      </c>
      <c r="AA415" t="str">
        <f>IF(ISBLANK(JP!AB419),"","x")</f>
        <v/>
      </c>
      <c r="AB415" t="str">
        <f>IF(ISBLANK(JP!AC419),"","x")</f>
        <v/>
      </c>
      <c r="AC415" t="str">
        <f>IF(ISBLANK(JP!AD419),"","x")</f>
        <v/>
      </c>
      <c r="AD415" t="str">
        <f>IF(ISBLANK(JP!AE419),"","x")</f>
        <v/>
      </c>
      <c r="AE415" t="str">
        <f>IF(ISBLANK(JP!AF419),"","x")</f>
        <v/>
      </c>
      <c r="AF415" t="str">
        <f>IF(ISBLANK(JP!AG419),"","x")</f>
        <v/>
      </c>
      <c r="AG415" t="str">
        <f>IF(ISBLANK(JP!AH419),"","x")</f>
        <v/>
      </c>
      <c r="AH415" t="str">
        <f>IF(ISBLANK(JP!AJ419),"","x")</f>
        <v/>
      </c>
      <c r="AI415" t="str">
        <f>IF(ISBLANK(JP!AK419),"","x")</f>
        <v/>
      </c>
      <c r="AJ415" t="str">
        <f>IF(ISBLANK(JP!AL419),"","x")</f>
        <v/>
      </c>
      <c r="AK415" t="str">
        <f>IF(ISBLANK(JP!AM419),"","x")</f>
        <v/>
      </c>
      <c r="AL415" t="str">
        <f>IF(ISBLANK(JP!AN419),"","x")</f>
        <v/>
      </c>
      <c r="AM415" t="str">
        <f>IF(ISBLANK(JP!AO419),"","x")</f>
        <v/>
      </c>
      <c r="AN415" t="str">
        <f>IF(ISBLANK(JP!AP419),"","x")</f>
        <v/>
      </c>
      <c r="AO415" t="str">
        <f>IF(ISBLANK(JP!AR419),"","x")</f>
        <v/>
      </c>
      <c r="AP415" t="str">
        <f>IF(ISBLANK(JP!AS419),"","x")</f>
        <v/>
      </c>
      <c r="AQ415" t="str">
        <f>IF(ISBLANK(JP!AT419),"","x")</f>
        <v/>
      </c>
      <c r="AR415" t="str">
        <f>IF(ISBLANK(JP!AU419),"","x")</f>
        <v/>
      </c>
      <c r="AS415" t="str">
        <f>IF(ISBLANK(JP!AV419),"","x")</f>
        <v/>
      </c>
      <c r="AT415" t="str">
        <f>IF(ISBLANK(JP!AW419),"","x")</f>
        <v/>
      </c>
      <c r="AU415" t="str">
        <f>IF(ISBLANK(JP!AX419),"","x")</f>
        <v/>
      </c>
    </row>
    <row r="416" spans="2:47">
      <c r="B416" t="str">
        <f>IF(ISBLANK(JP!AZ420),"",JP!AZ420)</f>
        <v/>
      </c>
      <c r="C416" t="str">
        <f>IF(ISBLANK(JP!BA420),"",JP!BA420)</f>
        <v/>
      </c>
      <c r="D416" t="str">
        <f>IF(ISBLANK(JP!BC420),"",JP!BC420)</f>
        <v/>
      </c>
      <c r="E416" t="str">
        <f>IF(ISBLANK(JP!BB420),"",JP!BB420)</f>
        <v/>
      </c>
      <c r="F416" t="str">
        <f>IF(ISBLANK(JP!D420),"","x")</f>
        <v/>
      </c>
      <c r="G416" t="str">
        <f>IF(ISBLANK(JP!E420),"","x")</f>
        <v/>
      </c>
      <c r="H416" t="str">
        <f>IF(ISBLANK(JP!F420),"","x")</f>
        <v/>
      </c>
      <c r="I416" t="str">
        <f>IF(ISBLANK(JP!G420),"","x")</f>
        <v/>
      </c>
      <c r="J416" t="str">
        <f>IF(ISBLANK(JP!H420),"","x")</f>
        <v/>
      </c>
      <c r="K416" t="str">
        <f>IF(ISBLANK(JP!I420),"","x")</f>
        <v/>
      </c>
      <c r="L416" t="str">
        <f>IF(ISBLANK(JP!J420),"","x")</f>
        <v/>
      </c>
      <c r="M416" t="str">
        <f>IF(ISBLANK(JP!L420),"","x")</f>
        <v/>
      </c>
      <c r="N416" t="str">
        <f>IF(ISBLANK(JP!M420),"","x")</f>
        <v/>
      </c>
      <c r="O416" t="str">
        <f>IF(ISBLANK(JP!N420),"","x")</f>
        <v/>
      </c>
      <c r="P416" t="str">
        <f>IF(ISBLANK(JP!O420),"","x")</f>
        <v/>
      </c>
      <c r="Q416" t="str">
        <f>IF(ISBLANK(JP!P420),"","x")</f>
        <v/>
      </c>
      <c r="R416" t="str">
        <f>IF(ISBLANK(JP!Q420),"","x")</f>
        <v/>
      </c>
      <c r="S416" t="str">
        <f>IF(ISBLANK(JP!R420),"","x")</f>
        <v/>
      </c>
      <c r="T416" t="str">
        <f>IF(ISBLANK(JP!T420),"","x")</f>
        <v/>
      </c>
      <c r="U416" t="str">
        <f>IF(ISBLANK(JP!U420),"","x")</f>
        <v/>
      </c>
      <c r="V416" t="str">
        <f>IF(ISBLANK(JP!V420),"","x")</f>
        <v/>
      </c>
      <c r="W416" t="str">
        <f>IF(ISBLANK(JP!W420),"","x")</f>
        <v/>
      </c>
      <c r="X416" t="str">
        <f>IF(ISBLANK(JP!X420),"","x")</f>
        <v/>
      </c>
      <c r="Y416" t="str">
        <f>IF(ISBLANK(JP!Y420),"","x")</f>
        <v/>
      </c>
      <c r="Z416" t="str">
        <f>IF(ISBLANK(JP!Z420),"","x")</f>
        <v/>
      </c>
      <c r="AA416" t="str">
        <f>IF(ISBLANK(JP!AB420),"","x")</f>
        <v/>
      </c>
      <c r="AB416" t="str">
        <f>IF(ISBLANK(JP!AC420),"","x")</f>
        <v/>
      </c>
      <c r="AC416" t="str">
        <f>IF(ISBLANK(JP!AD420),"","x")</f>
        <v/>
      </c>
      <c r="AD416" t="str">
        <f>IF(ISBLANK(JP!AE420),"","x")</f>
        <v/>
      </c>
      <c r="AE416" t="str">
        <f>IF(ISBLANK(JP!AF420),"","x")</f>
        <v/>
      </c>
      <c r="AF416" t="str">
        <f>IF(ISBLANK(JP!AG420),"","x")</f>
        <v/>
      </c>
      <c r="AG416" t="str">
        <f>IF(ISBLANK(JP!AH420),"","x")</f>
        <v/>
      </c>
      <c r="AH416" t="str">
        <f>IF(ISBLANK(JP!AJ420),"","x")</f>
        <v/>
      </c>
      <c r="AI416" t="str">
        <f>IF(ISBLANK(JP!AK420),"","x")</f>
        <v/>
      </c>
      <c r="AJ416" t="str">
        <f>IF(ISBLANK(JP!AL420),"","x")</f>
        <v/>
      </c>
      <c r="AK416" t="str">
        <f>IF(ISBLANK(JP!AM420),"","x")</f>
        <v/>
      </c>
      <c r="AL416" t="str">
        <f>IF(ISBLANK(JP!AN420),"","x")</f>
        <v/>
      </c>
      <c r="AM416" t="str">
        <f>IF(ISBLANK(JP!AO420),"","x")</f>
        <v/>
      </c>
      <c r="AN416" t="str">
        <f>IF(ISBLANK(JP!AP420),"","x")</f>
        <v/>
      </c>
      <c r="AO416" t="str">
        <f>IF(ISBLANK(JP!AR420),"","x")</f>
        <v/>
      </c>
      <c r="AP416" t="str">
        <f>IF(ISBLANK(JP!AS420),"","x")</f>
        <v/>
      </c>
      <c r="AQ416" t="str">
        <f>IF(ISBLANK(JP!AT420),"","x")</f>
        <v/>
      </c>
      <c r="AR416" t="str">
        <f>IF(ISBLANK(JP!AU420),"","x")</f>
        <v/>
      </c>
      <c r="AS416" t="str">
        <f>IF(ISBLANK(JP!AV420),"","x")</f>
        <v/>
      </c>
      <c r="AT416" t="str">
        <f>IF(ISBLANK(JP!AW420),"","x")</f>
        <v/>
      </c>
      <c r="AU416" t="str">
        <f>IF(ISBLANK(JP!AX420),"","x")</f>
        <v/>
      </c>
    </row>
    <row r="417" spans="2:47">
      <c r="B417" t="str">
        <f>IF(ISBLANK(JP!AZ421),"",JP!AZ421)</f>
        <v/>
      </c>
      <c r="C417" t="str">
        <f>IF(ISBLANK(JP!BA421),"",JP!BA421)</f>
        <v/>
      </c>
      <c r="D417" t="str">
        <f>IF(ISBLANK(JP!BC421),"",JP!BC421)</f>
        <v/>
      </c>
      <c r="E417" t="str">
        <f>IF(ISBLANK(JP!BB421),"",JP!BB421)</f>
        <v/>
      </c>
      <c r="F417" t="str">
        <f>IF(ISBLANK(JP!D421),"","x")</f>
        <v/>
      </c>
      <c r="G417" t="str">
        <f>IF(ISBLANK(JP!E421),"","x")</f>
        <v/>
      </c>
      <c r="H417" t="str">
        <f>IF(ISBLANK(JP!F421),"","x")</f>
        <v/>
      </c>
      <c r="I417" t="str">
        <f>IF(ISBLANK(JP!G421),"","x")</f>
        <v/>
      </c>
      <c r="J417" t="str">
        <f>IF(ISBLANK(JP!H421),"","x")</f>
        <v/>
      </c>
      <c r="K417" t="str">
        <f>IF(ISBLANK(JP!I421),"","x")</f>
        <v/>
      </c>
      <c r="L417" t="str">
        <f>IF(ISBLANK(JP!J421),"","x")</f>
        <v/>
      </c>
      <c r="M417" t="str">
        <f>IF(ISBLANK(JP!L421),"","x")</f>
        <v/>
      </c>
      <c r="N417" t="str">
        <f>IF(ISBLANK(JP!M421),"","x")</f>
        <v/>
      </c>
      <c r="O417" t="str">
        <f>IF(ISBLANK(JP!N421),"","x")</f>
        <v/>
      </c>
      <c r="P417" t="str">
        <f>IF(ISBLANK(JP!O421),"","x")</f>
        <v/>
      </c>
      <c r="Q417" t="str">
        <f>IF(ISBLANK(JP!P421),"","x")</f>
        <v/>
      </c>
      <c r="R417" t="str">
        <f>IF(ISBLANK(JP!Q421),"","x")</f>
        <v/>
      </c>
      <c r="S417" t="str">
        <f>IF(ISBLANK(JP!R421),"","x")</f>
        <v/>
      </c>
      <c r="T417" t="str">
        <f>IF(ISBLANK(JP!T421),"","x")</f>
        <v/>
      </c>
      <c r="U417" t="str">
        <f>IF(ISBLANK(JP!U421),"","x")</f>
        <v/>
      </c>
      <c r="V417" t="str">
        <f>IF(ISBLANK(JP!V421),"","x")</f>
        <v/>
      </c>
      <c r="W417" t="str">
        <f>IF(ISBLANK(JP!W421),"","x")</f>
        <v/>
      </c>
      <c r="X417" t="str">
        <f>IF(ISBLANK(JP!X421),"","x")</f>
        <v/>
      </c>
      <c r="Y417" t="str">
        <f>IF(ISBLANK(JP!Y421),"","x")</f>
        <v/>
      </c>
      <c r="Z417" t="str">
        <f>IF(ISBLANK(JP!Z421),"","x")</f>
        <v/>
      </c>
      <c r="AA417" t="str">
        <f>IF(ISBLANK(JP!AB421),"","x")</f>
        <v/>
      </c>
      <c r="AB417" t="str">
        <f>IF(ISBLANK(JP!AC421),"","x")</f>
        <v/>
      </c>
      <c r="AC417" t="str">
        <f>IF(ISBLANK(JP!AD421),"","x")</f>
        <v/>
      </c>
      <c r="AD417" t="str">
        <f>IF(ISBLANK(JP!AE421),"","x")</f>
        <v/>
      </c>
      <c r="AE417" t="str">
        <f>IF(ISBLANK(JP!AF421),"","x")</f>
        <v/>
      </c>
      <c r="AF417" t="str">
        <f>IF(ISBLANK(JP!AG421),"","x")</f>
        <v/>
      </c>
      <c r="AG417" t="str">
        <f>IF(ISBLANK(JP!AH421),"","x")</f>
        <v/>
      </c>
      <c r="AH417" t="str">
        <f>IF(ISBLANK(JP!AJ421),"","x")</f>
        <v/>
      </c>
      <c r="AI417" t="str">
        <f>IF(ISBLANK(JP!AK421),"","x")</f>
        <v/>
      </c>
      <c r="AJ417" t="str">
        <f>IF(ISBLANK(JP!AL421),"","x")</f>
        <v/>
      </c>
      <c r="AK417" t="str">
        <f>IF(ISBLANK(JP!AM421),"","x")</f>
        <v/>
      </c>
      <c r="AL417" t="str">
        <f>IF(ISBLANK(JP!AN421),"","x")</f>
        <v/>
      </c>
      <c r="AM417" t="str">
        <f>IF(ISBLANK(JP!AO421),"","x")</f>
        <v/>
      </c>
      <c r="AN417" t="str">
        <f>IF(ISBLANK(JP!AP421),"","x")</f>
        <v/>
      </c>
      <c r="AO417" t="str">
        <f>IF(ISBLANK(JP!AR421),"","x")</f>
        <v/>
      </c>
      <c r="AP417" t="str">
        <f>IF(ISBLANK(JP!AS421),"","x")</f>
        <v/>
      </c>
      <c r="AQ417" t="str">
        <f>IF(ISBLANK(JP!AT421),"","x")</f>
        <v/>
      </c>
      <c r="AR417" t="str">
        <f>IF(ISBLANK(JP!AU421),"","x")</f>
        <v/>
      </c>
      <c r="AS417" t="str">
        <f>IF(ISBLANK(JP!AV421),"","x")</f>
        <v/>
      </c>
      <c r="AT417" t="str">
        <f>IF(ISBLANK(JP!AW421),"","x")</f>
        <v/>
      </c>
      <c r="AU417" t="str">
        <f>IF(ISBLANK(JP!AX421),"","x")</f>
        <v/>
      </c>
    </row>
    <row r="418" spans="2:47">
      <c r="B418" t="str">
        <f>IF(ISBLANK(JP!AZ422),"",JP!AZ422)</f>
        <v/>
      </c>
      <c r="C418" t="str">
        <f>IF(ISBLANK(JP!BA422),"",JP!BA422)</f>
        <v/>
      </c>
      <c r="D418" t="str">
        <f>IF(ISBLANK(JP!BC422),"",JP!BC422)</f>
        <v/>
      </c>
      <c r="E418" t="str">
        <f>IF(ISBLANK(JP!BB422),"",JP!BB422)</f>
        <v/>
      </c>
      <c r="F418" t="str">
        <f>IF(ISBLANK(JP!D422),"","x")</f>
        <v/>
      </c>
      <c r="G418" t="str">
        <f>IF(ISBLANK(JP!E422),"","x")</f>
        <v/>
      </c>
      <c r="H418" t="str">
        <f>IF(ISBLANK(JP!F422),"","x")</f>
        <v/>
      </c>
      <c r="I418" t="str">
        <f>IF(ISBLANK(JP!G422),"","x")</f>
        <v/>
      </c>
      <c r="J418" t="str">
        <f>IF(ISBLANK(JP!H422),"","x")</f>
        <v/>
      </c>
      <c r="K418" t="str">
        <f>IF(ISBLANK(JP!I422),"","x")</f>
        <v/>
      </c>
      <c r="L418" t="str">
        <f>IF(ISBLANK(JP!J422),"","x")</f>
        <v/>
      </c>
      <c r="M418" t="str">
        <f>IF(ISBLANK(JP!L422),"","x")</f>
        <v/>
      </c>
      <c r="N418" t="str">
        <f>IF(ISBLANK(JP!M422),"","x")</f>
        <v/>
      </c>
      <c r="O418" t="str">
        <f>IF(ISBLANK(JP!N422),"","x")</f>
        <v/>
      </c>
      <c r="P418" t="str">
        <f>IF(ISBLANK(JP!O422),"","x")</f>
        <v/>
      </c>
      <c r="Q418" t="str">
        <f>IF(ISBLANK(JP!P422),"","x")</f>
        <v/>
      </c>
      <c r="R418" t="str">
        <f>IF(ISBLANK(JP!Q422),"","x")</f>
        <v/>
      </c>
      <c r="S418" t="str">
        <f>IF(ISBLANK(JP!R422),"","x")</f>
        <v/>
      </c>
      <c r="T418" t="str">
        <f>IF(ISBLANK(JP!T422),"","x")</f>
        <v/>
      </c>
      <c r="U418" t="str">
        <f>IF(ISBLANK(JP!U422),"","x")</f>
        <v/>
      </c>
      <c r="V418" t="str">
        <f>IF(ISBLANK(JP!V422),"","x")</f>
        <v/>
      </c>
      <c r="W418" t="str">
        <f>IF(ISBLANK(JP!W422),"","x")</f>
        <v/>
      </c>
      <c r="X418" t="str">
        <f>IF(ISBLANK(JP!X422),"","x")</f>
        <v/>
      </c>
      <c r="Y418" t="str">
        <f>IF(ISBLANK(JP!Y422),"","x")</f>
        <v/>
      </c>
      <c r="Z418" t="str">
        <f>IF(ISBLANK(JP!Z422),"","x")</f>
        <v/>
      </c>
      <c r="AA418" t="str">
        <f>IF(ISBLANK(JP!AB422),"","x")</f>
        <v/>
      </c>
      <c r="AB418" t="str">
        <f>IF(ISBLANK(JP!AC422),"","x")</f>
        <v/>
      </c>
      <c r="AC418" t="str">
        <f>IF(ISBLANK(JP!AD422),"","x")</f>
        <v/>
      </c>
      <c r="AD418" t="str">
        <f>IF(ISBLANK(JP!AE422),"","x")</f>
        <v/>
      </c>
      <c r="AE418" t="str">
        <f>IF(ISBLANK(JP!AF422),"","x")</f>
        <v/>
      </c>
      <c r="AF418" t="str">
        <f>IF(ISBLANK(JP!AG422),"","x")</f>
        <v/>
      </c>
      <c r="AG418" t="str">
        <f>IF(ISBLANK(JP!AH422),"","x")</f>
        <v/>
      </c>
      <c r="AH418" t="str">
        <f>IF(ISBLANK(JP!AJ422),"","x")</f>
        <v/>
      </c>
      <c r="AI418" t="str">
        <f>IF(ISBLANK(JP!AK422),"","x")</f>
        <v/>
      </c>
      <c r="AJ418" t="str">
        <f>IF(ISBLANK(JP!AL422),"","x")</f>
        <v/>
      </c>
      <c r="AK418" t="str">
        <f>IF(ISBLANK(JP!AM422),"","x")</f>
        <v/>
      </c>
      <c r="AL418" t="str">
        <f>IF(ISBLANK(JP!AN422),"","x")</f>
        <v/>
      </c>
      <c r="AM418" t="str">
        <f>IF(ISBLANK(JP!AO422),"","x")</f>
        <v/>
      </c>
      <c r="AN418" t="str">
        <f>IF(ISBLANK(JP!AP422),"","x")</f>
        <v/>
      </c>
      <c r="AO418" t="str">
        <f>IF(ISBLANK(JP!AR422),"","x")</f>
        <v/>
      </c>
      <c r="AP418" t="str">
        <f>IF(ISBLANK(JP!AS422),"","x")</f>
        <v/>
      </c>
      <c r="AQ418" t="str">
        <f>IF(ISBLANK(JP!AT422),"","x")</f>
        <v/>
      </c>
      <c r="AR418" t="str">
        <f>IF(ISBLANK(JP!AU422),"","x")</f>
        <v/>
      </c>
      <c r="AS418" t="str">
        <f>IF(ISBLANK(JP!AV422),"","x")</f>
        <v/>
      </c>
      <c r="AT418" t="str">
        <f>IF(ISBLANK(JP!AW422),"","x")</f>
        <v/>
      </c>
      <c r="AU418" t="str">
        <f>IF(ISBLANK(JP!AX422),"","x")</f>
        <v/>
      </c>
    </row>
    <row r="419" spans="2:47">
      <c r="B419" t="str">
        <f>IF(ISBLANK(JP!AZ423),"",JP!AZ423)</f>
        <v/>
      </c>
      <c r="C419" t="str">
        <f>IF(ISBLANK(JP!BA423),"",JP!BA423)</f>
        <v/>
      </c>
      <c r="D419" t="str">
        <f>IF(ISBLANK(JP!BC423),"",JP!BC423)</f>
        <v/>
      </c>
      <c r="E419" t="str">
        <f>IF(ISBLANK(JP!BB423),"",JP!BB423)</f>
        <v/>
      </c>
      <c r="F419" t="str">
        <f>IF(ISBLANK(JP!D423),"","x")</f>
        <v/>
      </c>
      <c r="G419" t="str">
        <f>IF(ISBLANK(JP!E423),"","x")</f>
        <v/>
      </c>
      <c r="H419" t="str">
        <f>IF(ISBLANK(JP!F423),"","x")</f>
        <v/>
      </c>
      <c r="I419" t="str">
        <f>IF(ISBLANK(JP!G423),"","x")</f>
        <v/>
      </c>
      <c r="J419" t="str">
        <f>IF(ISBLANK(JP!H423),"","x")</f>
        <v/>
      </c>
      <c r="K419" t="str">
        <f>IF(ISBLANK(JP!I423),"","x")</f>
        <v/>
      </c>
      <c r="L419" t="str">
        <f>IF(ISBLANK(JP!J423),"","x")</f>
        <v/>
      </c>
      <c r="M419" t="str">
        <f>IF(ISBLANK(JP!L423),"","x")</f>
        <v/>
      </c>
      <c r="N419" t="str">
        <f>IF(ISBLANK(JP!M423),"","x")</f>
        <v/>
      </c>
      <c r="O419" t="str">
        <f>IF(ISBLANK(JP!N423),"","x")</f>
        <v/>
      </c>
      <c r="P419" t="str">
        <f>IF(ISBLANK(JP!O423),"","x")</f>
        <v/>
      </c>
      <c r="Q419" t="str">
        <f>IF(ISBLANK(JP!P423),"","x")</f>
        <v/>
      </c>
      <c r="R419" t="str">
        <f>IF(ISBLANK(JP!Q423),"","x")</f>
        <v/>
      </c>
      <c r="S419" t="str">
        <f>IF(ISBLANK(JP!R423),"","x")</f>
        <v/>
      </c>
      <c r="T419" t="str">
        <f>IF(ISBLANK(JP!T423),"","x")</f>
        <v/>
      </c>
      <c r="U419" t="str">
        <f>IF(ISBLANK(JP!U423),"","x")</f>
        <v/>
      </c>
      <c r="V419" t="str">
        <f>IF(ISBLANK(JP!V423),"","x")</f>
        <v/>
      </c>
      <c r="W419" t="str">
        <f>IF(ISBLANK(JP!W423),"","x")</f>
        <v/>
      </c>
      <c r="X419" t="str">
        <f>IF(ISBLANK(JP!X423),"","x")</f>
        <v/>
      </c>
      <c r="Y419" t="str">
        <f>IF(ISBLANK(JP!Y423),"","x")</f>
        <v/>
      </c>
      <c r="Z419" t="str">
        <f>IF(ISBLANK(JP!Z423),"","x")</f>
        <v/>
      </c>
      <c r="AA419" t="str">
        <f>IF(ISBLANK(JP!AB423),"","x")</f>
        <v/>
      </c>
      <c r="AB419" t="str">
        <f>IF(ISBLANK(JP!AC423),"","x")</f>
        <v/>
      </c>
      <c r="AC419" t="str">
        <f>IF(ISBLANK(JP!AD423),"","x")</f>
        <v/>
      </c>
      <c r="AD419" t="str">
        <f>IF(ISBLANK(JP!AE423),"","x")</f>
        <v/>
      </c>
      <c r="AE419" t="str">
        <f>IF(ISBLANK(JP!AF423),"","x")</f>
        <v/>
      </c>
      <c r="AF419" t="str">
        <f>IF(ISBLANK(JP!AG423),"","x")</f>
        <v/>
      </c>
      <c r="AG419" t="str">
        <f>IF(ISBLANK(JP!AH423),"","x")</f>
        <v/>
      </c>
      <c r="AH419" t="str">
        <f>IF(ISBLANK(JP!AJ423),"","x")</f>
        <v/>
      </c>
      <c r="AI419" t="str">
        <f>IF(ISBLANK(JP!AK423),"","x")</f>
        <v/>
      </c>
      <c r="AJ419" t="str">
        <f>IF(ISBLANK(JP!AL423),"","x")</f>
        <v/>
      </c>
      <c r="AK419" t="str">
        <f>IF(ISBLANK(JP!AM423),"","x")</f>
        <v/>
      </c>
      <c r="AL419" t="str">
        <f>IF(ISBLANK(JP!AN423),"","x")</f>
        <v/>
      </c>
      <c r="AM419" t="str">
        <f>IF(ISBLANK(JP!AO423),"","x")</f>
        <v/>
      </c>
      <c r="AN419" t="str">
        <f>IF(ISBLANK(JP!AP423),"","x")</f>
        <v/>
      </c>
      <c r="AO419" t="str">
        <f>IF(ISBLANK(JP!AR423),"","x")</f>
        <v/>
      </c>
      <c r="AP419" t="str">
        <f>IF(ISBLANK(JP!AS423),"","x")</f>
        <v/>
      </c>
      <c r="AQ419" t="str">
        <f>IF(ISBLANK(JP!AT423),"","x")</f>
        <v/>
      </c>
      <c r="AR419" t="str">
        <f>IF(ISBLANK(JP!AU423),"","x")</f>
        <v/>
      </c>
      <c r="AS419" t="str">
        <f>IF(ISBLANK(JP!AV423),"","x")</f>
        <v/>
      </c>
      <c r="AT419" t="str">
        <f>IF(ISBLANK(JP!AW423),"","x")</f>
        <v/>
      </c>
      <c r="AU419" t="str">
        <f>IF(ISBLANK(JP!AX423),"","x")</f>
        <v/>
      </c>
    </row>
    <row r="420" spans="2:47">
      <c r="B420" t="str">
        <f>IF(ISBLANK(JP!AZ424),"",JP!AZ424)</f>
        <v/>
      </c>
      <c r="C420" t="str">
        <f>IF(ISBLANK(JP!BA424),"",JP!BA424)</f>
        <v/>
      </c>
      <c r="D420" t="str">
        <f>IF(ISBLANK(JP!BC424),"",JP!BC424)</f>
        <v/>
      </c>
      <c r="E420" t="str">
        <f>IF(ISBLANK(JP!BB424),"",JP!BB424)</f>
        <v/>
      </c>
      <c r="F420" t="str">
        <f>IF(ISBLANK(JP!D424),"","x")</f>
        <v/>
      </c>
      <c r="G420" t="str">
        <f>IF(ISBLANK(JP!E424),"","x")</f>
        <v/>
      </c>
      <c r="H420" t="str">
        <f>IF(ISBLANK(JP!F424),"","x")</f>
        <v/>
      </c>
      <c r="I420" t="str">
        <f>IF(ISBLANK(JP!G424),"","x")</f>
        <v/>
      </c>
      <c r="J420" t="str">
        <f>IF(ISBLANK(JP!H424),"","x")</f>
        <v/>
      </c>
      <c r="K420" t="str">
        <f>IF(ISBLANK(JP!I424),"","x")</f>
        <v/>
      </c>
      <c r="L420" t="str">
        <f>IF(ISBLANK(JP!J424),"","x")</f>
        <v/>
      </c>
      <c r="M420" t="str">
        <f>IF(ISBLANK(JP!L424),"","x")</f>
        <v/>
      </c>
      <c r="N420" t="str">
        <f>IF(ISBLANK(JP!M424),"","x")</f>
        <v/>
      </c>
      <c r="O420" t="str">
        <f>IF(ISBLANK(JP!N424),"","x")</f>
        <v/>
      </c>
      <c r="P420" t="str">
        <f>IF(ISBLANK(JP!O424),"","x")</f>
        <v/>
      </c>
      <c r="Q420" t="str">
        <f>IF(ISBLANK(JP!P424),"","x")</f>
        <v/>
      </c>
      <c r="R420" t="str">
        <f>IF(ISBLANK(JP!Q424),"","x")</f>
        <v/>
      </c>
      <c r="S420" t="str">
        <f>IF(ISBLANK(JP!R424),"","x")</f>
        <v/>
      </c>
      <c r="T420" t="str">
        <f>IF(ISBLANK(JP!T424),"","x")</f>
        <v/>
      </c>
      <c r="U420" t="str">
        <f>IF(ISBLANK(JP!U424),"","x")</f>
        <v/>
      </c>
      <c r="V420" t="str">
        <f>IF(ISBLANK(JP!V424),"","x")</f>
        <v/>
      </c>
      <c r="W420" t="str">
        <f>IF(ISBLANK(JP!W424),"","x")</f>
        <v/>
      </c>
      <c r="X420" t="str">
        <f>IF(ISBLANK(JP!X424),"","x")</f>
        <v/>
      </c>
      <c r="Y420" t="str">
        <f>IF(ISBLANK(JP!Y424),"","x")</f>
        <v/>
      </c>
      <c r="Z420" t="str">
        <f>IF(ISBLANK(JP!Z424),"","x")</f>
        <v/>
      </c>
      <c r="AA420" t="str">
        <f>IF(ISBLANK(JP!AB424),"","x")</f>
        <v/>
      </c>
      <c r="AB420" t="str">
        <f>IF(ISBLANK(JP!AC424),"","x")</f>
        <v/>
      </c>
      <c r="AC420" t="str">
        <f>IF(ISBLANK(JP!AD424),"","x")</f>
        <v/>
      </c>
      <c r="AD420" t="str">
        <f>IF(ISBLANK(JP!AE424),"","x")</f>
        <v/>
      </c>
      <c r="AE420" t="str">
        <f>IF(ISBLANK(JP!AF424),"","x")</f>
        <v/>
      </c>
      <c r="AF420" t="str">
        <f>IF(ISBLANK(JP!AG424),"","x")</f>
        <v/>
      </c>
      <c r="AG420" t="str">
        <f>IF(ISBLANK(JP!AH424),"","x")</f>
        <v/>
      </c>
      <c r="AH420" t="str">
        <f>IF(ISBLANK(JP!AJ424),"","x")</f>
        <v/>
      </c>
      <c r="AI420" t="str">
        <f>IF(ISBLANK(JP!AK424),"","x")</f>
        <v/>
      </c>
      <c r="AJ420" t="str">
        <f>IF(ISBLANK(JP!AL424),"","x")</f>
        <v/>
      </c>
      <c r="AK420" t="str">
        <f>IF(ISBLANK(JP!AM424),"","x")</f>
        <v/>
      </c>
      <c r="AL420" t="str">
        <f>IF(ISBLANK(JP!AN424),"","x")</f>
        <v/>
      </c>
      <c r="AM420" t="str">
        <f>IF(ISBLANK(JP!AO424),"","x")</f>
        <v/>
      </c>
      <c r="AN420" t="str">
        <f>IF(ISBLANK(JP!AP424),"","x")</f>
        <v/>
      </c>
      <c r="AO420" t="str">
        <f>IF(ISBLANK(JP!AR424),"","x")</f>
        <v/>
      </c>
      <c r="AP420" t="str">
        <f>IF(ISBLANK(JP!AS424),"","x")</f>
        <v/>
      </c>
      <c r="AQ420" t="str">
        <f>IF(ISBLANK(JP!AT424),"","x")</f>
        <v/>
      </c>
      <c r="AR420" t="str">
        <f>IF(ISBLANK(JP!AU424),"","x")</f>
        <v/>
      </c>
      <c r="AS420" t="str">
        <f>IF(ISBLANK(JP!AV424),"","x")</f>
        <v/>
      </c>
      <c r="AT420" t="str">
        <f>IF(ISBLANK(JP!AW424),"","x")</f>
        <v/>
      </c>
      <c r="AU420" t="str">
        <f>IF(ISBLANK(JP!AX424),"","x")</f>
        <v/>
      </c>
    </row>
    <row r="421" spans="2:47">
      <c r="B421" t="str">
        <f>IF(ISBLANK(JP!AZ425),"",JP!AZ425)</f>
        <v/>
      </c>
      <c r="C421" t="str">
        <f>IF(ISBLANK(JP!BA425),"",JP!BA425)</f>
        <v/>
      </c>
      <c r="D421" t="str">
        <f>IF(ISBLANK(JP!BC425),"",JP!BC425)</f>
        <v/>
      </c>
      <c r="E421" t="str">
        <f>IF(ISBLANK(JP!BB425),"",JP!BB425)</f>
        <v/>
      </c>
      <c r="F421" t="str">
        <f>IF(ISBLANK(JP!D425),"","x")</f>
        <v/>
      </c>
      <c r="G421" t="str">
        <f>IF(ISBLANK(JP!E425),"","x")</f>
        <v/>
      </c>
      <c r="H421" t="str">
        <f>IF(ISBLANK(JP!F425),"","x")</f>
        <v/>
      </c>
      <c r="I421" t="str">
        <f>IF(ISBLANK(JP!G425),"","x")</f>
        <v/>
      </c>
      <c r="J421" t="str">
        <f>IF(ISBLANK(JP!H425),"","x")</f>
        <v/>
      </c>
      <c r="K421" t="str">
        <f>IF(ISBLANK(JP!I425),"","x")</f>
        <v/>
      </c>
      <c r="L421" t="str">
        <f>IF(ISBLANK(JP!J425),"","x")</f>
        <v/>
      </c>
      <c r="M421" t="str">
        <f>IF(ISBLANK(JP!L425),"","x")</f>
        <v/>
      </c>
      <c r="N421" t="str">
        <f>IF(ISBLANK(JP!M425),"","x")</f>
        <v/>
      </c>
      <c r="O421" t="str">
        <f>IF(ISBLANK(JP!N425),"","x")</f>
        <v/>
      </c>
      <c r="P421" t="str">
        <f>IF(ISBLANK(JP!O425),"","x")</f>
        <v/>
      </c>
      <c r="Q421" t="str">
        <f>IF(ISBLANK(JP!P425),"","x")</f>
        <v/>
      </c>
      <c r="R421" t="str">
        <f>IF(ISBLANK(JP!Q425),"","x")</f>
        <v/>
      </c>
      <c r="S421" t="str">
        <f>IF(ISBLANK(JP!R425),"","x")</f>
        <v/>
      </c>
      <c r="T421" t="str">
        <f>IF(ISBLANK(JP!T425),"","x")</f>
        <v/>
      </c>
      <c r="U421" t="str">
        <f>IF(ISBLANK(JP!U425),"","x")</f>
        <v/>
      </c>
      <c r="V421" t="str">
        <f>IF(ISBLANK(JP!V425),"","x")</f>
        <v/>
      </c>
      <c r="W421" t="str">
        <f>IF(ISBLANK(JP!W425),"","x")</f>
        <v/>
      </c>
      <c r="X421" t="str">
        <f>IF(ISBLANK(JP!X425),"","x")</f>
        <v/>
      </c>
      <c r="Y421" t="str">
        <f>IF(ISBLANK(JP!Y425),"","x")</f>
        <v/>
      </c>
      <c r="Z421" t="str">
        <f>IF(ISBLANK(JP!Z425),"","x")</f>
        <v/>
      </c>
      <c r="AA421" t="str">
        <f>IF(ISBLANK(JP!AB425),"","x")</f>
        <v/>
      </c>
      <c r="AB421" t="str">
        <f>IF(ISBLANK(JP!AC425),"","x")</f>
        <v/>
      </c>
      <c r="AC421" t="str">
        <f>IF(ISBLANK(JP!AD425),"","x")</f>
        <v/>
      </c>
      <c r="AD421" t="str">
        <f>IF(ISBLANK(JP!AE425),"","x")</f>
        <v/>
      </c>
      <c r="AE421" t="str">
        <f>IF(ISBLANK(JP!AF425),"","x")</f>
        <v/>
      </c>
      <c r="AF421" t="str">
        <f>IF(ISBLANK(JP!AG425),"","x")</f>
        <v/>
      </c>
      <c r="AG421" t="str">
        <f>IF(ISBLANK(JP!AH425),"","x")</f>
        <v/>
      </c>
      <c r="AH421" t="str">
        <f>IF(ISBLANK(JP!AJ425),"","x")</f>
        <v/>
      </c>
      <c r="AI421" t="str">
        <f>IF(ISBLANK(JP!AK425),"","x")</f>
        <v/>
      </c>
      <c r="AJ421" t="str">
        <f>IF(ISBLANK(JP!AL425),"","x")</f>
        <v/>
      </c>
      <c r="AK421" t="str">
        <f>IF(ISBLANK(JP!AM425),"","x")</f>
        <v/>
      </c>
      <c r="AL421" t="str">
        <f>IF(ISBLANK(JP!AN425),"","x")</f>
        <v/>
      </c>
      <c r="AM421" t="str">
        <f>IF(ISBLANK(JP!AO425),"","x")</f>
        <v/>
      </c>
      <c r="AN421" t="str">
        <f>IF(ISBLANK(JP!AP425),"","x")</f>
        <v/>
      </c>
      <c r="AO421" t="str">
        <f>IF(ISBLANK(JP!AR425),"","x")</f>
        <v/>
      </c>
      <c r="AP421" t="str">
        <f>IF(ISBLANK(JP!AS425),"","x")</f>
        <v/>
      </c>
      <c r="AQ421" t="str">
        <f>IF(ISBLANK(JP!AT425),"","x")</f>
        <v/>
      </c>
      <c r="AR421" t="str">
        <f>IF(ISBLANK(JP!AU425),"","x")</f>
        <v/>
      </c>
      <c r="AS421" t="str">
        <f>IF(ISBLANK(JP!AV425),"","x")</f>
        <v/>
      </c>
      <c r="AT421" t="str">
        <f>IF(ISBLANK(JP!AW425),"","x")</f>
        <v/>
      </c>
      <c r="AU421" t="str">
        <f>IF(ISBLANK(JP!AX425),"","x")</f>
        <v/>
      </c>
    </row>
    <row r="422" spans="2:47">
      <c r="B422" t="str">
        <f>IF(ISBLANK(JP!AZ426),"",JP!AZ426)</f>
        <v/>
      </c>
      <c r="C422" t="str">
        <f>IF(ISBLANK(JP!BA426),"",JP!BA426)</f>
        <v/>
      </c>
      <c r="D422" t="str">
        <f>IF(ISBLANK(JP!BC426),"",JP!BC426)</f>
        <v/>
      </c>
      <c r="E422" t="str">
        <f>IF(ISBLANK(JP!BB426),"",JP!BB426)</f>
        <v/>
      </c>
      <c r="F422" t="str">
        <f>IF(ISBLANK(JP!D426),"","x")</f>
        <v/>
      </c>
      <c r="G422" t="str">
        <f>IF(ISBLANK(JP!E426),"","x")</f>
        <v/>
      </c>
      <c r="H422" t="str">
        <f>IF(ISBLANK(JP!F426),"","x")</f>
        <v/>
      </c>
      <c r="I422" t="str">
        <f>IF(ISBLANK(JP!G426),"","x")</f>
        <v/>
      </c>
      <c r="J422" t="str">
        <f>IF(ISBLANK(JP!H426),"","x")</f>
        <v/>
      </c>
      <c r="K422" t="str">
        <f>IF(ISBLANK(JP!I426),"","x")</f>
        <v/>
      </c>
      <c r="L422" t="str">
        <f>IF(ISBLANK(JP!J426),"","x")</f>
        <v/>
      </c>
      <c r="M422" t="str">
        <f>IF(ISBLANK(JP!L426),"","x")</f>
        <v/>
      </c>
      <c r="N422" t="str">
        <f>IF(ISBLANK(JP!M426),"","x")</f>
        <v/>
      </c>
      <c r="O422" t="str">
        <f>IF(ISBLANK(JP!N426),"","x")</f>
        <v/>
      </c>
      <c r="P422" t="str">
        <f>IF(ISBLANK(JP!O426),"","x")</f>
        <v/>
      </c>
      <c r="Q422" t="str">
        <f>IF(ISBLANK(JP!P426),"","x")</f>
        <v/>
      </c>
      <c r="R422" t="str">
        <f>IF(ISBLANK(JP!Q426),"","x")</f>
        <v/>
      </c>
      <c r="S422" t="str">
        <f>IF(ISBLANK(JP!R426),"","x")</f>
        <v/>
      </c>
      <c r="T422" t="str">
        <f>IF(ISBLANK(JP!T426),"","x")</f>
        <v/>
      </c>
      <c r="U422" t="str">
        <f>IF(ISBLANK(JP!U426),"","x")</f>
        <v/>
      </c>
      <c r="V422" t="str">
        <f>IF(ISBLANK(JP!V426),"","x")</f>
        <v/>
      </c>
      <c r="W422" t="str">
        <f>IF(ISBLANK(JP!W426),"","x")</f>
        <v/>
      </c>
      <c r="X422" t="str">
        <f>IF(ISBLANK(JP!X426),"","x")</f>
        <v/>
      </c>
      <c r="Y422" t="str">
        <f>IF(ISBLANK(JP!Y426),"","x")</f>
        <v/>
      </c>
      <c r="Z422" t="str">
        <f>IF(ISBLANK(JP!Z426),"","x")</f>
        <v/>
      </c>
      <c r="AA422" t="str">
        <f>IF(ISBLANK(JP!AB426),"","x")</f>
        <v/>
      </c>
      <c r="AB422" t="str">
        <f>IF(ISBLANK(JP!AC426),"","x")</f>
        <v/>
      </c>
      <c r="AC422" t="str">
        <f>IF(ISBLANK(JP!AD426),"","x")</f>
        <v/>
      </c>
      <c r="AD422" t="str">
        <f>IF(ISBLANK(JP!AE426),"","x")</f>
        <v/>
      </c>
      <c r="AE422" t="str">
        <f>IF(ISBLANK(JP!AF426),"","x")</f>
        <v/>
      </c>
      <c r="AF422" t="str">
        <f>IF(ISBLANK(JP!AG426),"","x")</f>
        <v/>
      </c>
      <c r="AG422" t="str">
        <f>IF(ISBLANK(JP!AH426),"","x")</f>
        <v/>
      </c>
      <c r="AH422" t="str">
        <f>IF(ISBLANK(JP!AJ426),"","x")</f>
        <v/>
      </c>
      <c r="AI422" t="str">
        <f>IF(ISBLANK(JP!AK426),"","x")</f>
        <v/>
      </c>
      <c r="AJ422" t="str">
        <f>IF(ISBLANK(JP!AL426),"","x")</f>
        <v/>
      </c>
      <c r="AK422" t="str">
        <f>IF(ISBLANK(JP!AM426),"","x")</f>
        <v/>
      </c>
      <c r="AL422" t="str">
        <f>IF(ISBLANK(JP!AN426),"","x")</f>
        <v/>
      </c>
      <c r="AM422" t="str">
        <f>IF(ISBLANK(JP!AO426),"","x")</f>
        <v/>
      </c>
      <c r="AN422" t="str">
        <f>IF(ISBLANK(JP!AP426),"","x")</f>
        <v/>
      </c>
      <c r="AO422" t="str">
        <f>IF(ISBLANK(JP!AR426),"","x")</f>
        <v/>
      </c>
      <c r="AP422" t="str">
        <f>IF(ISBLANK(JP!AS426),"","x")</f>
        <v/>
      </c>
      <c r="AQ422" t="str">
        <f>IF(ISBLANK(JP!AT426),"","x")</f>
        <v/>
      </c>
      <c r="AR422" t="str">
        <f>IF(ISBLANK(JP!AU426),"","x")</f>
        <v/>
      </c>
      <c r="AS422" t="str">
        <f>IF(ISBLANK(JP!AV426),"","x")</f>
        <v/>
      </c>
      <c r="AT422" t="str">
        <f>IF(ISBLANK(JP!AW426),"","x")</f>
        <v/>
      </c>
      <c r="AU422" t="str">
        <f>IF(ISBLANK(JP!AX426),"","x")</f>
        <v/>
      </c>
    </row>
    <row r="423" spans="2:47">
      <c r="B423" t="str">
        <f>IF(ISBLANK(JP!AZ427),"",JP!AZ427)</f>
        <v/>
      </c>
      <c r="C423" t="str">
        <f>IF(ISBLANK(JP!BA427),"",JP!BA427)</f>
        <v/>
      </c>
      <c r="D423" t="str">
        <f>IF(ISBLANK(JP!BC427),"",JP!BC427)</f>
        <v/>
      </c>
      <c r="E423" t="str">
        <f>IF(ISBLANK(JP!BB427),"",JP!BB427)</f>
        <v/>
      </c>
      <c r="F423" t="str">
        <f>IF(ISBLANK(JP!D427),"","x")</f>
        <v/>
      </c>
      <c r="G423" t="str">
        <f>IF(ISBLANK(JP!E427),"","x")</f>
        <v/>
      </c>
      <c r="H423" t="str">
        <f>IF(ISBLANK(JP!F427),"","x")</f>
        <v/>
      </c>
      <c r="I423" t="str">
        <f>IF(ISBLANK(JP!G427),"","x")</f>
        <v/>
      </c>
      <c r="J423" t="str">
        <f>IF(ISBLANK(JP!H427),"","x")</f>
        <v/>
      </c>
      <c r="K423" t="str">
        <f>IF(ISBLANK(JP!I427),"","x")</f>
        <v/>
      </c>
      <c r="L423" t="str">
        <f>IF(ISBLANK(JP!J427),"","x")</f>
        <v/>
      </c>
      <c r="M423" t="str">
        <f>IF(ISBLANK(JP!L427),"","x")</f>
        <v/>
      </c>
      <c r="N423" t="str">
        <f>IF(ISBLANK(JP!M427),"","x")</f>
        <v/>
      </c>
      <c r="O423" t="str">
        <f>IF(ISBLANK(JP!N427),"","x")</f>
        <v/>
      </c>
      <c r="P423" t="str">
        <f>IF(ISBLANK(JP!O427),"","x")</f>
        <v/>
      </c>
      <c r="Q423" t="str">
        <f>IF(ISBLANK(JP!P427),"","x")</f>
        <v/>
      </c>
      <c r="R423" t="str">
        <f>IF(ISBLANK(JP!Q427),"","x")</f>
        <v/>
      </c>
      <c r="S423" t="str">
        <f>IF(ISBLANK(JP!R427),"","x")</f>
        <v/>
      </c>
      <c r="T423" t="str">
        <f>IF(ISBLANK(JP!T427),"","x")</f>
        <v/>
      </c>
      <c r="U423" t="str">
        <f>IF(ISBLANK(JP!U427),"","x")</f>
        <v/>
      </c>
      <c r="V423" t="str">
        <f>IF(ISBLANK(JP!V427),"","x")</f>
        <v/>
      </c>
      <c r="W423" t="str">
        <f>IF(ISBLANK(JP!W427),"","x")</f>
        <v/>
      </c>
      <c r="X423" t="str">
        <f>IF(ISBLANK(JP!X427),"","x")</f>
        <v/>
      </c>
      <c r="Y423" t="str">
        <f>IF(ISBLANK(JP!Y427),"","x")</f>
        <v/>
      </c>
      <c r="Z423" t="str">
        <f>IF(ISBLANK(JP!Z427),"","x")</f>
        <v/>
      </c>
      <c r="AA423" t="str">
        <f>IF(ISBLANK(JP!AB427),"","x")</f>
        <v/>
      </c>
      <c r="AB423" t="str">
        <f>IF(ISBLANK(JP!AC427),"","x")</f>
        <v/>
      </c>
      <c r="AC423" t="str">
        <f>IF(ISBLANK(JP!AD427),"","x")</f>
        <v/>
      </c>
      <c r="AD423" t="str">
        <f>IF(ISBLANK(JP!AE427),"","x")</f>
        <v/>
      </c>
      <c r="AE423" t="str">
        <f>IF(ISBLANK(JP!AF427),"","x")</f>
        <v/>
      </c>
      <c r="AF423" t="str">
        <f>IF(ISBLANK(JP!AG427),"","x")</f>
        <v/>
      </c>
      <c r="AG423" t="str">
        <f>IF(ISBLANK(JP!AH427),"","x")</f>
        <v/>
      </c>
      <c r="AH423" t="str">
        <f>IF(ISBLANK(JP!AJ427),"","x")</f>
        <v/>
      </c>
      <c r="AI423" t="str">
        <f>IF(ISBLANK(JP!AK427),"","x")</f>
        <v/>
      </c>
      <c r="AJ423" t="str">
        <f>IF(ISBLANK(JP!AL427),"","x")</f>
        <v/>
      </c>
      <c r="AK423" t="str">
        <f>IF(ISBLANK(JP!AM427),"","x")</f>
        <v/>
      </c>
      <c r="AL423" t="str">
        <f>IF(ISBLANK(JP!AN427),"","x")</f>
        <v/>
      </c>
      <c r="AM423" t="str">
        <f>IF(ISBLANK(JP!AO427),"","x")</f>
        <v/>
      </c>
      <c r="AN423" t="str">
        <f>IF(ISBLANK(JP!AP427),"","x")</f>
        <v/>
      </c>
      <c r="AO423" t="str">
        <f>IF(ISBLANK(JP!AR427),"","x")</f>
        <v/>
      </c>
      <c r="AP423" t="str">
        <f>IF(ISBLANK(JP!AS427),"","x")</f>
        <v/>
      </c>
      <c r="AQ423" t="str">
        <f>IF(ISBLANK(JP!AT427),"","x")</f>
        <v/>
      </c>
      <c r="AR423" t="str">
        <f>IF(ISBLANK(JP!AU427),"","x")</f>
        <v/>
      </c>
      <c r="AS423" t="str">
        <f>IF(ISBLANK(JP!AV427),"","x")</f>
        <v/>
      </c>
      <c r="AT423" t="str">
        <f>IF(ISBLANK(JP!AW427),"","x")</f>
        <v/>
      </c>
      <c r="AU423" t="str">
        <f>IF(ISBLANK(JP!AX427),"","x")</f>
        <v/>
      </c>
    </row>
    <row r="424" spans="2:47">
      <c r="B424" t="str">
        <f>IF(ISBLANK(JP!AZ428),"",JP!AZ428)</f>
        <v/>
      </c>
      <c r="C424" t="str">
        <f>IF(ISBLANK(JP!BA428),"",JP!BA428)</f>
        <v/>
      </c>
      <c r="D424" t="str">
        <f>IF(ISBLANK(JP!BC428),"",JP!BC428)</f>
        <v/>
      </c>
      <c r="E424" t="str">
        <f>IF(ISBLANK(JP!BB428),"",JP!BB428)</f>
        <v/>
      </c>
      <c r="F424" t="str">
        <f>IF(ISBLANK(JP!D428),"","x")</f>
        <v/>
      </c>
      <c r="G424" t="str">
        <f>IF(ISBLANK(JP!E428),"","x")</f>
        <v/>
      </c>
      <c r="H424" t="str">
        <f>IF(ISBLANK(JP!F428),"","x")</f>
        <v/>
      </c>
      <c r="I424" t="str">
        <f>IF(ISBLANK(JP!G428),"","x")</f>
        <v/>
      </c>
      <c r="J424" t="str">
        <f>IF(ISBLANK(JP!H428),"","x")</f>
        <v/>
      </c>
      <c r="K424" t="str">
        <f>IF(ISBLANK(JP!I428),"","x")</f>
        <v/>
      </c>
      <c r="L424" t="str">
        <f>IF(ISBLANK(JP!J428),"","x")</f>
        <v/>
      </c>
      <c r="M424" t="str">
        <f>IF(ISBLANK(JP!L428),"","x")</f>
        <v/>
      </c>
      <c r="N424" t="str">
        <f>IF(ISBLANK(JP!M428),"","x")</f>
        <v/>
      </c>
      <c r="O424" t="str">
        <f>IF(ISBLANK(JP!N428),"","x")</f>
        <v/>
      </c>
      <c r="P424" t="str">
        <f>IF(ISBLANK(JP!O428),"","x")</f>
        <v/>
      </c>
      <c r="Q424" t="str">
        <f>IF(ISBLANK(JP!P428),"","x")</f>
        <v/>
      </c>
      <c r="R424" t="str">
        <f>IF(ISBLANK(JP!Q428),"","x")</f>
        <v/>
      </c>
      <c r="S424" t="str">
        <f>IF(ISBLANK(JP!R428),"","x")</f>
        <v/>
      </c>
      <c r="T424" t="str">
        <f>IF(ISBLANK(JP!T428),"","x")</f>
        <v/>
      </c>
      <c r="U424" t="str">
        <f>IF(ISBLANK(JP!U428),"","x")</f>
        <v/>
      </c>
      <c r="V424" t="str">
        <f>IF(ISBLANK(JP!V428),"","x")</f>
        <v/>
      </c>
      <c r="W424" t="str">
        <f>IF(ISBLANK(JP!W428),"","x")</f>
        <v/>
      </c>
      <c r="X424" t="str">
        <f>IF(ISBLANK(JP!X428),"","x")</f>
        <v/>
      </c>
      <c r="Y424" t="str">
        <f>IF(ISBLANK(JP!Y428),"","x")</f>
        <v/>
      </c>
      <c r="Z424" t="str">
        <f>IF(ISBLANK(JP!Z428),"","x")</f>
        <v/>
      </c>
      <c r="AA424" t="str">
        <f>IF(ISBLANK(JP!AB428),"","x")</f>
        <v/>
      </c>
      <c r="AB424" t="str">
        <f>IF(ISBLANK(JP!AC428),"","x")</f>
        <v/>
      </c>
      <c r="AC424" t="str">
        <f>IF(ISBLANK(JP!AD428),"","x")</f>
        <v/>
      </c>
      <c r="AD424" t="str">
        <f>IF(ISBLANK(JP!AE428),"","x")</f>
        <v/>
      </c>
      <c r="AE424" t="str">
        <f>IF(ISBLANK(JP!AF428),"","x")</f>
        <v/>
      </c>
      <c r="AF424" t="str">
        <f>IF(ISBLANK(JP!AG428),"","x")</f>
        <v/>
      </c>
      <c r="AG424" t="str">
        <f>IF(ISBLANK(JP!AH428),"","x")</f>
        <v/>
      </c>
      <c r="AH424" t="str">
        <f>IF(ISBLANK(JP!AJ428),"","x")</f>
        <v/>
      </c>
      <c r="AI424" t="str">
        <f>IF(ISBLANK(JP!AK428),"","x")</f>
        <v/>
      </c>
      <c r="AJ424" t="str">
        <f>IF(ISBLANK(JP!AL428),"","x")</f>
        <v/>
      </c>
      <c r="AK424" t="str">
        <f>IF(ISBLANK(JP!AM428),"","x")</f>
        <v/>
      </c>
      <c r="AL424" t="str">
        <f>IF(ISBLANK(JP!AN428),"","x")</f>
        <v/>
      </c>
      <c r="AM424" t="str">
        <f>IF(ISBLANK(JP!AO428),"","x")</f>
        <v/>
      </c>
      <c r="AN424" t="str">
        <f>IF(ISBLANK(JP!AP428),"","x")</f>
        <v/>
      </c>
      <c r="AO424" t="str">
        <f>IF(ISBLANK(JP!AR428),"","x")</f>
        <v/>
      </c>
      <c r="AP424" t="str">
        <f>IF(ISBLANK(JP!AS428),"","x")</f>
        <v/>
      </c>
      <c r="AQ424" t="str">
        <f>IF(ISBLANK(JP!AT428),"","x")</f>
        <v/>
      </c>
      <c r="AR424" t="str">
        <f>IF(ISBLANK(JP!AU428),"","x")</f>
        <v/>
      </c>
      <c r="AS424" t="str">
        <f>IF(ISBLANK(JP!AV428),"","x")</f>
        <v/>
      </c>
      <c r="AT424" t="str">
        <f>IF(ISBLANK(JP!AW428),"","x")</f>
        <v/>
      </c>
      <c r="AU424" t="str">
        <f>IF(ISBLANK(JP!AX428),"","x")</f>
        <v/>
      </c>
    </row>
    <row r="425" spans="2:47">
      <c r="B425" t="str">
        <f>IF(ISBLANK(JP!AZ429),"",JP!AZ429)</f>
        <v/>
      </c>
      <c r="C425" t="str">
        <f>IF(ISBLANK(JP!BA429),"",JP!BA429)</f>
        <v/>
      </c>
      <c r="D425" t="str">
        <f>IF(ISBLANK(JP!BC429),"",JP!BC429)</f>
        <v/>
      </c>
      <c r="E425" t="str">
        <f>IF(ISBLANK(JP!BB429),"",JP!BB429)</f>
        <v/>
      </c>
      <c r="F425" t="str">
        <f>IF(ISBLANK(JP!D429),"","x")</f>
        <v/>
      </c>
      <c r="G425" t="str">
        <f>IF(ISBLANK(JP!E429),"","x")</f>
        <v/>
      </c>
      <c r="H425" t="str">
        <f>IF(ISBLANK(JP!F429),"","x")</f>
        <v/>
      </c>
      <c r="I425" t="str">
        <f>IF(ISBLANK(JP!G429),"","x")</f>
        <v/>
      </c>
      <c r="J425" t="str">
        <f>IF(ISBLANK(JP!H429),"","x")</f>
        <v/>
      </c>
      <c r="K425" t="str">
        <f>IF(ISBLANK(JP!I429),"","x")</f>
        <v/>
      </c>
      <c r="L425" t="str">
        <f>IF(ISBLANK(JP!J429),"","x")</f>
        <v/>
      </c>
      <c r="M425" t="str">
        <f>IF(ISBLANK(JP!L429),"","x")</f>
        <v/>
      </c>
      <c r="N425" t="str">
        <f>IF(ISBLANK(JP!M429),"","x")</f>
        <v/>
      </c>
      <c r="O425" t="str">
        <f>IF(ISBLANK(JP!N429),"","x")</f>
        <v/>
      </c>
      <c r="P425" t="str">
        <f>IF(ISBLANK(JP!O429),"","x")</f>
        <v/>
      </c>
      <c r="Q425" t="str">
        <f>IF(ISBLANK(JP!P429),"","x")</f>
        <v/>
      </c>
      <c r="R425" t="str">
        <f>IF(ISBLANK(JP!Q429),"","x")</f>
        <v/>
      </c>
      <c r="S425" t="str">
        <f>IF(ISBLANK(JP!R429),"","x")</f>
        <v/>
      </c>
      <c r="T425" t="str">
        <f>IF(ISBLANK(JP!T429),"","x")</f>
        <v/>
      </c>
      <c r="U425" t="str">
        <f>IF(ISBLANK(JP!U429),"","x")</f>
        <v/>
      </c>
      <c r="V425" t="str">
        <f>IF(ISBLANK(JP!V429),"","x")</f>
        <v/>
      </c>
      <c r="W425" t="str">
        <f>IF(ISBLANK(JP!W429),"","x")</f>
        <v/>
      </c>
      <c r="X425" t="str">
        <f>IF(ISBLANK(JP!X429),"","x")</f>
        <v/>
      </c>
      <c r="Y425" t="str">
        <f>IF(ISBLANK(JP!Y429),"","x")</f>
        <v/>
      </c>
      <c r="Z425" t="str">
        <f>IF(ISBLANK(JP!Z429),"","x")</f>
        <v/>
      </c>
      <c r="AA425" t="str">
        <f>IF(ISBLANK(JP!AB429),"","x")</f>
        <v/>
      </c>
      <c r="AB425" t="str">
        <f>IF(ISBLANK(JP!AC429),"","x")</f>
        <v/>
      </c>
      <c r="AC425" t="str">
        <f>IF(ISBLANK(JP!AD429),"","x")</f>
        <v/>
      </c>
      <c r="AD425" t="str">
        <f>IF(ISBLANK(JP!AE429),"","x")</f>
        <v/>
      </c>
      <c r="AE425" t="str">
        <f>IF(ISBLANK(JP!AF429),"","x")</f>
        <v/>
      </c>
      <c r="AF425" t="str">
        <f>IF(ISBLANK(JP!AG429),"","x")</f>
        <v/>
      </c>
      <c r="AG425" t="str">
        <f>IF(ISBLANK(JP!AH429),"","x")</f>
        <v/>
      </c>
      <c r="AH425" t="str">
        <f>IF(ISBLANK(JP!AJ429),"","x")</f>
        <v/>
      </c>
      <c r="AI425" t="str">
        <f>IF(ISBLANK(JP!AK429),"","x")</f>
        <v/>
      </c>
      <c r="AJ425" t="str">
        <f>IF(ISBLANK(JP!AL429),"","x")</f>
        <v/>
      </c>
      <c r="AK425" t="str">
        <f>IF(ISBLANK(JP!AM429),"","x")</f>
        <v/>
      </c>
      <c r="AL425" t="str">
        <f>IF(ISBLANK(JP!AN429),"","x")</f>
        <v/>
      </c>
      <c r="AM425" t="str">
        <f>IF(ISBLANK(JP!AO429),"","x")</f>
        <v/>
      </c>
      <c r="AN425" t="str">
        <f>IF(ISBLANK(JP!AP429),"","x")</f>
        <v/>
      </c>
      <c r="AO425" t="str">
        <f>IF(ISBLANK(JP!AR429),"","x")</f>
        <v/>
      </c>
      <c r="AP425" t="str">
        <f>IF(ISBLANK(JP!AS429),"","x")</f>
        <v/>
      </c>
      <c r="AQ425" t="str">
        <f>IF(ISBLANK(JP!AT429),"","x")</f>
        <v/>
      </c>
      <c r="AR425" t="str">
        <f>IF(ISBLANK(JP!AU429),"","x")</f>
        <v/>
      </c>
      <c r="AS425" t="str">
        <f>IF(ISBLANK(JP!AV429),"","x")</f>
        <v/>
      </c>
      <c r="AT425" t="str">
        <f>IF(ISBLANK(JP!AW429),"","x")</f>
        <v/>
      </c>
      <c r="AU425" t="str">
        <f>IF(ISBLANK(JP!AX429),"","x")</f>
        <v/>
      </c>
    </row>
    <row r="426" spans="2:47">
      <c r="B426" t="str">
        <f>IF(ISBLANK(JP!AZ430),"",JP!AZ430)</f>
        <v/>
      </c>
      <c r="C426" t="str">
        <f>IF(ISBLANK(JP!BA430),"",JP!BA430)</f>
        <v/>
      </c>
      <c r="D426" t="str">
        <f>IF(ISBLANK(JP!BC430),"",JP!BC430)</f>
        <v/>
      </c>
      <c r="E426" t="str">
        <f>IF(ISBLANK(JP!BB430),"",JP!BB430)</f>
        <v/>
      </c>
      <c r="F426" t="str">
        <f>IF(ISBLANK(JP!D430),"","x")</f>
        <v/>
      </c>
      <c r="G426" t="str">
        <f>IF(ISBLANK(JP!E430),"","x")</f>
        <v/>
      </c>
      <c r="H426" t="str">
        <f>IF(ISBLANK(JP!F430),"","x")</f>
        <v/>
      </c>
      <c r="I426" t="str">
        <f>IF(ISBLANK(JP!G430),"","x")</f>
        <v/>
      </c>
      <c r="J426" t="str">
        <f>IF(ISBLANK(JP!H430),"","x")</f>
        <v/>
      </c>
      <c r="K426" t="str">
        <f>IF(ISBLANK(JP!I430),"","x")</f>
        <v/>
      </c>
      <c r="L426" t="str">
        <f>IF(ISBLANK(JP!J430),"","x")</f>
        <v/>
      </c>
      <c r="M426" t="str">
        <f>IF(ISBLANK(JP!L430),"","x")</f>
        <v/>
      </c>
      <c r="N426" t="str">
        <f>IF(ISBLANK(JP!M430),"","x")</f>
        <v/>
      </c>
      <c r="O426" t="str">
        <f>IF(ISBLANK(JP!N430),"","x")</f>
        <v/>
      </c>
      <c r="P426" t="str">
        <f>IF(ISBLANK(JP!O430),"","x")</f>
        <v/>
      </c>
      <c r="Q426" t="str">
        <f>IF(ISBLANK(JP!P430),"","x")</f>
        <v/>
      </c>
      <c r="R426" t="str">
        <f>IF(ISBLANK(JP!Q430),"","x")</f>
        <v/>
      </c>
      <c r="S426" t="str">
        <f>IF(ISBLANK(JP!R430),"","x")</f>
        <v/>
      </c>
      <c r="T426" t="str">
        <f>IF(ISBLANK(JP!T430),"","x")</f>
        <v/>
      </c>
      <c r="U426" t="str">
        <f>IF(ISBLANK(JP!U430),"","x")</f>
        <v/>
      </c>
      <c r="V426" t="str">
        <f>IF(ISBLANK(JP!V430),"","x")</f>
        <v/>
      </c>
      <c r="W426" t="str">
        <f>IF(ISBLANK(JP!W430),"","x")</f>
        <v/>
      </c>
      <c r="X426" t="str">
        <f>IF(ISBLANK(JP!X430),"","x")</f>
        <v/>
      </c>
      <c r="Y426" t="str">
        <f>IF(ISBLANK(JP!Y430),"","x")</f>
        <v/>
      </c>
      <c r="Z426" t="str">
        <f>IF(ISBLANK(JP!Z430),"","x")</f>
        <v/>
      </c>
      <c r="AA426" t="str">
        <f>IF(ISBLANK(JP!AB430),"","x")</f>
        <v/>
      </c>
      <c r="AB426" t="str">
        <f>IF(ISBLANK(JP!AC430),"","x")</f>
        <v/>
      </c>
      <c r="AC426" t="str">
        <f>IF(ISBLANK(JP!AD430),"","x")</f>
        <v/>
      </c>
      <c r="AD426" t="str">
        <f>IF(ISBLANK(JP!AE430),"","x")</f>
        <v/>
      </c>
      <c r="AE426" t="str">
        <f>IF(ISBLANK(JP!AF430),"","x")</f>
        <v/>
      </c>
      <c r="AF426" t="str">
        <f>IF(ISBLANK(JP!AG430),"","x")</f>
        <v/>
      </c>
      <c r="AG426" t="str">
        <f>IF(ISBLANK(JP!AH430),"","x")</f>
        <v/>
      </c>
      <c r="AH426" t="str">
        <f>IF(ISBLANK(JP!AJ430),"","x")</f>
        <v/>
      </c>
      <c r="AI426" t="str">
        <f>IF(ISBLANK(JP!AK430),"","x")</f>
        <v/>
      </c>
      <c r="AJ426" t="str">
        <f>IF(ISBLANK(JP!AL430),"","x")</f>
        <v/>
      </c>
      <c r="AK426" t="str">
        <f>IF(ISBLANK(JP!AM430),"","x")</f>
        <v/>
      </c>
      <c r="AL426" t="str">
        <f>IF(ISBLANK(JP!AN430),"","x")</f>
        <v/>
      </c>
      <c r="AM426" t="str">
        <f>IF(ISBLANK(JP!AO430),"","x")</f>
        <v/>
      </c>
      <c r="AN426" t="str">
        <f>IF(ISBLANK(JP!AP430),"","x")</f>
        <v/>
      </c>
      <c r="AO426" t="str">
        <f>IF(ISBLANK(JP!AR430),"","x")</f>
        <v/>
      </c>
      <c r="AP426" t="str">
        <f>IF(ISBLANK(JP!AS430),"","x")</f>
        <v/>
      </c>
      <c r="AQ426" t="str">
        <f>IF(ISBLANK(JP!AT430),"","x")</f>
        <v/>
      </c>
      <c r="AR426" t="str">
        <f>IF(ISBLANK(JP!AU430),"","x")</f>
        <v/>
      </c>
      <c r="AS426" t="str">
        <f>IF(ISBLANK(JP!AV430),"","x")</f>
        <v/>
      </c>
      <c r="AT426" t="str">
        <f>IF(ISBLANK(JP!AW430),"","x")</f>
        <v/>
      </c>
      <c r="AU426" t="str">
        <f>IF(ISBLANK(JP!AX430),"","x")</f>
        <v/>
      </c>
    </row>
    <row r="427" spans="2:47">
      <c r="B427" t="str">
        <f>IF(ISBLANK(JP!AZ431),"",JP!AZ431)</f>
        <v/>
      </c>
      <c r="C427" t="str">
        <f>IF(ISBLANK(JP!BA431),"",JP!BA431)</f>
        <v/>
      </c>
      <c r="D427" t="str">
        <f>IF(ISBLANK(JP!BC431),"",JP!BC431)</f>
        <v/>
      </c>
      <c r="E427" t="str">
        <f>IF(ISBLANK(JP!BB431),"",JP!BB431)</f>
        <v/>
      </c>
      <c r="F427" t="str">
        <f>IF(ISBLANK(JP!D431),"","x")</f>
        <v/>
      </c>
      <c r="G427" t="str">
        <f>IF(ISBLANK(JP!E431),"","x")</f>
        <v/>
      </c>
      <c r="H427" t="str">
        <f>IF(ISBLANK(JP!F431),"","x")</f>
        <v/>
      </c>
      <c r="I427" t="str">
        <f>IF(ISBLANK(JP!G431),"","x")</f>
        <v/>
      </c>
      <c r="J427" t="str">
        <f>IF(ISBLANK(JP!H431),"","x")</f>
        <v/>
      </c>
      <c r="K427" t="str">
        <f>IF(ISBLANK(JP!I431),"","x")</f>
        <v/>
      </c>
      <c r="L427" t="str">
        <f>IF(ISBLANK(JP!J431),"","x")</f>
        <v/>
      </c>
      <c r="M427" t="str">
        <f>IF(ISBLANK(JP!L431),"","x")</f>
        <v/>
      </c>
      <c r="N427" t="str">
        <f>IF(ISBLANK(JP!M431),"","x")</f>
        <v/>
      </c>
      <c r="O427" t="str">
        <f>IF(ISBLANK(JP!N431),"","x")</f>
        <v/>
      </c>
      <c r="P427" t="str">
        <f>IF(ISBLANK(JP!O431),"","x")</f>
        <v/>
      </c>
      <c r="Q427" t="str">
        <f>IF(ISBLANK(JP!P431),"","x")</f>
        <v/>
      </c>
      <c r="R427" t="str">
        <f>IF(ISBLANK(JP!Q431),"","x")</f>
        <v/>
      </c>
      <c r="S427" t="str">
        <f>IF(ISBLANK(JP!R431),"","x")</f>
        <v/>
      </c>
      <c r="T427" t="str">
        <f>IF(ISBLANK(JP!T431),"","x")</f>
        <v/>
      </c>
      <c r="U427" t="str">
        <f>IF(ISBLANK(JP!U431),"","x")</f>
        <v/>
      </c>
      <c r="V427" t="str">
        <f>IF(ISBLANK(JP!V431),"","x")</f>
        <v/>
      </c>
      <c r="W427" t="str">
        <f>IF(ISBLANK(JP!W431),"","x")</f>
        <v/>
      </c>
      <c r="X427" t="str">
        <f>IF(ISBLANK(JP!X431),"","x")</f>
        <v/>
      </c>
      <c r="Y427" t="str">
        <f>IF(ISBLANK(JP!Y431),"","x")</f>
        <v/>
      </c>
      <c r="Z427" t="str">
        <f>IF(ISBLANK(JP!Z431),"","x")</f>
        <v/>
      </c>
      <c r="AA427" t="str">
        <f>IF(ISBLANK(JP!AB431),"","x")</f>
        <v/>
      </c>
      <c r="AB427" t="str">
        <f>IF(ISBLANK(JP!AC431),"","x")</f>
        <v/>
      </c>
      <c r="AC427" t="str">
        <f>IF(ISBLANK(JP!AD431),"","x")</f>
        <v/>
      </c>
      <c r="AD427" t="str">
        <f>IF(ISBLANK(JP!AE431),"","x")</f>
        <v/>
      </c>
      <c r="AE427" t="str">
        <f>IF(ISBLANK(JP!AF431),"","x")</f>
        <v/>
      </c>
      <c r="AF427" t="str">
        <f>IF(ISBLANK(JP!AG431),"","x")</f>
        <v/>
      </c>
      <c r="AG427" t="str">
        <f>IF(ISBLANK(JP!AH431),"","x")</f>
        <v/>
      </c>
      <c r="AH427" t="str">
        <f>IF(ISBLANK(JP!AJ431),"","x")</f>
        <v/>
      </c>
      <c r="AI427" t="str">
        <f>IF(ISBLANK(JP!AK431),"","x")</f>
        <v/>
      </c>
      <c r="AJ427" t="str">
        <f>IF(ISBLANK(JP!AL431),"","x")</f>
        <v/>
      </c>
      <c r="AK427" t="str">
        <f>IF(ISBLANK(JP!AM431),"","x")</f>
        <v/>
      </c>
      <c r="AL427" t="str">
        <f>IF(ISBLANK(JP!AN431),"","x")</f>
        <v/>
      </c>
      <c r="AM427" t="str">
        <f>IF(ISBLANK(JP!AO431),"","x")</f>
        <v/>
      </c>
      <c r="AN427" t="str">
        <f>IF(ISBLANK(JP!AP431),"","x")</f>
        <v/>
      </c>
      <c r="AO427" t="str">
        <f>IF(ISBLANK(JP!AR431),"","x")</f>
        <v/>
      </c>
      <c r="AP427" t="str">
        <f>IF(ISBLANK(JP!AS431),"","x")</f>
        <v/>
      </c>
      <c r="AQ427" t="str">
        <f>IF(ISBLANK(JP!AT431),"","x")</f>
        <v/>
      </c>
      <c r="AR427" t="str">
        <f>IF(ISBLANK(JP!AU431),"","x")</f>
        <v/>
      </c>
      <c r="AS427" t="str">
        <f>IF(ISBLANK(JP!AV431),"","x")</f>
        <v/>
      </c>
      <c r="AT427" t="str">
        <f>IF(ISBLANK(JP!AW431),"","x")</f>
        <v/>
      </c>
      <c r="AU427" t="str">
        <f>IF(ISBLANK(JP!AX431),"","x")</f>
        <v/>
      </c>
    </row>
    <row r="428" spans="2:47">
      <c r="B428" t="str">
        <f>IF(ISBLANK(JP!AZ432),"",JP!AZ432)</f>
        <v/>
      </c>
      <c r="C428" t="str">
        <f>IF(ISBLANK(JP!BA432),"",JP!BA432)</f>
        <v/>
      </c>
      <c r="D428" t="str">
        <f>IF(ISBLANK(JP!BC432),"",JP!BC432)</f>
        <v/>
      </c>
      <c r="E428" t="str">
        <f>IF(ISBLANK(JP!BB432),"",JP!BB432)</f>
        <v/>
      </c>
      <c r="F428" t="str">
        <f>IF(ISBLANK(JP!D432),"","x")</f>
        <v/>
      </c>
      <c r="G428" t="str">
        <f>IF(ISBLANK(JP!E432),"","x")</f>
        <v/>
      </c>
      <c r="H428" t="str">
        <f>IF(ISBLANK(JP!F432),"","x")</f>
        <v/>
      </c>
      <c r="I428" t="str">
        <f>IF(ISBLANK(JP!G432),"","x")</f>
        <v/>
      </c>
      <c r="J428" t="str">
        <f>IF(ISBLANK(JP!H432),"","x")</f>
        <v/>
      </c>
      <c r="K428" t="str">
        <f>IF(ISBLANK(JP!I432),"","x")</f>
        <v/>
      </c>
      <c r="L428" t="str">
        <f>IF(ISBLANK(JP!J432),"","x")</f>
        <v/>
      </c>
      <c r="M428" t="str">
        <f>IF(ISBLANK(JP!L432),"","x")</f>
        <v/>
      </c>
      <c r="N428" t="str">
        <f>IF(ISBLANK(JP!M432),"","x")</f>
        <v/>
      </c>
      <c r="O428" t="str">
        <f>IF(ISBLANK(JP!N432),"","x")</f>
        <v/>
      </c>
      <c r="P428" t="str">
        <f>IF(ISBLANK(JP!O432),"","x")</f>
        <v/>
      </c>
      <c r="Q428" t="str">
        <f>IF(ISBLANK(JP!P432),"","x")</f>
        <v/>
      </c>
      <c r="R428" t="str">
        <f>IF(ISBLANK(JP!Q432),"","x")</f>
        <v/>
      </c>
      <c r="S428" t="str">
        <f>IF(ISBLANK(JP!R432),"","x")</f>
        <v/>
      </c>
      <c r="T428" t="str">
        <f>IF(ISBLANK(JP!T432),"","x")</f>
        <v/>
      </c>
      <c r="U428" t="str">
        <f>IF(ISBLANK(JP!U432),"","x")</f>
        <v/>
      </c>
      <c r="V428" t="str">
        <f>IF(ISBLANK(JP!V432),"","x")</f>
        <v/>
      </c>
      <c r="W428" t="str">
        <f>IF(ISBLANK(JP!W432),"","x")</f>
        <v/>
      </c>
      <c r="X428" t="str">
        <f>IF(ISBLANK(JP!X432),"","x")</f>
        <v/>
      </c>
      <c r="Y428" t="str">
        <f>IF(ISBLANK(JP!Y432),"","x")</f>
        <v/>
      </c>
      <c r="Z428" t="str">
        <f>IF(ISBLANK(JP!Z432),"","x")</f>
        <v/>
      </c>
      <c r="AA428" t="str">
        <f>IF(ISBLANK(JP!AB432),"","x")</f>
        <v/>
      </c>
      <c r="AB428" t="str">
        <f>IF(ISBLANK(JP!AC432),"","x")</f>
        <v/>
      </c>
      <c r="AC428" t="str">
        <f>IF(ISBLANK(JP!AD432),"","x")</f>
        <v/>
      </c>
      <c r="AD428" t="str">
        <f>IF(ISBLANK(JP!AE432),"","x")</f>
        <v/>
      </c>
      <c r="AE428" t="str">
        <f>IF(ISBLANK(JP!AF432),"","x")</f>
        <v/>
      </c>
      <c r="AF428" t="str">
        <f>IF(ISBLANK(JP!AG432),"","x")</f>
        <v/>
      </c>
      <c r="AG428" t="str">
        <f>IF(ISBLANK(JP!AH432),"","x")</f>
        <v/>
      </c>
      <c r="AH428" t="str">
        <f>IF(ISBLANK(JP!AJ432),"","x")</f>
        <v/>
      </c>
      <c r="AI428" t="str">
        <f>IF(ISBLANK(JP!AK432),"","x")</f>
        <v/>
      </c>
      <c r="AJ428" t="str">
        <f>IF(ISBLANK(JP!AL432),"","x")</f>
        <v/>
      </c>
      <c r="AK428" t="str">
        <f>IF(ISBLANK(JP!AM432),"","x")</f>
        <v/>
      </c>
      <c r="AL428" t="str">
        <f>IF(ISBLANK(JP!AN432),"","x")</f>
        <v/>
      </c>
      <c r="AM428" t="str">
        <f>IF(ISBLANK(JP!AO432),"","x")</f>
        <v/>
      </c>
      <c r="AN428" t="str">
        <f>IF(ISBLANK(JP!AP432),"","x")</f>
        <v/>
      </c>
      <c r="AO428" t="str">
        <f>IF(ISBLANK(JP!AR432),"","x")</f>
        <v/>
      </c>
      <c r="AP428" t="str">
        <f>IF(ISBLANK(JP!AS432),"","x")</f>
        <v/>
      </c>
      <c r="AQ428" t="str">
        <f>IF(ISBLANK(JP!AT432),"","x")</f>
        <v/>
      </c>
      <c r="AR428" t="str">
        <f>IF(ISBLANK(JP!AU432),"","x")</f>
        <v/>
      </c>
      <c r="AS428" t="str">
        <f>IF(ISBLANK(JP!AV432),"","x")</f>
        <v/>
      </c>
      <c r="AT428" t="str">
        <f>IF(ISBLANK(JP!AW432),"","x")</f>
        <v/>
      </c>
      <c r="AU428" t="str">
        <f>IF(ISBLANK(JP!AX432),"","x")</f>
        <v/>
      </c>
    </row>
    <row r="429" spans="2:47">
      <c r="B429" t="str">
        <f>IF(ISBLANK(JP!AZ433),"",JP!AZ433)</f>
        <v/>
      </c>
      <c r="C429" t="str">
        <f>IF(ISBLANK(JP!BA433),"",JP!BA433)</f>
        <v/>
      </c>
      <c r="D429" t="str">
        <f>IF(ISBLANK(JP!BC433),"",JP!BC433)</f>
        <v/>
      </c>
      <c r="E429" t="str">
        <f>IF(ISBLANK(JP!BB433),"",JP!BB433)</f>
        <v/>
      </c>
      <c r="F429" t="str">
        <f>IF(ISBLANK(JP!D433),"","x")</f>
        <v/>
      </c>
      <c r="G429" t="str">
        <f>IF(ISBLANK(JP!E433),"","x")</f>
        <v/>
      </c>
      <c r="H429" t="str">
        <f>IF(ISBLANK(JP!F433),"","x")</f>
        <v/>
      </c>
      <c r="I429" t="str">
        <f>IF(ISBLANK(JP!G433),"","x")</f>
        <v/>
      </c>
      <c r="J429" t="str">
        <f>IF(ISBLANK(JP!H433),"","x")</f>
        <v/>
      </c>
      <c r="K429" t="str">
        <f>IF(ISBLANK(JP!I433),"","x")</f>
        <v/>
      </c>
      <c r="L429" t="str">
        <f>IF(ISBLANK(JP!J433),"","x")</f>
        <v/>
      </c>
      <c r="M429" t="str">
        <f>IF(ISBLANK(JP!L433),"","x")</f>
        <v/>
      </c>
      <c r="N429" t="str">
        <f>IF(ISBLANK(JP!M433),"","x")</f>
        <v/>
      </c>
      <c r="O429" t="str">
        <f>IF(ISBLANK(JP!N433),"","x")</f>
        <v/>
      </c>
      <c r="P429" t="str">
        <f>IF(ISBLANK(JP!O433),"","x")</f>
        <v/>
      </c>
      <c r="Q429" t="str">
        <f>IF(ISBLANK(JP!P433),"","x")</f>
        <v/>
      </c>
      <c r="R429" t="str">
        <f>IF(ISBLANK(JP!Q433),"","x")</f>
        <v/>
      </c>
      <c r="S429" t="str">
        <f>IF(ISBLANK(JP!R433),"","x")</f>
        <v/>
      </c>
      <c r="T429" t="str">
        <f>IF(ISBLANK(JP!T433),"","x")</f>
        <v/>
      </c>
      <c r="U429" t="str">
        <f>IF(ISBLANK(JP!U433),"","x")</f>
        <v/>
      </c>
      <c r="V429" t="str">
        <f>IF(ISBLANK(JP!V433),"","x")</f>
        <v/>
      </c>
      <c r="W429" t="str">
        <f>IF(ISBLANK(JP!W433),"","x")</f>
        <v/>
      </c>
      <c r="X429" t="str">
        <f>IF(ISBLANK(JP!X433),"","x")</f>
        <v/>
      </c>
      <c r="Y429" t="str">
        <f>IF(ISBLANK(JP!Y433),"","x")</f>
        <v/>
      </c>
      <c r="Z429" t="str">
        <f>IF(ISBLANK(JP!Z433),"","x")</f>
        <v/>
      </c>
      <c r="AA429" t="str">
        <f>IF(ISBLANK(JP!AB433),"","x")</f>
        <v/>
      </c>
      <c r="AB429" t="str">
        <f>IF(ISBLANK(JP!AC433),"","x")</f>
        <v/>
      </c>
      <c r="AC429" t="str">
        <f>IF(ISBLANK(JP!AD433),"","x")</f>
        <v/>
      </c>
      <c r="AD429" t="str">
        <f>IF(ISBLANK(JP!AE433),"","x")</f>
        <v/>
      </c>
      <c r="AE429" t="str">
        <f>IF(ISBLANK(JP!AF433),"","x")</f>
        <v/>
      </c>
      <c r="AF429" t="str">
        <f>IF(ISBLANK(JP!AG433),"","x")</f>
        <v/>
      </c>
      <c r="AG429" t="str">
        <f>IF(ISBLANK(JP!AH433),"","x")</f>
        <v/>
      </c>
      <c r="AH429" t="str">
        <f>IF(ISBLANK(JP!AJ433),"","x")</f>
        <v/>
      </c>
      <c r="AI429" t="str">
        <f>IF(ISBLANK(JP!AK433),"","x")</f>
        <v/>
      </c>
      <c r="AJ429" t="str">
        <f>IF(ISBLANK(JP!AL433),"","x")</f>
        <v/>
      </c>
      <c r="AK429" t="str">
        <f>IF(ISBLANK(JP!AM433),"","x")</f>
        <v/>
      </c>
      <c r="AL429" t="str">
        <f>IF(ISBLANK(JP!AN433),"","x")</f>
        <v/>
      </c>
      <c r="AM429" t="str">
        <f>IF(ISBLANK(JP!AO433),"","x")</f>
        <v/>
      </c>
      <c r="AN429" t="str">
        <f>IF(ISBLANK(JP!AP433),"","x")</f>
        <v/>
      </c>
      <c r="AO429" t="str">
        <f>IF(ISBLANK(JP!AR433),"","x")</f>
        <v/>
      </c>
      <c r="AP429" t="str">
        <f>IF(ISBLANK(JP!AS433),"","x")</f>
        <v/>
      </c>
      <c r="AQ429" t="str">
        <f>IF(ISBLANK(JP!AT433),"","x")</f>
        <v/>
      </c>
      <c r="AR429" t="str">
        <f>IF(ISBLANK(JP!AU433),"","x")</f>
        <v/>
      </c>
      <c r="AS429" t="str">
        <f>IF(ISBLANK(JP!AV433),"","x")</f>
        <v/>
      </c>
      <c r="AT429" t="str">
        <f>IF(ISBLANK(JP!AW433),"","x")</f>
        <v/>
      </c>
      <c r="AU429" t="str">
        <f>IF(ISBLANK(JP!AX433),"","x")</f>
        <v/>
      </c>
    </row>
    <row r="430" spans="2:47">
      <c r="B430" t="str">
        <f>IF(ISBLANK(JP!AZ434),"",JP!AZ434)</f>
        <v/>
      </c>
      <c r="C430" t="str">
        <f>IF(ISBLANK(JP!BA434),"",JP!BA434)</f>
        <v/>
      </c>
      <c r="D430" t="str">
        <f>IF(ISBLANK(JP!BC434),"",JP!BC434)</f>
        <v/>
      </c>
      <c r="E430" t="str">
        <f>IF(ISBLANK(JP!BB434),"",JP!BB434)</f>
        <v/>
      </c>
      <c r="F430" t="str">
        <f>IF(ISBLANK(JP!D434),"","x")</f>
        <v/>
      </c>
      <c r="G430" t="str">
        <f>IF(ISBLANK(JP!E434),"","x")</f>
        <v/>
      </c>
      <c r="H430" t="str">
        <f>IF(ISBLANK(JP!F434),"","x")</f>
        <v/>
      </c>
      <c r="I430" t="str">
        <f>IF(ISBLANK(JP!G434),"","x")</f>
        <v/>
      </c>
      <c r="J430" t="str">
        <f>IF(ISBLANK(JP!H434),"","x")</f>
        <v/>
      </c>
      <c r="K430" t="str">
        <f>IF(ISBLANK(JP!I434),"","x")</f>
        <v/>
      </c>
      <c r="L430" t="str">
        <f>IF(ISBLANK(JP!J434),"","x")</f>
        <v/>
      </c>
      <c r="M430" t="str">
        <f>IF(ISBLANK(JP!L434),"","x")</f>
        <v/>
      </c>
      <c r="N430" t="str">
        <f>IF(ISBLANK(JP!M434),"","x")</f>
        <v/>
      </c>
      <c r="O430" t="str">
        <f>IF(ISBLANK(JP!N434),"","x")</f>
        <v/>
      </c>
      <c r="P430" t="str">
        <f>IF(ISBLANK(JP!O434),"","x")</f>
        <v/>
      </c>
      <c r="Q430" t="str">
        <f>IF(ISBLANK(JP!P434),"","x")</f>
        <v/>
      </c>
      <c r="R430" t="str">
        <f>IF(ISBLANK(JP!Q434),"","x")</f>
        <v/>
      </c>
      <c r="S430" t="str">
        <f>IF(ISBLANK(JP!R434),"","x")</f>
        <v/>
      </c>
      <c r="T430" t="str">
        <f>IF(ISBLANK(JP!T434),"","x")</f>
        <v/>
      </c>
      <c r="U430" t="str">
        <f>IF(ISBLANK(JP!U434),"","x")</f>
        <v/>
      </c>
      <c r="V430" t="str">
        <f>IF(ISBLANK(JP!V434),"","x")</f>
        <v/>
      </c>
      <c r="W430" t="str">
        <f>IF(ISBLANK(JP!W434),"","x")</f>
        <v/>
      </c>
      <c r="X430" t="str">
        <f>IF(ISBLANK(JP!X434),"","x")</f>
        <v/>
      </c>
      <c r="Y430" t="str">
        <f>IF(ISBLANK(JP!Y434),"","x")</f>
        <v/>
      </c>
      <c r="Z430" t="str">
        <f>IF(ISBLANK(JP!Z434),"","x")</f>
        <v/>
      </c>
      <c r="AA430" t="str">
        <f>IF(ISBLANK(JP!AB434),"","x")</f>
        <v/>
      </c>
      <c r="AB430" t="str">
        <f>IF(ISBLANK(JP!AC434),"","x")</f>
        <v/>
      </c>
      <c r="AC430" t="str">
        <f>IF(ISBLANK(JP!AD434),"","x")</f>
        <v/>
      </c>
      <c r="AD430" t="str">
        <f>IF(ISBLANK(JP!AE434),"","x")</f>
        <v/>
      </c>
      <c r="AE430" t="str">
        <f>IF(ISBLANK(JP!AF434),"","x")</f>
        <v/>
      </c>
      <c r="AF430" t="str">
        <f>IF(ISBLANK(JP!AG434),"","x")</f>
        <v/>
      </c>
      <c r="AG430" t="str">
        <f>IF(ISBLANK(JP!AH434),"","x")</f>
        <v/>
      </c>
      <c r="AH430" t="str">
        <f>IF(ISBLANK(JP!AJ434),"","x")</f>
        <v/>
      </c>
      <c r="AI430" t="str">
        <f>IF(ISBLANK(JP!AK434),"","x")</f>
        <v/>
      </c>
      <c r="AJ430" t="str">
        <f>IF(ISBLANK(JP!AL434),"","x")</f>
        <v/>
      </c>
      <c r="AK430" t="str">
        <f>IF(ISBLANK(JP!AM434),"","x")</f>
        <v/>
      </c>
      <c r="AL430" t="str">
        <f>IF(ISBLANK(JP!AN434),"","x")</f>
        <v/>
      </c>
      <c r="AM430" t="str">
        <f>IF(ISBLANK(JP!AO434),"","x")</f>
        <v/>
      </c>
      <c r="AN430" t="str">
        <f>IF(ISBLANK(JP!AP434),"","x")</f>
        <v/>
      </c>
      <c r="AO430" t="str">
        <f>IF(ISBLANK(JP!AR434),"","x")</f>
        <v/>
      </c>
      <c r="AP430" t="str">
        <f>IF(ISBLANK(JP!AS434),"","x")</f>
        <v/>
      </c>
      <c r="AQ430" t="str">
        <f>IF(ISBLANK(JP!AT434),"","x")</f>
        <v/>
      </c>
      <c r="AR430" t="str">
        <f>IF(ISBLANK(JP!AU434),"","x")</f>
        <v/>
      </c>
      <c r="AS430" t="str">
        <f>IF(ISBLANK(JP!AV434),"","x")</f>
        <v/>
      </c>
      <c r="AT430" t="str">
        <f>IF(ISBLANK(JP!AW434),"","x")</f>
        <v/>
      </c>
      <c r="AU430" t="str">
        <f>IF(ISBLANK(JP!AX434),"","x")</f>
        <v/>
      </c>
    </row>
    <row r="431" spans="2:47">
      <c r="B431" t="str">
        <f>IF(ISBLANK(JP!AZ435),"",JP!AZ435)</f>
        <v/>
      </c>
      <c r="C431" t="str">
        <f>IF(ISBLANK(JP!BA435),"",JP!BA435)</f>
        <v/>
      </c>
      <c r="D431" t="str">
        <f>IF(ISBLANK(JP!BC435),"",JP!BC435)</f>
        <v/>
      </c>
      <c r="E431" t="str">
        <f>IF(ISBLANK(JP!BB435),"",JP!BB435)</f>
        <v/>
      </c>
      <c r="F431" t="str">
        <f>IF(ISBLANK(JP!D435),"","x")</f>
        <v/>
      </c>
      <c r="G431" t="str">
        <f>IF(ISBLANK(JP!E435),"","x")</f>
        <v/>
      </c>
      <c r="H431" t="str">
        <f>IF(ISBLANK(JP!F435),"","x")</f>
        <v/>
      </c>
      <c r="I431" t="str">
        <f>IF(ISBLANK(JP!G435),"","x")</f>
        <v/>
      </c>
      <c r="J431" t="str">
        <f>IF(ISBLANK(JP!H435),"","x")</f>
        <v/>
      </c>
      <c r="K431" t="str">
        <f>IF(ISBLANK(JP!I435),"","x")</f>
        <v/>
      </c>
      <c r="L431" t="str">
        <f>IF(ISBLANK(JP!J435),"","x")</f>
        <v/>
      </c>
      <c r="M431" t="str">
        <f>IF(ISBLANK(JP!L435),"","x")</f>
        <v/>
      </c>
      <c r="N431" t="str">
        <f>IF(ISBLANK(JP!M435),"","x")</f>
        <v/>
      </c>
      <c r="O431" t="str">
        <f>IF(ISBLANK(JP!N435),"","x")</f>
        <v/>
      </c>
      <c r="P431" t="str">
        <f>IF(ISBLANK(JP!O435),"","x")</f>
        <v/>
      </c>
      <c r="Q431" t="str">
        <f>IF(ISBLANK(JP!P435),"","x")</f>
        <v/>
      </c>
      <c r="R431" t="str">
        <f>IF(ISBLANK(JP!Q435),"","x")</f>
        <v/>
      </c>
      <c r="S431" t="str">
        <f>IF(ISBLANK(JP!R435),"","x")</f>
        <v/>
      </c>
      <c r="T431" t="str">
        <f>IF(ISBLANK(JP!T435),"","x")</f>
        <v/>
      </c>
      <c r="U431" t="str">
        <f>IF(ISBLANK(JP!U435),"","x")</f>
        <v/>
      </c>
      <c r="V431" t="str">
        <f>IF(ISBLANK(JP!V435),"","x")</f>
        <v/>
      </c>
      <c r="W431" t="str">
        <f>IF(ISBLANK(JP!W435),"","x")</f>
        <v/>
      </c>
      <c r="X431" t="str">
        <f>IF(ISBLANK(JP!X435),"","x")</f>
        <v/>
      </c>
      <c r="Y431" t="str">
        <f>IF(ISBLANK(JP!Y435),"","x")</f>
        <v/>
      </c>
      <c r="Z431" t="str">
        <f>IF(ISBLANK(JP!Z435),"","x")</f>
        <v/>
      </c>
      <c r="AA431" t="str">
        <f>IF(ISBLANK(JP!AB435),"","x")</f>
        <v/>
      </c>
      <c r="AB431" t="str">
        <f>IF(ISBLANK(JP!AC435),"","x")</f>
        <v/>
      </c>
      <c r="AC431" t="str">
        <f>IF(ISBLANK(JP!AD435),"","x")</f>
        <v/>
      </c>
      <c r="AD431" t="str">
        <f>IF(ISBLANK(JP!AE435),"","x")</f>
        <v/>
      </c>
      <c r="AE431" t="str">
        <f>IF(ISBLANK(JP!AF435),"","x")</f>
        <v/>
      </c>
      <c r="AF431" t="str">
        <f>IF(ISBLANK(JP!AG435),"","x")</f>
        <v/>
      </c>
      <c r="AG431" t="str">
        <f>IF(ISBLANK(JP!AH435),"","x")</f>
        <v/>
      </c>
      <c r="AH431" t="str">
        <f>IF(ISBLANK(JP!AJ435),"","x")</f>
        <v/>
      </c>
      <c r="AI431" t="str">
        <f>IF(ISBLANK(JP!AK435),"","x")</f>
        <v/>
      </c>
      <c r="AJ431" t="str">
        <f>IF(ISBLANK(JP!AL435),"","x")</f>
        <v/>
      </c>
      <c r="AK431" t="str">
        <f>IF(ISBLANK(JP!AM435),"","x")</f>
        <v/>
      </c>
      <c r="AL431" t="str">
        <f>IF(ISBLANK(JP!AN435),"","x")</f>
        <v/>
      </c>
      <c r="AM431" t="str">
        <f>IF(ISBLANK(JP!AO435),"","x")</f>
        <v/>
      </c>
      <c r="AN431" t="str">
        <f>IF(ISBLANK(JP!AP435),"","x")</f>
        <v/>
      </c>
      <c r="AO431" t="str">
        <f>IF(ISBLANK(JP!AR435),"","x")</f>
        <v/>
      </c>
      <c r="AP431" t="str">
        <f>IF(ISBLANK(JP!AS435),"","x")</f>
        <v/>
      </c>
      <c r="AQ431" t="str">
        <f>IF(ISBLANK(JP!AT435),"","x")</f>
        <v/>
      </c>
      <c r="AR431" t="str">
        <f>IF(ISBLANK(JP!AU435),"","x")</f>
        <v/>
      </c>
      <c r="AS431" t="str">
        <f>IF(ISBLANK(JP!AV435),"","x")</f>
        <v/>
      </c>
      <c r="AT431" t="str">
        <f>IF(ISBLANK(JP!AW435),"","x")</f>
        <v/>
      </c>
      <c r="AU431" t="str">
        <f>IF(ISBLANK(JP!AX435),"","x")</f>
        <v/>
      </c>
    </row>
    <row r="432" spans="2:47">
      <c r="B432" t="str">
        <f>IF(ISBLANK(JP!AZ436),"",JP!AZ436)</f>
        <v/>
      </c>
      <c r="C432" t="str">
        <f>IF(ISBLANK(JP!BA436),"",JP!BA436)</f>
        <v/>
      </c>
      <c r="D432" t="str">
        <f>IF(ISBLANK(JP!BC436),"",JP!BC436)</f>
        <v/>
      </c>
      <c r="E432" t="str">
        <f>IF(ISBLANK(JP!BB436),"",JP!BB436)</f>
        <v/>
      </c>
      <c r="F432" t="str">
        <f>IF(ISBLANK(JP!D436),"","x")</f>
        <v/>
      </c>
      <c r="G432" t="str">
        <f>IF(ISBLANK(JP!E436),"","x")</f>
        <v/>
      </c>
      <c r="H432" t="str">
        <f>IF(ISBLANK(JP!F436),"","x")</f>
        <v/>
      </c>
      <c r="I432" t="str">
        <f>IF(ISBLANK(JP!G436),"","x")</f>
        <v/>
      </c>
      <c r="J432" t="str">
        <f>IF(ISBLANK(JP!H436),"","x")</f>
        <v/>
      </c>
      <c r="K432" t="str">
        <f>IF(ISBLANK(JP!I436),"","x")</f>
        <v/>
      </c>
      <c r="L432" t="str">
        <f>IF(ISBLANK(JP!J436),"","x")</f>
        <v/>
      </c>
      <c r="M432" t="str">
        <f>IF(ISBLANK(JP!L436),"","x")</f>
        <v/>
      </c>
      <c r="N432" t="str">
        <f>IF(ISBLANK(JP!M436),"","x")</f>
        <v/>
      </c>
      <c r="O432" t="str">
        <f>IF(ISBLANK(JP!N436),"","x")</f>
        <v/>
      </c>
      <c r="P432" t="str">
        <f>IF(ISBLANK(JP!O436),"","x")</f>
        <v/>
      </c>
      <c r="Q432" t="str">
        <f>IF(ISBLANK(JP!P436),"","x")</f>
        <v/>
      </c>
      <c r="R432" t="str">
        <f>IF(ISBLANK(JP!Q436),"","x")</f>
        <v/>
      </c>
      <c r="S432" t="str">
        <f>IF(ISBLANK(JP!R436),"","x")</f>
        <v/>
      </c>
      <c r="T432" t="str">
        <f>IF(ISBLANK(JP!T436),"","x")</f>
        <v/>
      </c>
      <c r="U432" t="str">
        <f>IF(ISBLANK(JP!U436),"","x")</f>
        <v/>
      </c>
      <c r="V432" t="str">
        <f>IF(ISBLANK(JP!V436),"","x")</f>
        <v/>
      </c>
      <c r="W432" t="str">
        <f>IF(ISBLANK(JP!W436),"","x")</f>
        <v/>
      </c>
      <c r="X432" t="str">
        <f>IF(ISBLANK(JP!X436),"","x")</f>
        <v/>
      </c>
      <c r="Y432" t="str">
        <f>IF(ISBLANK(JP!Y436),"","x")</f>
        <v/>
      </c>
      <c r="Z432" t="str">
        <f>IF(ISBLANK(JP!Z436),"","x")</f>
        <v/>
      </c>
      <c r="AA432" t="str">
        <f>IF(ISBLANK(JP!AB436),"","x")</f>
        <v/>
      </c>
      <c r="AB432" t="str">
        <f>IF(ISBLANK(JP!AC436),"","x")</f>
        <v/>
      </c>
      <c r="AC432" t="str">
        <f>IF(ISBLANK(JP!AD436),"","x")</f>
        <v/>
      </c>
      <c r="AD432" t="str">
        <f>IF(ISBLANK(JP!AE436),"","x")</f>
        <v/>
      </c>
      <c r="AE432" t="str">
        <f>IF(ISBLANK(JP!AF436),"","x")</f>
        <v/>
      </c>
      <c r="AF432" t="str">
        <f>IF(ISBLANK(JP!AG436),"","x")</f>
        <v/>
      </c>
      <c r="AG432" t="str">
        <f>IF(ISBLANK(JP!AH436),"","x")</f>
        <v/>
      </c>
      <c r="AH432" t="str">
        <f>IF(ISBLANK(JP!AJ436),"","x")</f>
        <v/>
      </c>
      <c r="AI432" t="str">
        <f>IF(ISBLANK(JP!AK436),"","x")</f>
        <v/>
      </c>
      <c r="AJ432" t="str">
        <f>IF(ISBLANK(JP!AL436),"","x")</f>
        <v/>
      </c>
      <c r="AK432" t="str">
        <f>IF(ISBLANK(JP!AM436),"","x")</f>
        <v/>
      </c>
      <c r="AL432" t="str">
        <f>IF(ISBLANK(JP!AN436),"","x")</f>
        <v/>
      </c>
      <c r="AM432" t="str">
        <f>IF(ISBLANK(JP!AO436),"","x")</f>
        <v/>
      </c>
      <c r="AN432" t="str">
        <f>IF(ISBLANK(JP!AP436),"","x")</f>
        <v/>
      </c>
      <c r="AO432" t="str">
        <f>IF(ISBLANK(JP!AR436),"","x")</f>
        <v/>
      </c>
      <c r="AP432" t="str">
        <f>IF(ISBLANK(JP!AS436),"","x")</f>
        <v/>
      </c>
      <c r="AQ432" t="str">
        <f>IF(ISBLANK(JP!AT436),"","x")</f>
        <v/>
      </c>
      <c r="AR432" t="str">
        <f>IF(ISBLANK(JP!AU436),"","x")</f>
        <v/>
      </c>
      <c r="AS432" t="str">
        <f>IF(ISBLANK(JP!AV436),"","x")</f>
        <v/>
      </c>
      <c r="AT432" t="str">
        <f>IF(ISBLANK(JP!AW436),"","x")</f>
        <v/>
      </c>
      <c r="AU432" t="str">
        <f>IF(ISBLANK(JP!AX436),"","x")</f>
        <v/>
      </c>
    </row>
    <row r="433" spans="2:47">
      <c r="B433" t="str">
        <f>IF(ISBLANK(JP!AZ437),"",JP!AZ437)</f>
        <v/>
      </c>
      <c r="C433" t="str">
        <f>IF(ISBLANK(JP!BA437),"",JP!BA437)</f>
        <v/>
      </c>
      <c r="D433" t="str">
        <f>IF(ISBLANK(JP!BC437),"",JP!BC437)</f>
        <v/>
      </c>
      <c r="E433" t="str">
        <f>IF(ISBLANK(JP!BB437),"",JP!BB437)</f>
        <v/>
      </c>
      <c r="F433" t="str">
        <f>IF(ISBLANK(JP!D437),"","x")</f>
        <v/>
      </c>
      <c r="G433" t="str">
        <f>IF(ISBLANK(JP!E437),"","x")</f>
        <v/>
      </c>
      <c r="H433" t="str">
        <f>IF(ISBLANK(JP!F437),"","x")</f>
        <v/>
      </c>
      <c r="I433" t="str">
        <f>IF(ISBLANK(JP!G437),"","x")</f>
        <v/>
      </c>
      <c r="J433" t="str">
        <f>IF(ISBLANK(JP!H437),"","x")</f>
        <v/>
      </c>
      <c r="K433" t="str">
        <f>IF(ISBLANK(JP!I437),"","x")</f>
        <v/>
      </c>
      <c r="L433" t="str">
        <f>IF(ISBLANK(JP!J437),"","x")</f>
        <v/>
      </c>
      <c r="M433" t="str">
        <f>IF(ISBLANK(JP!L437),"","x")</f>
        <v/>
      </c>
      <c r="N433" t="str">
        <f>IF(ISBLANK(JP!M437),"","x")</f>
        <v/>
      </c>
      <c r="O433" t="str">
        <f>IF(ISBLANK(JP!N437),"","x")</f>
        <v/>
      </c>
      <c r="P433" t="str">
        <f>IF(ISBLANK(JP!O437),"","x")</f>
        <v/>
      </c>
      <c r="Q433" t="str">
        <f>IF(ISBLANK(JP!P437),"","x")</f>
        <v/>
      </c>
      <c r="R433" t="str">
        <f>IF(ISBLANK(JP!Q437),"","x")</f>
        <v/>
      </c>
      <c r="S433" t="str">
        <f>IF(ISBLANK(JP!R437),"","x")</f>
        <v/>
      </c>
      <c r="T433" t="str">
        <f>IF(ISBLANK(JP!T437),"","x")</f>
        <v/>
      </c>
      <c r="U433" t="str">
        <f>IF(ISBLANK(JP!U437),"","x")</f>
        <v/>
      </c>
      <c r="V433" t="str">
        <f>IF(ISBLANK(JP!V437),"","x")</f>
        <v/>
      </c>
      <c r="W433" t="str">
        <f>IF(ISBLANK(JP!W437),"","x")</f>
        <v/>
      </c>
      <c r="X433" t="str">
        <f>IF(ISBLANK(JP!X437),"","x")</f>
        <v/>
      </c>
      <c r="Y433" t="str">
        <f>IF(ISBLANK(JP!Y437),"","x")</f>
        <v/>
      </c>
      <c r="Z433" t="str">
        <f>IF(ISBLANK(JP!Z437),"","x")</f>
        <v/>
      </c>
      <c r="AA433" t="str">
        <f>IF(ISBLANK(JP!AB437),"","x")</f>
        <v/>
      </c>
      <c r="AB433" t="str">
        <f>IF(ISBLANK(JP!AC437),"","x")</f>
        <v/>
      </c>
      <c r="AC433" t="str">
        <f>IF(ISBLANK(JP!AD437),"","x")</f>
        <v/>
      </c>
      <c r="AD433" t="str">
        <f>IF(ISBLANK(JP!AE437),"","x")</f>
        <v/>
      </c>
      <c r="AE433" t="str">
        <f>IF(ISBLANK(JP!AF437),"","x")</f>
        <v/>
      </c>
      <c r="AF433" t="str">
        <f>IF(ISBLANK(JP!AG437),"","x")</f>
        <v/>
      </c>
      <c r="AG433" t="str">
        <f>IF(ISBLANK(JP!AH437),"","x")</f>
        <v/>
      </c>
      <c r="AH433" t="str">
        <f>IF(ISBLANK(JP!AJ437),"","x")</f>
        <v/>
      </c>
      <c r="AI433" t="str">
        <f>IF(ISBLANK(JP!AK437),"","x")</f>
        <v/>
      </c>
      <c r="AJ433" t="str">
        <f>IF(ISBLANK(JP!AL437),"","x")</f>
        <v/>
      </c>
      <c r="AK433" t="str">
        <f>IF(ISBLANK(JP!AM437),"","x")</f>
        <v/>
      </c>
      <c r="AL433" t="str">
        <f>IF(ISBLANK(JP!AN437),"","x")</f>
        <v/>
      </c>
      <c r="AM433" t="str">
        <f>IF(ISBLANK(JP!AO437),"","x")</f>
        <v/>
      </c>
      <c r="AN433" t="str">
        <f>IF(ISBLANK(JP!AP437),"","x")</f>
        <v/>
      </c>
      <c r="AO433" t="str">
        <f>IF(ISBLANK(JP!AR437),"","x")</f>
        <v/>
      </c>
      <c r="AP433" t="str">
        <f>IF(ISBLANK(JP!AS437),"","x")</f>
        <v/>
      </c>
      <c r="AQ433" t="str">
        <f>IF(ISBLANK(JP!AT437),"","x")</f>
        <v/>
      </c>
      <c r="AR433" t="str">
        <f>IF(ISBLANK(JP!AU437),"","x")</f>
        <v/>
      </c>
      <c r="AS433" t="str">
        <f>IF(ISBLANK(JP!AV437),"","x")</f>
        <v/>
      </c>
      <c r="AT433" t="str">
        <f>IF(ISBLANK(JP!AW437),"","x")</f>
        <v/>
      </c>
      <c r="AU433" t="str">
        <f>IF(ISBLANK(JP!AX437),"","x")</f>
        <v/>
      </c>
    </row>
    <row r="434" spans="2:47">
      <c r="B434" t="str">
        <f>IF(ISBLANK(JP!AZ438),"",JP!AZ438)</f>
        <v/>
      </c>
      <c r="C434" t="str">
        <f>IF(ISBLANK(JP!BA438),"",JP!BA438)</f>
        <v/>
      </c>
      <c r="D434" t="str">
        <f>IF(ISBLANK(JP!BC438),"",JP!BC438)</f>
        <v/>
      </c>
      <c r="E434" t="str">
        <f>IF(ISBLANK(JP!BB438),"",JP!BB438)</f>
        <v/>
      </c>
      <c r="F434" t="str">
        <f>IF(ISBLANK(JP!D438),"","x")</f>
        <v/>
      </c>
      <c r="G434" t="str">
        <f>IF(ISBLANK(JP!E438),"","x")</f>
        <v/>
      </c>
      <c r="H434" t="str">
        <f>IF(ISBLANK(JP!F438),"","x")</f>
        <v/>
      </c>
      <c r="I434" t="str">
        <f>IF(ISBLANK(JP!G438),"","x")</f>
        <v/>
      </c>
      <c r="J434" t="str">
        <f>IF(ISBLANK(JP!H438),"","x")</f>
        <v/>
      </c>
      <c r="K434" t="str">
        <f>IF(ISBLANK(JP!I438),"","x")</f>
        <v/>
      </c>
      <c r="L434" t="str">
        <f>IF(ISBLANK(JP!J438),"","x")</f>
        <v/>
      </c>
      <c r="M434" t="str">
        <f>IF(ISBLANK(JP!L438),"","x")</f>
        <v/>
      </c>
      <c r="N434" t="str">
        <f>IF(ISBLANK(JP!M438),"","x")</f>
        <v/>
      </c>
      <c r="O434" t="str">
        <f>IF(ISBLANK(JP!N438),"","x")</f>
        <v/>
      </c>
      <c r="P434" t="str">
        <f>IF(ISBLANK(JP!O438),"","x")</f>
        <v/>
      </c>
      <c r="Q434" t="str">
        <f>IF(ISBLANK(JP!P438),"","x")</f>
        <v/>
      </c>
      <c r="R434" t="str">
        <f>IF(ISBLANK(JP!Q438),"","x")</f>
        <v/>
      </c>
      <c r="S434" t="str">
        <f>IF(ISBLANK(JP!R438),"","x")</f>
        <v/>
      </c>
      <c r="T434" t="str">
        <f>IF(ISBLANK(JP!T438),"","x")</f>
        <v/>
      </c>
      <c r="U434" t="str">
        <f>IF(ISBLANK(JP!U438),"","x")</f>
        <v/>
      </c>
      <c r="V434" t="str">
        <f>IF(ISBLANK(JP!V438),"","x")</f>
        <v/>
      </c>
      <c r="W434" t="str">
        <f>IF(ISBLANK(JP!W438),"","x")</f>
        <v/>
      </c>
      <c r="X434" t="str">
        <f>IF(ISBLANK(JP!X438),"","x")</f>
        <v/>
      </c>
      <c r="Y434" t="str">
        <f>IF(ISBLANK(JP!Y438),"","x")</f>
        <v/>
      </c>
      <c r="Z434" t="str">
        <f>IF(ISBLANK(JP!Z438),"","x")</f>
        <v/>
      </c>
      <c r="AA434" t="str">
        <f>IF(ISBLANK(JP!AB438),"","x")</f>
        <v/>
      </c>
      <c r="AB434" t="str">
        <f>IF(ISBLANK(JP!AC438),"","x")</f>
        <v/>
      </c>
      <c r="AC434" t="str">
        <f>IF(ISBLANK(JP!AD438),"","x")</f>
        <v/>
      </c>
      <c r="AD434" t="str">
        <f>IF(ISBLANK(JP!AE438),"","x")</f>
        <v/>
      </c>
      <c r="AE434" t="str">
        <f>IF(ISBLANK(JP!AF438),"","x")</f>
        <v/>
      </c>
      <c r="AF434" t="str">
        <f>IF(ISBLANK(JP!AG438),"","x")</f>
        <v/>
      </c>
      <c r="AG434" t="str">
        <f>IF(ISBLANK(JP!AH438),"","x")</f>
        <v/>
      </c>
      <c r="AH434" t="str">
        <f>IF(ISBLANK(JP!AJ438),"","x")</f>
        <v/>
      </c>
      <c r="AI434" t="str">
        <f>IF(ISBLANK(JP!AK438),"","x")</f>
        <v/>
      </c>
      <c r="AJ434" t="str">
        <f>IF(ISBLANK(JP!AL438),"","x")</f>
        <v/>
      </c>
      <c r="AK434" t="str">
        <f>IF(ISBLANK(JP!AM438),"","x")</f>
        <v/>
      </c>
      <c r="AL434" t="str">
        <f>IF(ISBLANK(JP!AN438),"","x")</f>
        <v/>
      </c>
      <c r="AM434" t="str">
        <f>IF(ISBLANK(JP!AO438),"","x")</f>
        <v/>
      </c>
      <c r="AN434" t="str">
        <f>IF(ISBLANK(JP!AP438),"","x")</f>
        <v/>
      </c>
      <c r="AO434" t="str">
        <f>IF(ISBLANK(JP!AR438),"","x")</f>
        <v/>
      </c>
      <c r="AP434" t="str">
        <f>IF(ISBLANK(JP!AS438),"","x")</f>
        <v/>
      </c>
      <c r="AQ434" t="str">
        <f>IF(ISBLANK(JP!AT438),"","x")</f>
        <v/>
      </c>
      <c r="AR434" t="str">
        <f>IF(ISBLANK(JP!AU438),"","x")</f>
        <v/>
      </c>
      <c r="AS434" t="str">
        <f>IF(ISBLANK(JP!AV438),"","x")</f>
        <v/>
      </c>
      <c r="AT434" t="str">
        <f>IF(ISBLANK(JP!AW438),"","x")</f>
        <v/>
      </c>
      <c r="AU434" t="str">
        <f>IF(ISBLANK(JP!AX438),"","x")</f>
        <v/>
      </c>
    </row>
    <row r="435" spans="2:47">
      <c r="B435" t="str">
        <f>IF(ISBLANK(JP!AZ439),"",JP!AZ439)</f>
        <v/>
      </c>
      <c r="C435" t="str">
        <f>IF(ISBLANK(JP!BA439),"",JP!BA439)</f>
        <v/>
      </c>
      <c r="D435" t="str">
        <f>IF(ISBLANK(JP!BC439),"",JP!BC439)</f>
        <v/>
      </c>
      <c r="E435" t="str">
        <f>IF(ISBLANK(JP!BB439),"",JP!BB439)</f>
        <v/>
      </c>
      <c r="F435" t="str">
        <f>IF(ISBLANK(JP!D439),"","x")</f>
        <v/>
      </c>
      <c r="G435" t="str">
        <f>IF(ISBLANK(JP!E439),"","x")</f>
        <v/>
      </c>
      <c r="H435" t="str">
        <f>IF(ISBLANK(JP!F439),"","x")</f>
        <v/>
      </c>
      <c r="I435" t="str">
        <f>IF(ISBLANK(JP!G439),"","x")</f>
        <v/>
      </c>
      <c r="J435" t="str">
        <f>IF(ISBLANK(JP!H439),"","x")</f>
        <v/>
      </c>
      <c r="K435" t="str">
        <f>IF(ISBLANK(JP!I439),"","x")</f>
        <v/>
      </c>
      <c r="L435" t="str">
        <f>IF(ISBLANK(JP!J439),"","x")</f>
        <v/>
      </c>
      <c r="M435" t="str">
        <f>IF(ISBLANK(JP!L439),"","x")</f>
        <v/>
      </c>
      <c r="N435" t="str">
        <f>IF(ISBLANK(JP!M439),"","x")</f>
        <v/>
      </c>
      <c r="O435" t="str">
        <f>IF(ISBLANK(JP!N439),"","x")</f>
        <v/>
      </c>
      <c r="P435" t="str">
        <f>IF(ISBLANK(JP!O439),"","x")</f>
        <v/>
      </c>
      <c r="Q435" t="str">
        <f>IF(ISBLANK(JP!P439),"","x")</f>
        <v/>
      </c>
      <c r="R435" t="str">
        <f>IF(ISBLANK(JP!Q439),"","x")</f>
        <v/>
      </c>
      <c r="S435" t="str">
        <f>IF(ISBLANK(JP!R439),"","x")</f>
        <v/>
      </c>
      <c r="T435" t="str">
        <f>IF(ISBLANK(JP!T439),"","x")</f>
        <v/>
      </c>
      <c r="U435" t="str">
        <f>IF(ISBLANK(JP!U439),"","x")</f>
        <v/>
      </c>
      <c r="V435" t="str">
        <f>IF(ISBLANK(JP!V439),"","x")</f>
        <v/>
      </c>
      <c r="W435" t="str">
        <f>IF(ISBLANK(JP!W439),"","x")</f>
        <v/>
      </c>
      <c r="X435" t="str">
        <f>IF(ISBLANK(JP!X439),"","x")</f>
        <v/>
      </c>
      <c r="Y435" t="str">
        <f>IF(ISBLANK(JP!Y439),"","x")</f>
        <v/>
      </c>
      <c r="Z435" t="str">
        <f>IF(ISBLANK(JP!Z439),"","x")</f>
        <v/>
      </c>
      <c r="AA435" t="str">
        <f>IF(ISBLANK(JP!AB439),"","x")</f>
        <v/>
      </c>
      <c r="AB435" t="str">
        <f>IF(ISBLANK(JP!AC439),"","x")</f>
        <v/>
      </c>
      <c r="AC435" t="str">
        <f>IF(ISBLANK(JP!AD439),"","x")</f>
        <v/>
      </c>
      <c r="AD435" t="str">
        <f>IF(ISBLANK(JP!AE439),"","x")</f>
        <v/>
      </c>
      <c r="AE435" t="str">
        <f>IF(ISBLANK(JP!AF439),"","x")</f>
        <v/>
      </c>
      <c r="AF435" t="str">
        <f>IF(ISBLANK(JP!AG439),"","x")</f>
        <v/>
      </c>
      <c r="AG435" t="str">
        <f>IF(ISBLANK(JP!AH439),"","x")</f>
        <v/>
      </c>
      <c r="AH435" t="str">
        <f>IF(ISBLANK(JP!AJ439),"","x")</f>
        <v/>
      </c>
      <c r="AI435" t="str">
        <f>IF(ISBLANK(JP!AK439),"","x")</f>
        <v/>
      </c>
      <c r="AJ435" t="str">
        <f>IF(ISBLANK(JP!AL439),"","x")</f>
        <v/>
      </c>
      <c r="AK435" t="str">
        <f>IF(ISBLANK(JP!AM439),"","x")</f>
        <v/>
      </c>
      <c r="AL435" t="str">
        <f>IF(ISBLANK(JP!AN439),"","x")</f>
        <v/>
      </c>
      <c r="AM435" t="str">
        <f>IF(ISBLANK(JP!AO439),"","x")</f>
        <v/>
      </c>
      <c r="AN435" t="str">
        <f>IF(ISBLANK(JP!AP439),"","x")</f>
        <v/>
      </c>
      <c r="AO435" t="str">
        <f>IF(ISBLANK(JP!AR439),"","x")</f>
        <v/>
      </c>
      <c r="AP435" t="str">
        <f>IF(ISBLANK(JP!AS439),"","x")</f>
        <v/>
      </c>
      <c r="AQ435" t="str">
        <f>IF(ISBLANK(JP!AT439),"","x")</f>
        <v/>
      </c>
      <c r="AR435" t="str">
        <f>IF(ISBLANK(JP!AU439),"","x")</f>
        <v/>
      </c>
      <c r="AS435" t="str">
        <f>IF(ISBLANK(JP!AV439),"","x")</f>
        <v/>
      </c>
      <c r="AT435" t="str">
        <f>IF(ISBLANK(JP!AW439),"","x")</f>
        <v/>
      </c>
      <c r="AU435" t="str">
        <f>IF(ISBLANK(JP!AX439),"","x")</f>
        <v/>
      </c>
    </row>
    <row r="436" spans="2:47">
      <c r="B436" t="str">
        <f>IF(ISBLANK(JP!AZ440),"",JP!AZ440)</f>
        <v/>
      </c>
      <c r="C436" t="str">
        <f>IF(ISBLANK(JP!BA440),"",JP!BA440)</f>
        <v/>
      </c>
      <c r="D436" t="str">
        <f>IF(ISBLANK(JP!BC440),"",JP!BC440)</f>
        <v/>
      </c>
      <c r="E436" t="str">
        <f>IF(ISBLANK(JP!BB440),"",JP!BB440)</f>
        <v/>
      </c>
      <c r="F436" t="str">
        <f>IF(ISBLANK(JP!D440),"","x")</f>
        <v/>
      </c>
      <c r="G436" t="str">
        <f>IF(ISBLANK(JP!E440),"","x")</f>
        <v/>
      </c>
      <c r="H436" t="str">
        <f>IF(ISBLANK(JP!F440),"","x")</f>
        <v/>
      </c>
      <c r="I436" t="str">
        <f>IF(ISBLANK(JP!G440),"","x")</f>
        <v/>
      </c>
      <c r="J436" t="str">
        <f>IF(ISBLANK(JP!H440),"","x")</f>
        <v/>
      </c>
      <c r="K436" t="str">
        <f>IF(ISBLANK(JP!I440),"","x")</f>
        <v/>
      </c>
      <c r="L436" t="str">
        <f>IF(ISBLANK(JP!J440),"","x")</f>
        <v/>
      </c>
      <c r="M436" t="str">
        <f>IF(ISBLANK(JP!L440),"","x")</f>
        <v/>
      </c>
      <c r="N436" t="str">
        <f>IF(ISBLANK(JP!M440),"","x")</f>
        <v/>
      </c>
      <c r="O436" t="str">
        <f>IF(ISBLANK(JP!N440),"","x")</f>
        <v/>
      </c>
      <c r="P436" t="str">
        <f>IF(ISBLANK(JP!O440),"","x")</f>
        <v/>
      </c>
      <c r="Q436" t="str">
        <f>IF(ISBLANK(JP!P440),"","x")</f>
        <v/>
      </c>
      <c r="R436" t="str">
        <f>IF(ISBLANK(JP!Q440),"","x")</f>
        <v/>
      </c>
      <c r="S436" t="str">
        <f>IF(ISBLANK(JP!R440),"","x")</f>
        <v/>
      </c>
      <c r="T436" t="str">
        <f>IF(ISBLANK(JP!T440),"","x")</f>
        <v/>
      </c>
      <c r="U436" t="str">
        <f>IF(ISBLANK(JP!U440),"","x")</f>
        <v/>
      </c>
      <c r="V436" t="str">
        <f>IF(ISBLANK(JP!V440),"","x")</f>
        <v/>
      </c>
      <c r="W436" t="str">
        <f>IF(ISBLANK(JP!W440),"","x")</f>
        <v/>
      </c>
      <c r="X436" t="str">
        <f>IF(ISBLANK(JP!X440),"","x")</f>
        <v/>
      </c>
      <c r="Y436" t="str">
        <f>IF(ISBLANK(JP!Y440),"","x")</f>
        <v/>
      </c>
      <c r="Z436" t="str">
        <f>IF(ISBLANK(JP!Z440),"","x")</f>
        <v/>
      </c>
      <c r="AA436" t="str">
        <f>IF(ISBLANK(JP!AB440),"","x")</f>
        <v/>
      </c>
      <c r="AB436" t="str">
        <f>IF(ISBLANK(JP!AC440),"","x")</f>
        <v/>
      </c>
      <c r="AC436" t="str">
        <f>IF(ISBLANK(JP!AD440),"","x")</f>
        <v/>
      </c>
      <c r="AD436" t="str">
        <f>IF(ISBLANK(JP!AE440),"","x")</f>
        <v/>
      </c>
      <c r="AE436" t="str">
        <f>IF(ISBLANK(JP!AF440),"","x")</f>
        <v/>
      </c>
      <c r="AF436" t="str">
        <f>IF(ISBLANK(JP!AG440),"","x")</f>
        <v/>
      </c>
      <c r="AG436" t="str">
        <f>IF(ISBLANK(JP!AH440),"","x")</f>
        <v/>
      </c>
      <c r="AH436" t="str">
        <f>IF(ISBLANK(JP!AJ440),"","x")</f>
        <v/>
      </c>
      <c r="AI436" t="str">
        <f>IF(ISBLANK(JP!AK440),"","x")</f>
        <v/>
      </c>
      <c r="AJ436" t="str">
        <f>IF(ISBLANK(JP!AL440),"","x")</f>
        <v/>
      </c>
      <c r="AK436" t="str">
        <f>IF(ISBLANK(JP!AM440),"","x")</f>
        <v/>
      </c>
      <c r="AL436" t="str">
        <f>IF(ISBLANK(JP!AN440),"","x")</f>
        <v/>
      </c>
      <c r="AM436" t="str">
        <f>IF(ISBLANK(JP!AO440),"","x")</f>
        <v/>
      </c>
      <c r="AN436" t="str">
        <f>IF(ISBLANK(JP!AP440),"","x")</f>
        <v/>
      </c>
      <c r="AO436" t="str">
        <f>IF(ISBLANK(JP!AR440),"","x")</f>
        <v/>
      </c>
      <c r="AP436" t="str">
        <f>IF(ISBLANK(JP!AS440),"","x")</f>
        <v/>
      </c>
      <c r="AQ436" t="str">
        <f>IF(ISBLANK(JP!AT440),"","x")</f>
        <v/>
      </c>
      <c r="AR436" t="str">
        <f>IF(ISBLANK(JP!AU440),"","x")</f>
        <v/>
      </c>
      <c r="AS436" t="str">
        <f>IF(ISBLANK(JP!AV440),"","x")</f>
        <v/>
      </c>
      <c r="AT436" t="str">
        <f>IF(ISBLANK(JP!AW440),"","x")</f>
        <v/>
      </c>
      <c r="AU436" t="str">
        <f>IF(ISBLANK(JP!AX440),"","x")</f>
        <v/>
      </c>
    </row>
    <row r="437" spans="2:47">
      <c r="B437" t="str">
        <f>IF(ISBLANK(JP!AZ441),"",JP!AZ441)</f>
        <v/>
      </c>
      <c r="C437" t="str">
        <f>IF(ISBLANK(JP!BA441),"",JP!BA441)</f>
        <v/>
      </c>
      <c r="D437" t="str">
        <f>IF(ISBLANK(JP!BC441),"",JP!BC441)</f>
        <v/>
      </c>
      <c r="E437" t="str">
        <f>IF(ISBLANK(JP!BB441),"",JP!BB441)</f>
        <v/>
      </c>
      <c r="F437" t="str">
        <f>IF(ISBLANK(JP!D441),"","x")</f>
        <v/>
      </c>
      <c r="G437" t="str">
        <f>IF(ISBLANK(JP!E441),"","x")</f>
        <v/>
      </c>
      <c r="H437" t="str">
        <f>IF(ISBLANK(JP!F441),"","x")</f>
        <v/>
      </c>
      <c r="I437" t="str">
        <f>IF(ISBLANK(JP!G441),"","x")</f>
        <v/>
      </c>
      <c r="J437" t="str">
        <f>IF(ISBLANK(JP!H441),"","x")</f>
        <v/>
      </c>
      <c r="K437" t="str">
        <f>IF(ISBLANK(JP!I441),"","x")</f>
        <v/>
      </c>
      <c r="L437" t="str">
        <f>IF(ISBLANK(JP!J441),"","x")</f>
        <v/>
      </c>
      <c r="M437" t="str">
        <f>IF(ISBLANK(JP!L441),"","x")</f>
        <v/>
      </c>
      <c r="N437" t="str">
        <f>IF(ISBLANK(JP!M441),"","x")</f>
        <v/>
      </c>
      <c r="O437" t="str">
        <f>IF(ISBLANK(JP!N441),"","x")</f>
        <v/>
      </c>
      <c r="P437" t="str">
        <f>IF(ISBLANK(JP!O441),"","x")</f>
        <v/>
      </c>
      <c r="Q437" t="str">
        <f>IF(ISBLANK(JP!P441),"","x")</f>
        <v/>
      </c>
      <c r="R437" t="str">
        <f>IF(ISBLANK(JP!Q441),"","x")</f>
        <v/>
      </c>
      <c r="S437" t="str">
        <f>IF(ISBLANK(JP!R441),"","x")</f>
        <v/>
      </c>
      <c r="T437" t="str">
        <f>IF(ISBLANK(JP!T441),"","x")</f>
        <v/>
      </c>
      <c r="U437" t="str">
        <f>IF(ISBLANK(JP!U441),"","x")</f>
        <v/>
      </c>
      <c r="V437" t="str">
        <f>IF(ISBLANK(JP!V441),"","x")</f>
        <v/>
      </c>
      <c r="W437" t="str">
        <f>IF(ISBLANK(JP!W441),"","x")</f>
        <v/>
      </c>
      <c r="X437" t="str">
        <f>IF(ISBLANK(JP!X441),"","x")</f>
        <v/>
      </c>
      <c r="Y437" t="str">
        <f>IF(ISBLANK(JP!Y441),"","x")</f>
        <v/>
      </c>
      <c r="Z437" t="str">
        <f>IF(ISBLANK(JP!Z441),"","x")</f>
        <v/>
      </c>
      <c r="AA437" t="str">
        <f>IF(ISBLANK(JP!AB441),"","x")</f>
        <v/>
      </c>
      <c r="AB437" t="str">
        <f>IF(ISBLANK(JP!AC441),"","x")</f>
        <v/>
      </c>
      <c r="AC437" t="str">
        <f>IF(ISBLANK(JP!AD441),"","x")</f>
        <v/>
      </c>
      <c r="AD437" t="str">
        <f>IF(ISBLANK(JP!AE441),"","x")</f>
        <v/>
      </c>
      <c r="AE437" t="str">
        <f>IF(ISBLANK(JP!AF441),"","x")</f>
        <v/>
      </c>
      <c r="AF437" t="str">
        <f>IF(ISBLANK(JP!AG441),"","x")</f>
        <v/>
      </c>
      <c r="AG437" t="str">
        <f>IF(ISBLANK(JP!AH441),"","x")</f>
        <v/>
      </c>
      <c r="AH437" t="str">
        <f>IF(ISBLANK(JP!AJ441),"","x")</f>
        <v/>
      </c>
      <c r="AI437" t="str">
        <f>IF(ISBLANK(JP!AK441),"","x")</f>
        <v/>
      </c>
      <c r="AJ437" t="str">
        <f>IF(ISBLANK(JP!AL441),"","x")</f>
        <v/>
      </c>
      <c r="AK437" t="str">
        <f>IF(ISBLANK(JP!AM441),"","x")</f>
        <v/>
      </c>
      <c r="AL437" t="str">
        <f>IF(ISBLANK(JP!AN441),"","x")</f>
        <v/>
      </c>
      <c r="AM437" t="str">
        <f>IF(ISBLANK(JP!AO441),"","x")</f>
        <v/>
      </c>
      <c r="AN437" t="str">
        <f>IF(ISBLANK(JP!AP441),"","x")</f>
        <v/>
      </c>
      <c r="AO437" t="str">
        <f>IF(ISBLANK(JP!AR441),"","x")</f>
        <v/>
      </c>
      <c r="AP437" t="str">
        <f>IF(ISBLANK(JP!AS441),"","x")</f>
        <v/>
      </c>
      <c r="AQ437" t="str">
        <f>IF(ISBLANK(JP!AT441),"","x")</f>
        <v/>
      </c>
      <c r="AR437" t="str">
        <f>IF(ISBLANK(JP!AU441),"","x")</f>
        <v/>
      </c>
      <c r="AS437" t="str">
        <f>IF(ISBLANK(JP!AV441),"","x")</f>
        <v/>
      </c>
      <c r="AT437" t="str">
        <f>IF(ISBLANK(JP!AW441),"","x")</f>
        <v/>
      </c>
      <c r="AU437" t="str">
        <f>IF(ISBLANK(JP!AX441),"","x")</f>
        <v/>
      </c>
    </row>
    <row r="438" spans="2:47">
      <c r="B438" t="str">
        <f>IF(ISBLANK(JP!AZ442),"",JP!AZ442)</f>
        <v/>
      </c>
      <c r="C438" t="str">
        <f>IF(ISBLANK(JP!BA442),"",JP!BA442)</f>
        <v/>
      </c>
      <c r="D438" t="str">
        <f>IF(ISBLANK(JP!BC442),"",JP!BC442)</f>
        <v/>
      </c>
      <c r="E438" t="str">
        <f>IF(ISBLANK(JP!BB442),"",JP!BB442)</f>
        <v/>
      </c>
      <c r="F438" t="str">
        <f>IF(ISBLANK(JP!D442),"","x")</f>
        <v/>
      </c>
      <c r="G438" t="str">
        <f>IF(ISBLANK(JP!E442),"","x")</f>
        <v/>
      </c>
      <c r="H438" t="str">
        <f>IF(ISBLANK(JP!F442),"","x")</f>
        <v/>
      </c>
      <c r="I438" t="str">
        <f>IF(ISBLANK(JP!G442),"","x")</f>
        <v/>
      </c>
      <c r="J438" t="str">
        <f>IF(ISBLANK(JP!H442),"","x")</f>
        <v/>
      </c>
      <c r="K438" t="str">
        <f>IF(ISBLANK(JP!I442),"","x")</f>
        <v/>
      </c>
      <c r="L438" t="str">
        <f>IF(ISBLANK(JP!J442),"","x")</f>
        <v/>
      </c>
      <c r="M438" t="str">
        <f>IF(ISBLANK(JP!L442),"","x")</f>
        <v/>
      </c>
      <c r="N438" t="str">
        <f>IF(ISBLANK(JP!M442),"","x")</f>
        <v/>
      </c>
      <c r="O438" t="str">
        <f>IF(ISBLANK(JP!N442),"","x")</f>
        <v/>
      </c>
      <c r="P438" t="str">
        <f>IF(ISBLANK(JP!O442),"","x")</f>
        <v/>
      </c>
      <c r="Q438" t="str">
        <f>IF(ISBLANK(JP!P442),"","x")</f>
        <v/>
      </c>
      <c r="R438" t="str">
        <f>IF(ISBLANK(JP!Q442),"","x")</f>
        <v/>
      </c>
      <c r="S438" t="str">
        <f>IF(ISBLANK(JP!R442),"","x")</f>
        <v/>
      </c>
      <c r="T438" t="str">
        <f>IF(ISBLANK(JP!T442),"","x")</f>
        <v/>
      </c>
      <c r="U438" t="str">
        <f>IF(ISBLANK(JP!U442),"","x")</f>
        <v/>
      </c>
      <c r="V438" t="str">
        <f>IF(ISBLANK(JP!V442),"","x")</f>
        <v/>
      </c>
      <c r="W438" t="str">
        <f>IF(ISBLANK(JP!W442),"","x")</f>
        <v/>
      </c>
      <c r="X438" t="str">
        <f>IF(ISBLANK(JP!X442),"","x")</f>
        <v/>
      </c>
      <c r="Y438" t="str">
        <f>IF(ISBLANK(JP!Y442),"","x")</f>
        <v/>
      </c>
      <c r="Z438" t="str">
        <f>IF(ISBLANK(JP!Z442),"","x")</f>
        <v/>
      </c>
      <c r="AA438" t="str">
        <f>IF(ISBLANK(JP!AB442),"","x")</f>
        <v/>
      </c>
      <c r="AB438" t="str">
        <f>IF(ISBLANK(JP!AC442),"","x")</f>
        <v/>
      </c>
      <c r="AC438" t="str">
        <f>IF(ISBLANK(JP!AD442),"","x")</f>
        <v/>
      </c>
      <c r="AD438" t="str">
        <f>IF(ISBLANK(JP!AE442),"","x")</f>
        <v/>
      </c>
      <c r="AE438" t="str">
        <f>IF(ISBLANK(JP!AF442),"","x")</f>
        <v/>
      </c>
      <c r="AF438" t="str">
        <f>IF(ISBLANK(JP!AG442),"","x")</f>
        <v/>
      </c>
      <c r="AG438" t="str">
        <f>IF(ISBLANK(JP!AH442),"","x")</f>
        <v/>
      </c>
      <c r="AH438" t="str">
        <f>IF(ISBLANK(JP!AJ442),"","x")</f>
        <v/>
      </c>
      <c r="AI438" t="str">
        <f>IF(ISBLANK(JP!AK442),"","x")</f>
        <v/>
      </c>
      <c r="AJ438" t="str">
        <f>IF(ISBLANK(JP!AL442),"","x")</f>
        <v/>
      </c>
      <c r="AK438" t="str">
        <f>IF(ISBLANK(JP!AM442),"","x")</f>
        <v/>
      </c>
      <c r="AL438" t="str">
        <f>IF(ISBLANK(JP!AN442),"","x")</f>
        <v/>
      </c>
      <c r="AM438" t="str">
        <f>IF(ISBLANK(JP!AO442),"","x")</f>
        <v/>
      </c>
      <c r="AN438" t="str">
        <f>IF(ISBLANK(JP!AP442),"","x")</f>
        <v/>
      </c>
      <c r="AO438" t="str">
        <f>IF(ISBLANK(JP!AR442),"","x")</f>
        <v/>
      </c>
      <c r="AP438" t="str">
        <f>IF(ISBLANK(JP!AS442),"","x")</f>
        <v/>
      </c>
      <c r="AQ438" t="str">
        <f>IF(ISBLANK(JP!AT442),"","x")</f>
        <v/>
      </c>
      <c r="AR438" t="str">
        <f>IF(ISBLANK(JP!AU442),"","x")</f>
        <v/>
      </c>
      <c r="AS438" t="str">
        <f>IF(ISBLANK(JP!AV442),"","x")</f>
        <v/>
      </c>
      <c r="AT438" t="str">
        <f>IF(ISBLANK(JP!AW442),"","x")</f>
        <v/>
      </c>
      <c r="AU438" t="str">
        <f>IF(ISBLANK(JP!AX442),"","x")</f>
        <v/>
      </c>
    </row>
    <row r="439" spans="2:47">
      <c r="B439" t="str">
        <f>IF(ISBLANK(JP!AZ443),"",JP!AZ443)</f>
        <v/>
      </c>
      <c r="C439" t="str">
        <f>IF(ISBLANK(JP!BA443),"",JP!BA443)</f>
        <v/>
      </c>
      <c r="D439" t="str">
        <f>IF(ISBLANK(JP!BC443),"",JP!BC443)</f>
        <v/>
      </c>
      <c r="E439" t="str">
        <f>IF(ISBLANK(JP!BB443),"",JP!BB443)</f>
        <v/>
      </c>
      <c r="F439" t="str">
        <f>IF(ISBLANK(JP!D443),"","x")</f>
        <v/>
      </c>
      <c r="G439" t="str">
        <f>IF(ISBLANK(JP!E443),"","x")</f>
        <v/>
      </c>
      <c r="H439" t="str">
        <f>IF(ISBLANK(JP!F443),"","x")</f>
        <v/>
      </c>
      <c r="I439" t="str">
        <f>IF(ISBLANK(JP!G443),"","x")</f>
        <v/>
      </c>
      <c r="J439" t="str">
        <f>IF(ISBLANK(JP!H443),"","x")</f>
        <v/>
      </c>
      <c r="K439" t="str">
        <f>IF(ISBLANK(JP!I443),"","x")</f>
        <v/>
      </c>
      <c r="L439" t="str">
        <f>IF(ISBLANK(JP!J443),"","x")</f>
        <v/>
      </c>
      <c r="M439" t="str">
        <f>IF(ISBLANK(JP!L443),"","x")</f>
        <v/>
      </c>
      <c r="N439" t="str">
        <f>IF(ISBLANK(JP!M443),"","x")</f>
        <v/>
      </c>
      <c r="O439" t="str">
        <f>IF(ISBLANK(JP!N443),"","x")</f>
        <v/>
      </c>
      <c r="P439" t="str">
        <f>IF(ISBLANK(JP!O443),"","x")</f>
        <v/>
      </c>
      <c r="Q439" t="str">
        <f>IF(ISBLANK(JP!P443),"","x")</f>
        <v/>
      </c>
      <c r="R439" t="str">
        <f>IF(ISBLANK(JP!Q443),"","x")</f>
        <v/>
      </c>
      <c r="S439" t="str">
        <f>IF(ISBLANK(JP!R443),"","x")</f>
        <v/>
      </c>
      <c r="T439" t="str">
        <f>IF(ISBLANK(JP!T443),"","x")</f>
        <v/>
      </c>
      <c r="U439" t="str">
        <f>IF(ISBLANK(JP!U443),"","x")</f>
        <v/>
      </c>
      <c r="V439" t="str">
        <f>IF(ISBLANK(JP!V443),"","x")</f>
        <v/>
      </c>
      <c r="W439" t="str">
        <f>IF(ISBLANK(JP!W443),"","x")</f>
        <v/>
      </c>
      <c r="X439" t="str">
        <f>IF(ISBLANK(JP!X443),"","x")</f>
        <v/>
      </c>
      <c r="Y439" t="str">
        <f>IF(ISBLANK(JP!Y443),"","x")</f>
        <v/>
      </c>
      <c r="Z439" t="str">
        <f>IF(ISBLANK(JP!Z443),"","x")</f>
        <v/>
      </c>
      <c r="AA439" t="str">
        <f>IF(ISBLANK(JP!AB443),"","x")</f>
        <v/>
      </c>
      <c r="AB439" t="str">
        <f>IF(ISBLANK(JP!AC443),"","x")</f>
        <v/>
      </c>
      <c r="AC439" t="str">
        <f>IF(ISBLANK(JP!AD443),"","x")</f>
        <v/>
      </c>
      <c r="AD439" t="str">
        <f>IF(ISBLANK(JP!AE443),"","x")</f>
        <v/>
      </c>
      <c r="AE439" t="str">
        <f>IF(ISBLANK(JP!AF443),"","x")</f>
        <v/>
      </c>
      <c r="AF439" t="str">
        <f>IF(ISBLANK(JP!AG443),"","x")</f>
        <v/>
      </c>
      <c r="AG439" t="str">
        <f>IF(ISBLANK(JP!AH443),"","x")</f>
        <v/>
      </c>
      <c r="AH439" t="str">
        <f>IF(ISBLANK(JP!AJ443),"","x")</f>
        <v/>
      </c>
      <c r="AI439" t="str">
        <f>IF(ISBLANK(JP!AK443),"","x")</f>
        <v/>
      </c>
      <c r="AJ439" t="str">
        <f>IF(ISBLANK(JP!AL443),"","x")</f>
        <v/>
      </c>
      <c r="AK439" t="str">
        <f>IF(ISBLANK(JP!AM443),"","x")</f>
        <v/>
      </c>
      <c r="AL439" t="str">
        <f>IF(ISBLANK(JP!AN443),"","x")</f>
        <v/>
      </c>
      <c r="AM439" t="str">
        <f>IF(ISBLANK(JP!AO443),"","x")</f>
        <v/>
      </c>
      <c r="AN439" t="str">
        <f>IF(ISBLANK(JP!AP443),"","x")</f>
        <v/>
      </c>
      <c r="AO439" t="str">
        <f>IF(ISBLANK(JP!AR443),"","x")</f>
        <v/>
      </c>
      <c r="AP439" t="str">
        <f>IF(ISBLANK(JP!AS443),"","x")</f>
        <v/>
      </c>
      <c r="AQ439" t="str">
        <f>IF(ISBLANK(JP!AT443),"","x")</f>
        <v/>
      </c>
      <c r="AR439" t="str">
        <f>IF(ISBLANK(JP!AU443),"","x")</f>
        <v/>
      </c>
      <c r="AS439" t="str">
        <f>IF(ISBLANK(JP!AV443),"","x")</f>
        <v/>
      </c>
      <c r="AT439" t="str">
        <f>IF(ISBLANK(JP!AW443),"","x")</f>
        <v/>
      </c>
      <c r="AU439" t="str">
        <f>IF(ISBLANK(JP!AX443),"","x")</f>
        <v/>
      </c>
    </row>
    <row r="440" spans="2:47">
      <c r="B440" t="str">
        <f>IF(ISBLANK(JP!AZ444),"",JP!AZ444)</f>
        <v/>
      </c>
      <c r="C440" t="str">
        <f>IF(ISBLANK(JP!BA444),"",JP!BA444)</f>
        <v/>
      </c>
      <c r="D440" t="str">
        <f>IF(ISBLANK(JP!BC444),"",JP!BC444)</f>
        <v/>
      </c>
      <c r="E440" t="str">
        <f>IF(ISBLANK(JP!BB444),"",JP!BB444)</f>
        <v/>
      </c>
      <c r="F440" t="str">
        <f>IF(ISBLANK(JP!D444),"","x")</f>
        <v/>
      </c>
      <c r="G440" t="str">
        <f>IF(ISBLANK(JP!E444),"","x")</f>
        <v/>
      </c>
      <c r="H440" t="str">
        <f>IF(ISBLANK(JP!F444),"","x")</f>
        <v/>
      </c>
      <c r="I440" t="str">
        <f>IF(ISBLANK(JP!G444),"","x")</f>
        <v/>
      </c>
      <c r="J440" t="str">
        <f>IF(ISBLANK(JP!H444),"","x")</f>
        <v/>
      </c>
      <c r="K440" t="str">
        <f>IF(ISBLANK(JP!I444),"","x")</f>
        <v/>
      </c>
      <c r="L440" t="str">
        <f>IF(ISBLANK(JP!J444),"","x")</f>
        <v/>
      </c>
      <c r="M440" t="str">
        <f>IF(ISBLANK(JP!L444),"","x")</f>
        <v/>
      </c>
      <c r="N440" t="str">
        <f>IF(ISBLANK(JP!M444),"","x")</f>
        <v/>
      </c>
      <c r="O440" t="str">
        <f>IF(ISBLANK(JP!N444),"","x")</f>
        <v/>
      </c>
      <c r="P440" t="str">
        <f>IF(ISBLANK(JP!O444),"","x")</f>
        <v/>
      </c>
      <c r="Q440" t="str">
        <f>IF(ISBLANK(JP!P444),"","x")</f>
        <v/>
      </c>
      <c r="R440" t="str">
        <f>IF(ISBLANK(JP!Q444),"","x")</f>
        <v/>
      </c>
      <c r="S440" t="str">
        <f>IF(ISBLANK(JP!R444),"","x")</f>
        <v/>
      </c>
      <c r="T440" t="str">
        <f>IF(ISBLANK(JP!T444),"","x")</f>
        <v/>
      </c>
      <c r="U440" t="str">
        <f>IF(ISBLANK(JP!U444),"","x")</f>
        <v/>
      </c>
      <c r="V440" t="str">
        <f>IF(ISBLANK(JP!V444),"","x")</f>
        <v/>
      </c>
      <c r="W440" t="str">
        <f>IF(ISBLANK(JP!W444),"","x")</f>
        <v/>
      </c>
      <c r="X440" t="str">
        <f>IF(ISBLANK(JP!X444),"","x")</f>
        <v/>
      </c>
      <c r="Y440" t="str">
        <f>IF(ISBLANK(JP!Y444),"","x")</f>
        <v/>
      </c>
      <c r="Z440" t="str">
        <f>IF(ISBLANK(JP!Z444),"","x")</f>
        <v/>
      </c>
      <c r="AA440" t="str">
        <f>IF(ISBLANK(JP!AB444),"","x")</f>
        <v/>
      </c>
      <c r="AB440" t="str">
        <f>IF(ISBLANK(JP!AC444),"","x")</f>
        <v/>
      </c>
      <c r="AC440" t="str">
        <f>IF(ISBLANK(JP!AD444),"","x")</f>
        <v/>
      </c>
      <c r="AD440" t="str">
        <f>IF(ISBLANK(JP!AE444),"","x")</f>
        <v/>
      </c>
      <c r="AE440" t="str">
        <f>IF(ISBLANK(JP!AF444),"","x")</f>
        <v/>
      </c>
      <c r="AF440" t="str">
        <f>IF(ISBLANK(JP!AG444),"","x")</f>
        <v/>
      </c>
      <c r="AG440" t="str">
        <f>IF(ISBLANK(JP!AH444),"","x")</f>
        <v/>
      </c>
      <c r="AH440" t="str">
        <f>IF(ISBLANK(JP!AJ444),"","x")</f>
        <v/>
      </c>
      <c r="AI440" t="str">
        <f>IF(ISBLANK(JP!AK444),"","x")</f>
        <v/>
      </c>
      <c r="AJ440" t="str">
        <f>IF(ISBLANK(JP!AL444),"","x")</f>
        <v/>
      </c>
      <c r="AK440" t="str">
        <f>IF(ISBLANK(JP!AM444),"","x")</f>
        <v/>
      </c>
      <c r="AL440" t="str">
        <f>IF(ISBLANK(JP!AN444),"","x")</f>
        <v/>
      </c>
      <c r="AM440" t="str">
        <f>IF(ISBLANK(JP!AO444),"","x")</f>
        <v/>
      </c>
      <c r="AN440" t="str">
        <f>IF(ISBLANK(JP!AP444),"","x")</f>
        <v/>
      </c>
      <c r="AO440" t="str">
        <f>IF(ISBLANK(JP!AR444),"","x")</f>
        <v/>
      </c>
      <c r="AP440" t="str">
        <f>IF(ISBLANK(JP!AS444),"","x")</f>
        <v/>
      </c>
      <c r="AQ440" t="str">
        <f>IF(ISBLANK(JP!AT444),"","x")</f>
        <v/>
      </c>
      <c r="AR440" t="str">
        <f>IF(ISBLANK(JP!AU444),"","x")</f>
        <v/>
      </c>
      <c r="AS440" t="str">
        <f>IF(ISBLANK(JP!AV444),"","x")</f>
        <v/>
      </c>
      <c r="AT440" t="str">
        <f>IF(ISBLANK(JP!AW444),"","x")</f>
        <v/>
      </c>
      <c r="AU440" t="str">
        <f>IF(ISBLANK(JP!AX444),"","x")</f>
        <v/>
      </c>
    </row>
    <row r="441" spans="2:47">
      <c r="B441" t="str">
        <f>IF(ISBLANK(JP!AZ445),"",JP!AZ445)</f>
        <v/>
      </c>
      <c r="C441" t="str">
        <f>IF(ISBLANK(JP!BA445),"",JP!BA445)</f>
        <v/>
      </c>
      <c r="D441" t="str">
        <f>IF(ISBLANK(JP!BC445),"",JP!BC445)</f>
        <v/>
      </c>
      <c r="E441" t="str">
        <f>IF(ISBLANK(JP!BB445),"",JP!BB445)</f>
        <v/>
      </c>
      <c r="F441" t="str">
        <f>IF(ISBLANK(JP!D445),"","x")</f>
        <v/>
      </c>
      <c r="G441" t="str">
        <f>IF(ISBLANK(JP!E445),"","x")</f>
        <v/>
      </c>
      <c r="H441" t="str">
        <f>IF(ISBLANK(JP!F445),"","x")</f>
        <v/>
      </c>
      <c r="I441" t="str">
        <f>IF(ISBLANK(JP!G445),"","x")</f>
        <v/>
      </c>
      <c r="J441" t="str">
        <f>IF(ISBLANK(JP!H445),"","x")</f>
        <v/>
      </c>
      <c r="K441" t="str">
        <f>IF(ISBLANK(JP!I445),"","x")</f>
        <v/>
      </c>
      <c r="L441" t="str">
        <f>IF(ISBLANK(JP!J445),"","x")</f>
        <v/>
      </c>
      <c r="M441" t="str">
        <f>IF(ISBLANK(JP!L445),"","x")</f>
        <v/>
      </c>
      <c r="N441" t="str">
        <f>IF(ISBLANK(JP!M445),"","x")</f>
        <v/>
      </c>
      <c r="O441" t="str">
        <f>IF(ISBLANK(JP!N445),"","x")</f>
        <v/>
      </c>
      <c r="P441" t="str">
        <f>IF(ISBLANK(JP!O445),"","x")</f>
        <v/>
      </c>
      <c r="Q441" t="str">
        <f>IF(ISBLANK(JP!P445),"","x")</f>
        <v/>
      </c>
      <c r="R441" t="str">
        <f>IF(ISBLANK(JP!Q445),"","x")</f>
        <v/>
      </c>
      <c r="S441" t="str">
        <f>IF(ISBLANK(JP!R445),"","x")</f>
        <v/>
      </c>
      <c r="T441" t="str">
        <f>IF(ISBLANK(JP!T445),"","x")</f>
        <v/>
      </c>
      <c r="U441" t="str">
        <f>IF(ISBLANK(JP!U445),"","x")</f>
        <v/>
      </c>
      <c r="V441" t="str">
        <f>IF(ISBLANK(JP!V445),"","x")</f>
        <v/>
      </c>
      <c r="W441" t="str">
        <f>IF(ISBLANK(JP!W445),"","x")</f>
        <v/>
      </c>
      <c r="X441" t="str">
        <f>IF(ISBLANK(JP!X445),"","x")</f>
        <v/>
      </c>
      <c r="Y441" t="str">
        <f>IF(ISBLANK(JP!Y445),"","x")</f>
        <v/>
      </c>
      <c r="Z441" t="str">
        <f>IF(ISBLANK(JP!Z445),"","x")</f>
        <v/>
      </c>
      <c r="AA441" t="str">
        <f>IF(ISBLANK(JP!AB445),"","x")</f>
        <v/>
      </c>
      <c r="AB441" t="str">
        <f>IF(ISBLANK(JP!AC445),"","x")</f>
        <v/>
      </c>
      <c r="AC441" t="str">
        <f>IF(ISBLANK(JP!AD445),"","x")</f>
        <v/>
      </c>
      <c r="AD441" t="str">
        <f>IF(ISBLANK(JP!AE445),"","x")</f>
        <v/>
      </c>
      <c r="AE441" t="str">
        <f>IF(ISBLANK(JP!AF445),"","x")</f>
        <v/>
      </c>
      <c r="AF441" t="str">
        <f>IF(ISBLANK(JP!AG445),"","x")</f>
        <v/>
      </c>
      <c r="AG441" t="str">
        <f>IF(ISBLANK(JP!AH445),"","x")</f>
        <v/>
      </c>
      <c r="AH441" t="str">
        <f>IF(ISBLANK(JP!AJ445),"","x")</f>
        <v/>
      </c>
      <c r="AI441" t="str">
        <f>IF(ISBLANK(JP!AK445),"","x")</f>
        <v/>
      </c>
      <c r="AJ441" t="str">
        <f>IF(ISBLANK(JP!AL445),"","x")</f>
        <v/>
      </c>
      <c r="AK441" t="str">
        <f>IF(ISBLANK(JP!AM445),"","x")</f>
        <v/>
      </c>
      <c r="AL441" t="str">
        <f>IF(ISBLANK(JP!AN445),"","x")</f>
        <v/>
      </c>
      <c r="AM441" t="str">
        <f>IF(ISBLANK(JP!AO445),"","x")</f>
        <v/>
      </c>
      <c r="AN441" t="str">
        <f>IF(ISBLANK(JP!AP445),"","x")</f>
        <v/>
      </c>
      <c r="AO441" t="str">
        <f>IF(ISBLANK(JP!AR445),"","x")</f>
        <v/>
      </c>
      <c r="AP441" t="str">
        <f>IF(ISBLANK(JP!AS445),"","x")</f>
        <v/>
      </c>
      <c r="AQ441" t="str">
        <f>IF(ISBLANK(JP!AT445),"","x")</f>
        <v/>
      </c>
      <c r="AR441" t="str">
        <f>IF(ISBLANK(JP!AU445),"","x")</f>
        <v/>
      </c>
      <c r="AS441" t="str">
        <f>IF(ISBLANK(JP!AV445),"","x")</f>
        <v/>
      </c>
      <c r="AT441" t="str">
        <f>IF(ISBLANK(JP!AW445),"","x")</f>
        <v/>
      </c>
      <c r="AU441" t="str">
        <f>IF(ISBLANK(JP!AX445),"","x")</f>
        <v/>
      </c>
    </row>
    <row r="442" spans="2:47">
      <c r="B442" t="str">
        <f>IF(ISBLANK(JP!AZ446),"",JP!AZ446)</f>
        <v/>
      </c>
      <c r="C442" t="str">
        <f>IF(ISBLANK(JP!BA446),"",JP!BA446)</f>
        <v/>
      </c>
      <c r="D442" t="str">
        <f>IF(ISBLANK(JP!BC446),"",JP!BC446)</f>
        <v/>
      </c>
      <c r="E442" t="str">
        <f>IF(ISBLANK(JP!BB446),"",JP!BB446)</f>
        <v/>
      </c>
      <c r="F442" t="str">
        <f>IF(ISBLANK(JP!D446),"","x")</f>
        <v/>
      </c>
      <c r="G442" t="str">
        <f>IF(ISBLANK(JP!E446),"","x")</f>
        <v/>
      </c>
      <c r="H442" t="str">
        <f>IF(ISBLANK(JP!F446),"","x")</f>
        <v/>
      </c>
      <c r="I442" t="str">
        <f>IF(ISBLANK(JP!G446),"","x")</f>
        <v/>
      </c>
      <c r="J442" t="str">
        <f>IF(ISBLANK(JP!H446),"","x")</f>
        <v/>
      </c>
      <c r="K442" t="str">
        <f>IF(ISBLANK(JP!I446),"","x")</f>
        <v/>
      </c>
      <c r="L442" t="str">
        <f>IF(ISBLANK(JP!J446),"","x")</f>
        <v/>
      </c>
      <c r="M442" t="str">
        <f>IF(ISBLANK(JP!L446),"","x")</f>
        <v/>
      </c>
      <c r="N442" t="str">
        <f>IF(ISBLANK(JP!M446),"","x")</f>
        <v/>
      </c>
      <c r="O442" t="str">
        <f>IF(ISBLANK(JP!N446),"","x")</f>
        <v/>
      </c>
      <c r="P442" t="str">
        <f>IF(ISBLANK(JP!O446),"","x")</f>
        <v/>
      </c>
      <c r="Q442" t="str">
        <f>IF(ISBLANK(JP!P446),"","x")</f>
        <v/>
      </c>
      <c r="R442" t="str">
        <f>IF(ISBLANK(JP!Q446),"","x")</f>
        <v/>
      </c>
      <c r="S442" t="str">
        <f>IF(ISBLANK(JP!R446),"","x")</f>
        <v/>
      </c>
      <c r="T442" t="str">
        <f>IF(ISBLANK(JP!T446),"","x")</f>
        <v/>
      </c>
      <c r="U442" t="str">
        <f>IF(ISBLANK(JP!U446),"","x")</f>
        <v/>
      </c>
      <c r="V442" t="str">
        <f>IF(ISBLANK(JP!V446),"","x")</f>
        <v/>
      </c>
      <c r="W442" t="str">
        <f>IF(ISBLANK(JP!W446),"","x")</f>
        <v/>
      </c>
      <c r="X442" t="str">
        <f>IF(ISBLANK(JP!X446),"","x")</f>
        <v/>
      </c>
      <c r="Y442" t="str">
        <f>IF(ISBLANK(JP!Y446),"","x")</f>
        <v/>
      </c>
      <c r="Z442" t="str">
        <f>IF(ISBLANK(JP!Z446),"","x")</f>
        <v/>
      </c>
      <c r="AA442" t="str">
        <f>IF(ISBLANK(JP!AB446),"","x")</f>
        <v/>
      </c>
      <c r="AB442" t="str">
        <f>IF(ISBLANK(JP!AC446),"","x")</f>
        <v/>
      </c>
      <c r="AC442" t="str">
        <f>IF(ISBLANK(JP!AD446),"","x")</f>
        <v/>
      </c>
      <c r="AD442" t="str">
        <f>IF(ISBLANK(JP!AE446),"","x")</f>
        <v/>
      </c>
      <c r="AE442" t="str">
        <f>IF(ISBLANK(JP!AF446),"","x")</f>
        <v/>
      </c>
      <c r="AF442" t="str">
        <f>IF(ISBLANK(JP!AG446),"","x")</f>
        <v/>
      </c>
      <c r="AG442" t="str">
        <f>IF(ISBLANK(JP!AH446),"","x")</f>
        <v/>
      </c>
      <c r="AH442" t="str">
        <f>IF(ISBLANK(JP!AJ446),"","x")</f>
        <v/>
      </c>
      <c r="AI442" t="str">
        <f>IF(ISBLANK(JP!AK446),"","x")</f>
        <v/>
      </c>
      <c r="AJ442" t="str">
        <f>IF(ISBLANK(JP!AL446),"","x")</f>
        <v/>
      </c>
      <c r="AK442" t="str">
        <f>IF(ISBLANK(JP!AM446),"","x")</f>
        <v/>
      </c>
      <c r="AL442" t="str">
        <f>IF(ISBLANK(JP!AN446),"","x")</f>
        <v/>
      </c>
      <c r="AM442" t="str">
        <f>IF(ISBLANK(JP!AO446),"","x")</f>
        <v/>
      </c>
      <c r="AN442" t="str">
        <f>IF(ISBLANK(JP!AP446),"","x")</f>
        <v/>
      </c>
      <c r="AO442" t="str">
        <f>IF(ISBLANK(JP!AR446),"","x")</f>
        <v/>
      </c>
      <c r="AP442" t="str">
        <f>IF(ISBLANK(JP!AS446),"","x")</f>
        <v/>
      </c>
      <c r="AQ442" t="str">
        <f>IF(ISBLANK(JP!AT446),"","x")</f>
        <v/>
      </c>
      <c r="AR442" t="str">
        <f>IF(ISBLANK(JP!AU446),"","x")</f>
        <v/>
      </c>
      <c r="AS442" t="str">
        <f>IF(ISBLANK(JP!AV446),"","x")</f>
        <v/>
      </c>
      <c r="AT442" t="str">
        <f>IF(ISBLANK(JP!AW446),"","x")</f>
        <v/>
      </c>
      <c r="AU442" t="str">
        <f>IF(ISBLANK(JP!AX446),"","x")</f>
        <v/>
      </c>
    </row>
    <row r="443" spans="2:47">
      <c r="B443" t="str">
        <f>IF(ISBLANK(JP!AZ447),"",JP!AZ447)</f>
        <v/>
      </c>
      <c r="C443" t="str">
        <f>IF(ISBLANK(JP!BA447),"",JP!BA447)</f>
        <v/>
      </c>
      <c r="D443" t="str">
        <f>IF(ISBLANK(JP!BC447),"",JP!BC447)</f>
        <v/>
      </c>
      <c r="E443" t="str">
        <f>IF(ISBLANK(JP!BB447),"",JP!BB447)</f>
        <v/>
      </c>
      <c r="F443" t="str">
        <f>IF(ISBLANK(JP!D447),"","x")</f>
        <v/>
      </c>
      <c r="G443" t="str">
        <f>IF(ISBLANK(JP!E447),"","x")</f>
        <v/>
      </c>
      <c r="H443" t="str">
        <f>IF(ISBLANK(JP!F447),"","x")</f>
        <v/>
      </c>
      <c r="I443" t="str">
        <f>IF(ISBLANK(JP!G447),"","x")</f>
        <v/>
      </c>
      <c r="J443" t="str">
        <f>IF(ISBLANK(JP!H447),"","x")</f>
        <v/>
      </c>
      <c r="K443" t="str">
        <f>IF(ISBLANK(JP!I447),"","x")</f>
        <v/>
      </c>
      <c r="L443" t="str">
        <f>IF(ISBLANK(JP!J447),"","x")</f>
        <v/>
      </c>
      <c r="M443" t="str">
        <f>IF(ISBLANK(JP!L447),"","x")</f>
        <v/>
      </c>
      <c r="N443" t="str">
        <f>IF(ISBLANK(JP!M447),"","x")</f>
        <v/>
      </c>
      <c r="O443" t="str">
        <f>IF(ISBLANK(JP!N447),"","x")</f>
        <v/>
      </c>
      <c r="P443" t="str">
        <f>IF(ISBLANK(JP!O447),"","x")</f>
        <v/>
      </c>
      <c r="Q443" t="str">
        <f>IF(ISBLANK(JP!P447),"","x")</f>
        <v/>
      </c>
      <c r="R443" t="str">
        <f>IF(ISBLANK(JP!Q447),"","x")</f>
        <v/>
      </c>
      <c r="S443" t="str">
        <f>IF(ISBLANK(JP!R447),"","x")</f>
        <v/>
      </c>
      <c r="T443" t="str">
        <f>IF(ISBLANK(JP!T447),"","x")</f>
        <v/>
      </c>
      <c r="U443" t="str">
        <f>IF(ISBLANK(JP!U447),"","x")</f>
        <v/>
      </c>
      <c r="V443" t="str">
        <f>IF(ISBLANK(JP!V447),"","x")</f>
        <v/>
      </c>
      <c r="W443" t="str">
        <f>IF(ISBLANK(JP!W447),"","x")</f>
        <v/>
      </c>
      <c r="X443" t="str">
        <f>IF(ISBLANK(JP!X447),"","x")</f>
        <v/>
      </c>
      <c r="Y443" t="str">
        <f>IF(ISBLANK(JP!Y447),"","x")</f>
        <v/>
      </c>
      <c r="Z443" t="str">
        <f>IF(ISBLANK(JP!Z447),"","x")</f>
        <v/>
      </c>
      <c r="AA443" t="str">
        <f>IF(ISBLANK(JP!AB447),"","x")</f>
        <v/>
      </c>
      <c r="AB443" t="str">
        <f>IF(ISBLANK(JP!AC447),"","x")</f>
        <v/>
      </c>
      <c r="AC443" t="str">
        <f>IF(ISBLANK(JP!AD447),"","x")</f>
        <v/>
      </c>
      <c r="AD443" t="str">
        <f>IF(ISBLANK(JP!AE447),"","x")</f>
        <v/>
      </c>
      <c r="AE443" t="str">
        <f>IF(ISBLANK(JP!AF447),"","x")</f>
        <v/>
      </c>
      <c r="AF443" t="str">
        <f>IF(ISBLANK(JP!AG447),"","x")</f>
        <v/>
      </c>
      <c r="AG443" t="str">
        <f>IF(ISBLANK(JP!AH447),"","x")</f>
        <v/>
      </c>
      <c r="AH443" t="str">
        <f>IF(ISBLANK(JP!AJ447),"","x")</f>
        <v/>
      </c>
      <c r="AI443" t="str">
        <f>IF(ISBLANK(JP!AK447),"","x")</f>
        <v/>
      </c>
      <c r="AJ443" t="str">
        <f>IF(ISBLANK(JP!AL447),"","x")</f>
        <v/>
      </c>
      <c r="AK443" t="str">
        <f>IF(ISBLANK(JP!AM447),"","x")</f>
        <v/>
      </c>
      <c r="AL443" t="str">
        <f>IF(ISBLANK(JP!AN447),"","x")</f>
        <v/>
      </c>
      <c r="AM443" t="str">
        <f>IF(ISBLANK(JP!AO447),"","x")</f>
        <v/>
      </c>
      <c r="AN443" t="str">
        <f>IF(ISBLANK(JP!AP447),"","x")</f>
        <v/>
      </c>
      <c r="AO443" t="str">
        <f>IF(ISBLANK(JP!AR447),"","x")</f>
        <v/>
      </c>
      <c r="AP443" t="str">
        <f>IF(ISBLANK(JP!AS447),"","x")</f>
        <v/>
      </c>
      <c r="AQ443" t="str">
        <f>IF(ISBLANK(JP!AT447),"","x")</f>
        <v/>
      </c>
      <c r="AR443" t="str">
        <f>IF(ISBLANK(JP!AU447),"","x")</f>
        <v/>
      </c>
      <c r="AS443" t="str">
        <f>IF(ISBLANK(JP!AV447),"","x")</f>
        <v/>
      </c>
      <c r="AT443" t="str">
        <f>IF(ISBLANK(JP!AW447),"","x")</f>
        <v/>
      </c>
      <c r="AU443" t="str">
        <f>IF(ISBLANK(JP!AX447),"","x")</f>
        <v/>
      </c>
    </row>
    <row r="444" spans="2:47">
      <c r="B444" t="str">
        <f>IF(ISBLANK(JP!AZ448),"",JP!AZ448)</f>
        <v/>
      </c>
      <c r="C444" t="str">
        <f>IF(ISBLANK(JP!BA448),"",JP!BA448)</f>
        <v/>
      </c>
      <c r="D444" t="str">
        <f>IF(ISBLANK(JP!BC448),"",JP!BC448)</f>
        <v/>
      </c>
      <c r="E444" t="str">
        <f>IF(ISBLANK(JP!BB448),"",JP!BB448)</f>
        <v/>
      </c>
      <c r="F444" t="str">
        <f>IF(ISBLANK(JP!D448),"","x")</f>
        <v/>
      </c>
      <c r="G444" t="str">
        <f>IF(ISBLANK(JP!E448),"","x")</f>
        <v/>
      </c>
      <c r="H444" t="str">
        <f>IF(ISBLANK(JP!F448),"","x")</f>
        <v/>
      </c>
      <c r="I444" t="str">
        <f>IF(ISBLANK(JP!G448),"","x")</f>
        <v/>
      </c>
      <c r="J444" t="str">
        <f>IF(ISBLANK(JP!H448),"","x")</f>
        <v/>
      </c>
      <c r="K444" t="str">
        <f>IF(ISBLANK(JP!I448),"","x")</f>
        <v/>
      </c>
      <c r="L444" t="str">
        <f>IF(ISBLANK(JP!J448),"","x")</f>
        <v/>
      </c>
      <c r="M444" t="str">
        <f>IF(ISBLANK(JP!L448),"","x")</f>
        <v/>
      </c>
      <c r="N444" t="str">
        <f>IF(ISBLANK(JP!M448),"","x")</f>
        <v/>
      </c>
      <c r="O444" t="str">
        <f>IF(ISBLANK(JP!N448),"","x")</f>
        <v/>
      </c>
      <c r="P444" t="str">
        <f>IF(ISBLANK(JP!O448),"","x")</f>
        <v/>
      </c>
      <c r="Q444" t="str">
        <f>IF(ISBLANK(JP!P448),"","x")</f>
        <v/>
      </c>
      <c r="R444" t="str">
        <f>IF(ISBLANK(JP!Q448),"","x")</f>
        <v/>
      </c>
      <c r="S444" t="str">
        <f>IF(ISBLANK(JP!R448),"","x")</f>
        <v/>
      </c>
      <c r="T444" t="str">
        <f>IF(ISBLANK(JP!T448),"","x")</f>
        <v/>
      </c>
      <c r="U444" t="str">
        <f>IF(ISBLANK(JP!U448),"","x")</f>
        <v/>
      </c>
      <c r="V444" t="str">
        <f>IF(ISBLANK(JP!V448),"","x")</f>
        <v/>
      </c>
      <c r="W444" t="str">
        <f>IF(ISBLANK(JP!W448),"","x")</f>
        <v/>
      </c>
      <c r="X444" t="str">
        <f>IF(ISBLANK(JP!X448),"","x")</f>
        <v/>
      </c>
      <c r="Y444" t="str">
        <f>IF(ISBLANK(JP!Y448),"","x")</f>
        <v/>
      </c>
      <c r="Z444" t="str">
        <f>IF(ISBLANK(JP!Z448),"","x")</f>
        <v/>
      </c>
      <c r="AA444" t="str">
        <f>IF(ISBLANK(JP!AB448),"","x")</f>
        <v/>
      </c>
      <c r="AB444" t="str">
        <f>IF(ISBLANK(JP!AC448),"","x")</f>
        <v/>
      </c>
      <c r="AC444" t="str">
        <f>IF(ISBLANK(JP!AD448),"","x")</f>
        <v/>
      </c>
      <c r="AD444" t="str">
        <f>IF(ISBLANK(JP!AE448),"","x")</f>
        <v/>
      </c>
      <c r="AE444" t="str">
        <f>IF(ISBLANK(JP!AF448),"","x")</f>
        <v/>
      </c>
      <c r="AF444" t="str">
        <f>IF(ISBLANK(JP!AG448),"","x")</f>
        <v/>
      </c>
      <c r="AG444" t="str">
        <f>IF(ISBLANK(JP!AH448),"","x")</f>
        <v/>
      </c>
      <c r="AH444" t="str">
        <f>IF(ISBLANK(JP!AJ448),"","x")</f>
        <v/>
      </c>
      <c r="AI444" t="str">
        <f>IF(ISBLANK(JP!AK448),"","x")</f>
        <v/>
      </c>
      <c r="AJ444" t="str">
        <f>IF(ISBLANK(JP!AL448),"","x")</f>
        <v/>
      </c>
      <c r="AK444" t="str">
        <f>IF(ISBLANK(JP!AM448),"","x")</f>
        <v/>
      </c>
      <c r="AL444" t="str">
        <f>IF(ISBLANK(JP!AN448),"","x")</f>
        <v/>
      </c>
      <c r="AM444" t="str">
        <f>IF(ISBLANK(JP!AO448),"","x")</f>
        <v/>
      </c>
      <c r="AN444" t="str">
        <f>IF(ISBLANK(JP!AP448),"","x")</f>
        <v/>
      </c>
      <c r="AO444" t="str">
        <f>IF(ISBLANK(JP!AR448),"","x")</f>
        <v/>
      </c>
      <c r="AP444" t="str">
        <f>IF(ISBLANK(JP!AS448),"","x")</f>
        <v/>
      </c>
      <c r="AQ444" t="str">
        <f>IF(ISBLANK(JP!AT448),"","x")</f>
        <v/>
      </c>
      <c r="AR444" t="str">
        <f>IF(ISBLANK(JP!AU448),"","x")</f>
        <v/>
      </c>
      <c r="AS444" t="str">
        <f>IF(ISBLANK(JP!AV448),"","x")</f>
        <v/>
      </c>
      <c r="AT444" t="str">
        <f>IF(ISBLANK(JP!AW448),"","x")</f>
        <v/>
      </c>
      <c r="AU444" t="str">
        <f>IF(ISBLANK(JP!AX448),"","x")</f>
        <v/>
      </c>
    </row>
    <row r="445" spans="2:47">
      <c r="B445" t="str">
        <f>IF(ISBLANK(JP!AZ449),"",JP!AZ449)</f>
        <v/>
      </c>
      <c r="C445" t="str">
        <f>IF(ISBLANK(JP!BA449),"",JP!BA449)</f>
        <v/>
      </c>
      <c r="D445" t="str">
        <f>IF(ISBLANK(JP!BC449),"",JP!BC449)</f>
        <v/>
      </c>
      <c r="E445" t="str">
        <f>IF(ISBLANK(JP!BB449),"",JP!BB449)</f>
        <v/>
      </c>
      <c r="F445" t="str">
        <f>IF(ISBLANK(JP!D449),"","x")</f>
        <v/>
      </c>
      <c r="G445" t="str">
        <f>IF(ISBLANK(JP!E449),"","x")</f>
        <v/>
      </c>
      <c r="H445" t="str">
        <f>IF(ISBLANK(JP!F449),"","x")</f>
        <v/>
      </c>
      <c r="I445" t="str">
        <f>IF(ISBLANK(JP!G449),"","x")</f>
        <v/>
      </c>
      <c r="J445" t="str">
        <f>IF(ISBLANK(JP!H449),"","x")</f>
        <v/>
      </c>
      <c r="K445" t="str">
        <f>IF(ISBLANK(JP!I449),"","x")</f>
        <v/>
      </c>
      <c r="L445" t="str">
        <f>IF(ISBLANK(JP!J449),"","x")</f>
        <v/>
      </c>
      <c r="M445" t="str">
        <f>IF(ISBLANK(JP!L449),"","x")</f>
        <v/>
      </c>
      <c r="N445" t="str">
        <f>IF(ISBLANK(JP!M449),"","x")</f>
        <v/>
      </c>
      <c r="O445" t="str">
        <f>IF(ISBLANK(JP!N449),"","x")</f>
        <v/>
      </c>
      <c r="P445" t="str">
        <f>IF(ISBLANK(JP!O449),"","x")</f>
        <v/>
      </c>
      <c r="Q445" t="str">
        <f>IF(ISBLANK(JP!P449),"","x")</f>
        <v/>
      </c>
      <c r="R445" t="str">
        <f>IF(ISBLANK(JP!Q449),"","x")</f>
        <v/>
      </c>
      <c r="S445" t="str">
        <f>IF(ISBLANK(JP!R449),"","x")</f>
        <v/>
      </c>
      <c r="T445" t="str">
        <f>IF(ISBLANK(JP!T449),"","x")</f>
        <v/>
      </c>
      <c r="U445" t="str">
        <f>IF(ISBLANK(JP!U449),"","x")</f>
        <v/>
      </c>
      <c r="V445" t="str">
        <f>IF(ISBLANK(JP!V449),"","x")</f>
        <v/>
      </c>
      <c r="W445" t="str">
        <f>IF(ISBLANK(JP!W449),"","x")</f>
        <v/>
      </c>
      <c r="X445" t="str">
        <f>IF(ISBLANK(JP!X449),"","x")</f>
        <v/>
      </c>
      <c r="Y445" t="str">
        <f>IF(ISBLANK(JP!Y449),"","x")</f>
        <v/>
      </c>
      <c r="Z445" t="str">
        <f>IF(ISBLANK(JP!Z449),"","x")</f>
        <v/>
      </c>
      <c r="AA445" t="str">
        <f>IF(ISBLANK(JP!AB449),"","x")</f>
        <v/>
      </c>
      <c r="AB445" t="str">
        <f>IF(ISBLANK(JP!AC449),"","x")</f>
        <v/>
      </c>
      <c r="AC445" t="str">
        <f>IF(ISBLANK(JP!AD449),"","x")</f>
        <v/>
      </c>
      <c r="AD445" t="str">
        <f>IF(ISBLANK(JP!AE449),"","x")</f>
        <v/>
      </c>
      <c r="AE445" t="str">
        <f>IF(ISBLANK(JP!AF449),"","x")</f>
        <v/>
      </c>
      <c r="AF445" t="str">
        <f>IF(ISBLANK(JP!AG449),"","x")</f>
        <v/>
      </c>
      <c r="AG445" t="str">
        <f>IF(ISBLANK(JP!AH449),"","x")</f>
        <v/>
      </c>
      <c r="AH445" t="str">
        <f>IF(ISBLANK(JP!AJ449),"","x")</f>
        <v/>
      </c>
      <c r="AI445" t="str">
        <f>IF(ISBLANK(JP!AK449),"","x")</f>
        <v/>
      </c>
      <c r="AJ445" t="str">
        <f>IF(ISBLANK(JP!AL449),"","x")</f>
        <v/>
      </c>
      <c r="AK445" t="str">
        <f>IF(ISBLANK(JP!AM449),"","x")</f>
        <v/>
      </c>
      <c r="AL445" t="str">
        <f>IF(ISBLANK(JP!AN449),"","x")</f>
        <v/>
      </c>
      <c r="AM445" t="str">
        <f>IF(ISBLANK(JP!AO449),"","x")</f>
        <v/>
      </c>
      <c r="AN445" t="str">
        <f>IF(ISBLANK(JP!AP449),"","x")</f>
        <v/>
      </c>
      <c r="AO445" t="str">
        <f>IF(ISBLANK(JP!AR449),"","x")</f>
        <v/>
      </c>
      <c r="AP445" t="str">
        <f>IF(ISBLANK(JP!AS449),"","x")</f>
        <v/>
      </c>
      <c r="AQ445" t="str">
        <f>IF(ISBLANK(JP!AT449),"","x")</f>
        <v/>
      </c>
      <c r="AR445" t="str">
        <f>IF(ISBLANK(JP!AU449),"","x")</f>
        <v/>
      </c>
      <c r="AS445" t="str">
        <f>IF(ISBLANK(JP!AV449),"","x")</f>
        <v/>
      </c>
      <c r="AT445" t="str">
        <f>IF(ISBLANK(JP!AW449),"","x")</f>
        <v/>
      </c>
      <c r="AU445" t="str">
        <f>IF(ISBLANK(JP!AX449),"","x")</f>
        <v/>
      </c>
    </row>
    <row r="446" spans="2:47">
      <c r="B446" t="str">
        <f>IF(ISBLANK(JP!AZ450),"",JP!AZ450)</f>
        <v/>
      </c>
      <c r="C446" t="str">
        <f>IF(ISBLANK(JP!BA450),"",JP!BA450)</f>
        <v/>
      </c>
      <c r="D446" t="str">
        <f>IF(ISBLANK(JP!BC450),"",JP!BC450)</f>
        <v/>
      </c>
      <c r="E446" t="str">
        <f>IF(ISBLANK(JP!BB450),"",JP!BB450)</f>
        <v/>
      </c>
      <c r="F446" t="str">
        <f>IF(ISBLANK(JP!D450),"","x")</f>
        <v/>
      </c>
      <c r="G446" t="str">
        <f>IF(ISBLANK(JP!E450),"","x")</f>
        <v/>
      </c>
      <c r="H446" t="str">
        <f>IF(ISBLANK(JP!F450),"","x")</f>
        <v/>
      </c>
      <c r="I446" t="str">
        <f>IF(ISBLANK(JP!G450),"","x")</f>
        <v/>
      </c>
      <c r="J446" t="str">
        <f>IF(ISBLANK(JP!H450),"","x")</f>
        <v/>
      </c>
      <c r="K446" t="str">
        <f>IF(ISBLANK(JP!I450),"","x")</f>
        <v/>
      </c>
      <c r="L446" t="str">
        <f>IF(ISBLANK(JP!J450),"","x")</f>
        <v/>
      </c>
      <c r="M446" t="str">
        <f>IF(ISBLANK(JP!L450),"","x")</f>
        <v/>
      </c>
      <c r="N446" t="str">
        <f>IF(ISBLANK(JP!M450),"","x")</f>
        <v/>
      </c>
      <c r="O446" t="str">
        <f>IF(ISBLANK(JP!N450),"","x")</f>
        <v/>
      </c>
      <c r="P446" t="str">
        <f>IF(ISBLANK(JP!O450),"","x")</f>
        <v/>
      </c>
      <c r="Q446" t="str">
        <f>IF(ISBLANK(JP!P450),"","x")</f>
        <v/>
      </c>
      <c r="R446" t="str">
        <f>IF(ISBLANK(JP!Q450),"","x")</f>
        <v/>
      </c>
      <c r="S446" t="str">
        <f>IF(ISBLANK(JP!R450),"","x")</f>
        <v/>
      </c>
      <c r="T446" t="str">
        <f>IF(ISBLANK(JP!T450),"","x")</f>
        <v/>
      </c>
      <c r="U446" t="str">
        <f>IF(ISBLANK(JP!U450),"","x")</f>
        <v/>
      </c>
      <c r="V446" t="str">
        <f>IF(ISBLANK(JP!V450),"","x")</f>
        <v/>
      </c>
      <c r="W446" t="str">
        <f>IF(ISBLANK(JP!W450),"","x")</f>
        <v/>
      </c>
      <c r="X446" t="str">
        <f>IF(ISBLANK(JP!X450),"","x")</f>
        <v/>
      </c>
      <c r="Y446" t="str">
        <f>IF(ISBLANK(JP!Y450),"","x")</f>
        <v/>
      </c>
      <c r="Z446" t="str">
        <f>IF(ISBLANK(JP!Z450),"","x")</f>
        <v/>
      </c>
      <c r="AA446" t="str">
        <f>IF(ISBLANK(JP!AB450),"","x")</f>
        <v/>
      </c>
      <c r="AB446" t="str">
        <f>IF(ISBLANK(JP!AC450),"","x")</f>
        <v/>
      </c>
      <c r="AC446" t="str">
        <f>IF(ISBLANK(JP!AD450),"","x")</f>
        <v/>
      </c>
      <c r="AD446" t="str">
        <f>IF(ISBLANK(JP!AE450),"","x")</f>
        <v/>
      </c>
      <c r="AE446" t="str">
        <f>IF(ISBLANK(JP!AF450),"","x")</f>
        <v/>
      </c>
      <c r="AF446" t="str">
        <f>IF(ISBLANK(JP!AG450),"","x")</f>
        <v/>
      </c>
      <c r="AG446" t="str">
        <f>IF(ISBLANK(JP!AH450),"","x")</f>
        <v/>
      </c>
      <c r="AH446" t="str">
        <f>IF(ISBLANK(JP!AJ450),"","x")</f>
        <v/>
      </c>
      <c r="AI446" t="str">
        <f>IF(ISBLANK(JP!AK450),"","x")</f>
        <v/>
      </c>
      <c r="AJ446" t="str">
        <f>IF(ISBLANK(JP!AL450),"","x")</f>
        <v/>
      </c>
      <c r="AK446" t="str">
        <f>IF(ISBLANK(JP!AM450),"","x")</f>
        <v/>
      </c>
      <c r="AL446" t="str">
        <f>IF(ISBLANK(JP!AN450),"","x")</f>
        <v/>
      </c>
      <c r="AM446" t="str">
        <f>IF(ISBLANK(JP!AO450),"","x")</f>
        <v/>
      </c>
      <c r="AN446" t="str">
        <f>IF(ISBLANK(JP!AP450),"","x")</f>
        <v/>
      </c>
      <c r="AO446" t="str">
        <f>IF(ISBLANK(JP!AR450),"","x")</f>
        <v/>
      </c>
      <c r="AP446" t="str">
        <f>IF(ISBLANK(JP!AS450),"","x")</f>
        <v/>
      </c>
      <c r="AQ446" t="str">
        <f>IF(ISBLANK(JP!AT450),"","x")</f>
        <v/>
      </c>
      <c r="AR446" t="str">
        <f>IF(ISBLANK(JP!AU450),"","x")</f>
        <v/>
      </c>
      <c r="AS446" t="str">
        <f>IF(ISBLANK(JP!AV450),"","x")</f>
        <v/>
      </c>
      <c r="AT446" t="str">
        <f>IF(ISBLANK(JP!AW450),"","x")</f>
        <v/>
      </c>
      <c r="AU446" t="str">
        <f>IF(ISBLANK(JP!AX450),"","x")</f>
        <v/>
      </c>
    </row>
    <row r="447" spans="2:47">
      <c r="B447" t="str">
        <f>IF(ISBLANK(JP!AZ451),"",JP!AZ451)</f>
        <v/>
      </c>
      <c r="C447" t="str">
        <f>IF(ISBLANK(JP!BA451),"",JP!BA451)</f>
        <v/>
      </c>
      <c r="D447" t="str">
        <f>IF(ISBLANK(JP!BC451),"",JP!BC451)</f>
        <v/>
      </c>
      <c r="E447" t="str">
        <f>IF(ISBLANK(JP!BB451),"",JP!BB451)</f>
        <v/>
      </c>
      <c r="F447" t="str">
        <f>IF(ISBLANK(JP!D451),"","x")</f>
        <v/>
      </c>
      <c r="G447" t="str">
        <f>IF(ISBLANK(JP!E451),"","x")</f>
        <v/>
      </c>
      <c r="H447" t="str">
        <f>IF(ISBLANK(JP!F451),"","x")</f>
        <v/>
      </c>
      <c r="I447" t="str">
        <f>IF(ISBLANK(JP!G451),"","x")</f>
        <v/>
      </c>
      <c r="J447" t="str">
        <f>IF(ISBLANK(JP!H451),"","x")</f>
        <v/>
      </c>
      <c r="K447" t="str">
        <f>IF(ISBLANK(JP!I451),"","x")</f>
        <v/>
      </c>
      <c r="L447" t="str">
        <f>IF(ISBLANK(JP!J451),"","x")</f>
        <v/>
      </c>
      <c r="M447" t="str">
        <f>IF(ISBLANK(JP!L451),"","x")</f>
        <v/>
      </c>
      <c r="N447" t="str">
        <f>IF(ISBLANK(JP!M451),"","x")</f>
        <v/>
      </c>
      <c r="O447" t="str">
        <f>IF(ISBLANK(JP!N451),"","x")</f>
        <v/>
      </c>
      <c r="P447" t="str">
        <f>IF(ISBLANK(JP!O451),"","x")</f>
        <v/>
      </c>
      <c r="Q447" t="str">
        <f>IF(ISBLANK(JP!P451),"","x")</f>
        <v/>
      </c>
      <c r="R447" t="str">
        <f>IF(ISBLANK(JP!Q451),"","x")</f>
        <v/>
      </c>
      <c r="S447" t="str">
        <f>IF(ISBLANK(JP!R451),"","x")</f>
        <v/>
      </c>
      <c r="T447" t="str">
        <f>IF(ISBLANK(JP!T451),"","x")</f>
        <v/>
      </c>
      <c r="U447" t="str">
        <f>IF(ISBLANK(JP!U451),"","x")</f>
        <v/>
      </c>
      <c r="V447" t="str">
        <f>IF(ISBLANK(JP!V451),"","x")</f>
        <v/>
      </c>
      <c r="W447" t="str">
        <f>IF(ISBLANK(JP!W451),"","x")</f>
        <v/>
      </c>
      <c r="X447" t="str">
        <f>IF(ISBLANK(JP!X451),"","x")</f>
        <v/>
      </c>
      <c r="Y447" t="str">
        <f>IF(ISBLANK(JP!Y451),"","x")</f>
        <v/>
      </c>
      <c r="Z447" t="str">
        <f>IF(ISBLANK(JP!Z451),"","x")</f>
        <v/>
      </c>
      <c r="AA447" t="str">
        <f>IF(ISBLANK(JP!AB451),"","x")</f>
        <v/>
      </c>
      <c r="AB447" t="str">
        <f>IF(ISBLANK(JP!AC451),"","x")</f>
        <v/>
      </c>
      <c r="AC447" t="str">
        <f>IF(ISBLANK(JP!AD451),"","x")</f>
        <v/>
      </c>
      <c r="AD447" t="str">
        <f>IF(ISBLANK(JP!AE451),"","x")</f>
        <v/>
      </c>
      <c r="AE447" t="str">
        <f>IF(ISBLANK(JP!AF451),"","x")</f>
        <v/>
      </c>
      <c r="AF447" t="str">
        <f>IF(ISBLANK(JP!AG451),"","x")</f>
        <v/>
      </c>
      <c r="AG447" t="str">
        <f>IF(ISBLANK(JP!AH451),"","x")</f>
        <v/>
      </c>
      <c r="AH447" t="str">
        <f>IF(ISBLANK(JP!AJ451),"","x")</f>
        <v/>
      </c>
      <c r="AI447" t="str">
        <f>IF(ISBLANK(JP!AK451),"","x")</f>
        <v/>
      </c>
      <c r="AJ447" t="str">
        <f>IF(ISBLANK(JP!AL451),"","x")</f>
        <v/>
      </c>
      <c r="AK447" t="str">
        <f>IF(ISBLANK(JP!AM451),"","x")</f>
        <v/>
      </c>
      <c r="AL447" t="str">
        <f>IF(ISBLANK(JP!AN451),"","x")</f>
        <v/>
      </c>
      <c r="AM447" t="str">
        <f>IF(ISBLANK(JP!AO451),"","x")</f>
        <v/>
      </c>
      <c r="AN447" t="str">
        <f>IF(ISBLANK(JP!AP451),"","x")</f>
        <v/>
      </c>
      <c r="AO447" t="str">
        <f>IF(ISBLANK(JP!AR451),"","x")</f>
        <v/>
      </c>
      <c r="AP447" t="str">
        <f>IF(ISBLANK(JP!AS451),"","x")</f>
        <v/>
      </c>
      <c r="AQ447" t="str">
        <f>IF(ISBLANK(JP!AT451),"","x")</f>
        <v/>
      </c>
      <c r="AR447" t="str">
        <f>IF(ISBLANK(JP!AU451),"","x")</f>
        <v/>
      </c>
      <c r="AS447" t="str">
        <f>IF(ISBLANK(JP!AV451),"","x")</f>
        <v/>
      </c>
      <c r="AT447" t="str">
        <f>IF(ISBLANK(JP!AW451),"","x")</f>
        <v/>
      </c>
      <c r="AU447" t="str">
        <f>IF(ISBLANK(JP!AX451),"","x")</f>
        <v/>
      </c>
    </row>
    <row r="448" spans="2:47">
      <c r="B448" t="str">
        <f>IF(ISBLANK(JP!AZ452),"",JP!AZ452)</f>
        <v/>
      </c>
      <c r="C448" t="str">
        <f>IF(ISBLANK(JP!BA452),"",JP!BA452)</f>
        <v/>
      </c>
      <c r="D448" t="str">
        <f>IF(ISBLANK(JP!BC452),"",JP!BC452)</f>
        <v/>
      </c>
      <c r="E448" t="str">
        <f>IF(ISBLANK(JP!BB452),"",JP!BB452)</f>
        <v/>
      </c>
      <c r="F448" t="str">
        <f>IF(ISBLANK(JP!D452),"","x")</f>
        <v/>
      </c>
      <c r="G448" t="str">
        <f>IF(ISBLANK(JP!E452),"","x")</f>
        <v/>
      </c>
      <c r="H448" t="str">
        <f>IF(ISBLANK(JP!F452),"","x")</f>
        <v/>
      </c>
      <c r="I448" t="str">
        <f>IF(ISBLANK(JP!G452),"","x")</f>
        <v/>
      </c>
      <c r="J448" t="str">
        <f>IF(ISBLANK(JP!H452),"","x")</f>
        <v/>
      </c>
      <c r="K448" t="str">
        <f>IF(ISBLANK(JP!I452),"","x")</f>
        <v/>
      </c>
      <c r="L448" t="str">
        <f>IF(ISBLANK(JP!J452),"","x")</f>
        <v/>
      </c>
      <c r="M448" t="str">
        <f>IF(ISBLANK(JP!L452),"","x")</f>
        <v/>
      </c>
      <c r="N448" t="str">
        <f>IF(ISBLANK(JP!M452),"","x")</f>
        <v/>
      </c>
      <c r="O448" t="str">
        <f>IF(ISBLANK(JP!N452),"","x")</f>
        <v/>
      </c>
      <c r="P448" t="str">
        <f>IF(ISBLANK(JP!O452),"","x")</f>
        <v/>
      </c>
      <c r="Q448" t="str">
        <f>IF(ISBLANK(JP!P452),"","x")</f>
        <v/>
      </c>
      <c r="R448" t="str">
        <f>IF(ISBLANK(JP!Q452),"","x")</f>
        <v/>
      </c>
      <c r="S448" t="str">
        <f>IF(ISBLANK(JP!R452),"","x")</f>
        <v/>
      </c>
      <c r="T448" t="str">
        <f>IF(ISBLANK(JP!T452),"","x")</f>
        <v/>
      </c>
      <c r="U448" t="str">
        <f>IF(ISBLANK(JP!U452),"","x")</f>
        <v/>
      </c>
      <c r="V448" t="str">
        <f>IF(ISBLANK(JP!V452),"","x")</f>
        <v/>
      </c>
      <c r="W448" t="str">
        <f>IF(ISBLANK(JP!W452),"","x")</f>
        <v/>
      </c>
      <c r="X448" t="str">
        <f>IF(ISBLANK(JP!X452),"","x")</f>
        <v/>
      </c>
      <c r="Y448" t="str">
        <f>IF(ISBLANK(JP!Y452),"","x")</f>
        <v/>
      </c>
      <c r="Z448" t="str">
        <f>IF(ISBLANK(JP!Z452),"","x")</f>
        <v/>
      </c>
      <c r="AA448" t="str">
        <f>IF(ISBLANK(JP!AB452),"","x")</f>
        <v/>
      </c>
      <c r="AB448" t="str">
        <f>IF(ISBLANK(JP!AC452),"","x")</f>
        <v/>
      </c>
      <c r="AC448" t="str">
        <f>IF(ISBLANK(JP!AD452),"","x")</f>
        <v/>
      </c>
      <c r="AD448" t="str">
        <f>IF(ISBLANK(JP!AE452),"","x")</f>
        <v/>
      </c>
      <c r="AE448" t="str">
        <f>IF(ISBLANK(JP!AF452),"","x")</f>
        <v/>
      </c>
      <c r="AF448" t="str">
        <f>IF(ISBLANK(JP!AG452),"","x")</f>
        <v/>
      </c>
      <c r="AG448" t="str">
        <f>IF(ISBLANK(JP!AH452),"","x")</f>
        <v/>
      </c>
      <c r="AH448" t="str">
        <f>IF(ISBLANK(JP!AJ452),"","x")</f>
        <v/>
      </c>
      <c r="AI448" t="str">
        <f>IF(ISBLANK(JP!AK452),"","x")</f>
        <v/>
      </c>
      <c r="AJ448" t="str">
        <f>IF(ISBLANK(JP!AL452),"","x")</f>
        <v/>
      </c>
      <c r="AK448" t="str">
        <f>IF(ISBLANK(JP!AM452),"","x")</f>
        <v/>
      </c>
      <c r="AL448" t="str">
        <f>IF(ISBLANK(JP!AN452),"","x")</f>
        <v/>
      </c>
      <c r="AM448" t="str">
        <f>IF(ISBLANK(JP!AO452),"","x")</f>
        <v/>
      </c>
      <c r="AN448" t="str">
        <f>IF(ISBLANK(JP!AP452),"","x")</f>
        <v/>
      </c>
      <c r="AO448" t="str">
        <f>IF(ISBLANK(JP!AR452),"","x")</f>
        <v/>
      </c>
      <c r="AP448" t="str">
        <f>IF(ISBLANK(JP!AS452),"","x")</f>
        <v/>
      </c>
      <c r="AQ448" t="str">
        <f>IF(ISBLANK(JP!AT452),"","x")</f>
        <v/>
      </c>
      <c r="AR448" t="str">
        <f>IF(ISBLANK(JP!AU452),"","x")</f>
        <v/>
      </c>
      <c r="AS448" t="str">
        <f>IF(ISBLANK(JP!AV452),"","x")</f>
        <v/>
      </c>
      <c r="AT448" t="str">
        <f>IF(ISBLANK(JP!AW452),"","x")</f>
        <v/>
      </c>
      <c r="AU448" t="str">
        <f>IF(ISBLANK(JP!AX452),"","x")</f>
        <v/>
      </c>
    </row>
    <row r="449" spans="2:47">
      <c r="B449" t="str">
        <f>IF(ISBLANK(JP!AZ453),"",JP!AZ453)</f>
        <v/>
      </c>
      <c r="C449" t="str">
        <f>IF(ISBLANK(JP!BA453),"",JP!BA453)</f>
        <v/>
      </c>
      <c r="D449" t="str">
        <f>IF(ISBLANK(JP!BC453),"",JP!BC453)</f>
        <v/>
      </c>
      <c r="E449" t="str">
        <f>IF(ISBLANK(JP!BB453),"",JP!BB453)</f>
        <v/>
      </c>
      <c r="F449" t="str">
        <f>IF(ISBLANK(JP!D453),"","x")</f>
        <v/>
      </c>
      <c r="G449" t="str">
        <f>IF(ISBLANK(JP!E453),"","x")</f>
        <v/>
      </c>
      <c r="H449" t="str">
        <f>IF(ISBLANK(JP!F453),"","x")</f>
        <v/>
      </c>
      <c r="I449" t="str">
        <f>IF(ISBLANK(JP!G453),"","x")</f>
        <v/>
      </c>
      <c r="J449" t="str">
        <f>IF(ISBLANK(JP!H453),"","x")</f>
        <v/>
      </c>
      <c r="K449" t="str">
        <f>IF(ISBLANK(JP!I453),"","x")</f>
        <v/>
      </c>
      <c r="L449" t="str">
        <f>IF(ISBLANK(JP!J453),"","x")</f>
        <v/>
      </c>
      <c r="M449" t="str">
        <f>IF(ISBLANK(JP!L453),"","x")</f>
        <v/>
      </c>
      <c r="N449" t="str">
        <f>IF(ISBLANK(JP!M453),"","x")</f>
        <v/>
      </c>
      <c r="O449" t="str">
        <f>IF(ISBLANK(JP!N453),"","x")</f>
        <v/>
      </c>
      <c r="P449" t="str">
        <f>IF(ISBLANK(JP!O453),"","x")</f>
        <v/>
      </c>
      <c r="Q449" t="str">
        <f>IF(ISBLANK(JP!P453),"","x")</f>
        <v/>
      </c>
      <c r="R449" t="str">
        <f>IF(ISBLANK(JP!Q453),"","x")</f>
        <v/>
      </c>
      <c r="S449" t="str">
        <f>IF(ISBLANK(JP!R453),"","x")</f>
        <v/>
      </c>
      <c r="T449" t="str">
        <f>IF(ISBLANK(JP!T453),"","x")</f>
        <v/>
      </c>
      <c r="U449" t="str">
        <f>IF(ISBLANK(JP!U453),"","x")</f>
        <v/>
      </c>
      <c r="V449" t="str">
        <f>IF(ISBLANK(JP!V453),"","x")</f>
        <v/>
      </c>
      <c r="W449" t="str">
        <f>IF(ISBLANK(JP!W453),"","x")</f>
        <v/>
      </c>
      <c r="X449" t="str">
        <f>IF(ISBLANK(JP!X453),"","x")</f>
        <v/>
      </c>
      <c r="Y449" t="str">
        <f>IF(ISBLANK(JP!Y453),"","x")</f>
        <v/>
      </c>
      <c r="Z449" t="str">
        <f>IF(ISBLANK(JP!Z453),"","x")</f>
        <v/>
      </c>
      <c r="AA449" t="str">
        <f>IF(ISBLANK(JP!AB453),"","x")</f>
        <v/>
      </c>
      <c r="AB449" t="str">
        <f>IF(ISBLANK(JP!AC453),"","x")</f>
        <v/>
      </c>
      <c r="AC449" t="str">
        <f>IF(ISBLANK(JP!AD453),"","x")</f>
        <v/>
      </c>
      <c r="AD449" t="str">
        <f>IF(ISBLANK(JP!AE453),"","x")</f>
        <v/>
      </c>
      <c r="AE449" t="str">
        <f>IF(ISBLANK(JP!AF453),"","x")</f>
        <v/>
      </c>
      <c r="AF449" t="str">
        <f>IF(ISBLANK(JP!AG453),"","x")</f>
        <v/>
      </c>
      <c r="AG449" t="str">
        <f>IF(ISBLANK(JP!AH453),"","x")</f>
        <v/>
      </c>
      <c r="AH449" t="str">
        <f>IF(ISBLANK(JP!AJ453),"","x")</f>
        <v/>
      </c>
      <c r="AI449" t="str">
        <f>IF(ISBLANK(JP!AK453),"","x")</f>
        <v/>
      </c>
      <c r="AJ449" t="str">
        <f>IF(ISBLANK(JP!AL453),"","x")</f>
        <v/>
      </c>
      <c r="AK449" t="str">
        <f>IF(ISBLANK(JP!AM453),"","x")</f>
        <v/>
      </c>
      <c r="AL449" t="str">
        <f>IF(ISBLANK(JP!AN453),"","x")</f>
        <v/>
      </c>
      <c r="AM449" t="str">
        <f>IF(ISBLANK(JP!AO453),"","x")</f>
        <v/>
      </c>
      <c r="AN449" t="str">
        <f>IF(ISBLANK(JP!AP453),"","x")</f>
        <v/>
      </c>
      <c r="AO449" t="str">
        <f>IF(ISBLANK(JP!AR453),"","x")</f>
        <v/>
      </c>
      <c r="AP449" t="str">
        <f>IF(ISBLANK(JP!AS453),"","x")</f>
        <v/>
      </c>
      <c r="AQ449" t="str">
        <f>IF(ISBLANK(JP!AT453),"","x")</f>
        <v/>
      </c>
      <c r="AR449" t="str">
        <f>IF(ISBLANK(JP!AU453),"","x")</f>
        <v/>
      </c>
      <c r="AS449" t="str">
        <f>IF(ISBLANK(JP!AV453),"","x")</f>
        <v/>
      </c>
      <c r="AT449" t="str">
        <f>IF(ISBLANK(JP!AW453),"","x")</f>
        <v/>
      </c>
      <c r="AU449" t="str">
        <f>IF(ISBLANK(JP!AX453),"","x")</f>
        <v/>
      </c>
    </row>
    <row r="450" spans="2:47">
      <c r="B450" t="str">
        <f>IF(ISBLANK(JP!AZ454),"",JP!AZ454)</f>
        <v/>
      </c>
      <c r="C450" t="str">
        <f>IF(ISBLANK(JP!BA454),"",JP!BA454)</f>
        <v/>
      </c>
      <c r="D450" t="str">
        <f>IF(ISBLANK(JP!BC454),"",JP!BC454)</f>
        <v/>
      </c>
      <c r="E450" t="str">
        <f>IF(ISBLANK(JP!BB454),"",JP!BB454)</f>
        <v/>
      </c>
      <c r="F450" t="str">
        <f>IF(ISBLANK(JP!D454),"","x")</f>
        <v/>
      </c>
      <c r="G450" t="str">
        <f>IF(ISBLANK(JP!E454),"","x")</f>
        <v/>
      </c>
      <c r="H450" t="str">
        <f>IF(ISBLANK(JP!F454),"","x")</f>
        <v/>
      </c>
      <c r="I450" t="str">
        <f>IF(ISBLANK(JP!G454),"","x")</f>
        <v/>
      </c>
      <c r="J450" t="str">
        <f>IF(ISBLANK(JP!H454),"","x")</f>
        <v/>
      </c>
      <c r="K450" t="str">
        <f>IF(ISBLANK(JP!I454),"","x")</f>
        <v/>
      </c>
      <c r="L450" t="str">
        <f>IF(ISBLANK(JP!J454),"","x")</f>
        <v/>
      </c>
      <c r="M450" t="str">
        <f>IF(ISBLANK(JP!L454),"","x")</f>
        <v/>
      </c>
      <c r="N450" t="str">
        <f>IF(ISBLANK(JP!M454),"","x")</f>
        <v/>
      </c>
      <c r="O450" t="str">
        <f>IF(ISBLANK(JP!N454),"","x")</f>
        <v/>
      </c>
      <c r="P450" t="str">
        <f>IF(ISBLANK(JP!O454),"","x")</f>
        <v/>
      </c>
      <c r="Q450" t="str">
        <f>IF(ISBLANK(JP!P454),"","x")</f>
        <v/>
      </c>
      <c r="R450" t="str">
        <f>IF(ISBLANK(JP!Q454),"","x")</f>
        <v/>
      </c>
      <c r="S450" t="str">
        <f>IF(ISBLANK(JP!R454),"","x")</f>
        <v/>
      </c>
      <c r="T450" t="str">
        <f>IF(ISBLANK(JP!T454),"","x")</f>
        <v/>
      </c>
      <c r="U450" t="str">
        <f>IF(ISBLANK(JP!U454),"","x")</f>
        <v/>
      </c>
      <c r="V450" t="str">
        <f>IF(ISBLANK(JP!V454),"","x")</f>
        <v/>
      </c>
      <c r="W450" t="str">
        <f>IF(ISBLANK(JP!W454),"","x")</f>
        <v/>
      </c>
      <c r="X450" t="str">
        <f>IF(ISBLANK(JP!X454),"","x")</f>
        <v/>
      </c>
      <c r="Y450" t="str">
        <f>IF(ISBLANK(JP!Y454),"","x")</f>
        <v/>
      </c>
      <c r="Z450" t="str">
        <f>IF(ISBLANK(JP!Z454),"","x")</f>
        <v/>
      </c>
      <c r="AA450" t="str">
        <f>IF(ISBLANK(JP!AB454),"","x")</f>
        <v/>
      </c>
      <c r="AB450" t="str">
        <f>IF(ISBLANK(JP!AC454),"","x")</f>
        <v/>
      </c>
      <c r="AC450" t="str">
        <f>IF(ISBLANK(JP!AD454),"","x")</f>
        <v/>
      </c>
      <c r="AD450" t="str">
        <f>IF(ISBLANK(JP!AE454),"","x")</f>
        <v/>
      </c>
      <c r="AE450" t="str">
        <f>IF(ISBLANK(JP!AF454),"","x")</f>
        <v/>
      </c>
      <c r="AF450" t="str">
        <f>IF(ISBLANK(JP!AG454),"","x")</f>
        <v/>
      </c>
      <c r="AG450" t="str">
        <f>IF(ISBLANK(JP!AH454),"","x")</f>
        <v/>
      </c>
      <c r="AH450" t="str">
        <f>IF(ISBLANK(JP!AJ454),"","x")</f>
        <v/>
      </c>
      <c r="AI450" t="str">
        <f>IF(ISBLANK(JP!AK454),"","x")</f>
        <v/>
      </c>
      <c r="AJ450" t="str">
        <f>IF(ISBLANK(JP!AL454),"","x")</f>
        <v/>
      </c>
      <c r="AK450" t="str">
        <f>IF(ISBLANK(JP!AM454),"","x")</f>
        <v/>
      </c>
      <c r="AL450" t="str">
        <f>IF(ISBLANK(JP!AN454),"","x")</f>
        <v/>
      </c>
      <c r="AM450" t="str">
        <f>IF(ISBLANK(JP!AO454),"","x")</f>
        <v/>
      </c>
      <c r="AN450" t="str">
        <f>IF(ISBLANK(JP!AP454),"","x")</f>
        <v/>
      </c>
      <c r="AO450" t="str">
        <f>IF(ISBLANK(JP!AR454),"","x")</f>
        <v/>
      </c>
      <c r="AP450" t="str">
        <f>IF(ISBLANK(JP!AS454),"","x")</f>
        <v/>
      </c>
      <c r="AQ450" t="str">
        <f>IF(ISBLANK(JP!AT454),"","x")</f>
        <v/>
      </c>
      <c r="AR450" t="str">
        <f>IF(ISBLANK(JP!AU454),"","x")</f>
        <v/>
      </c>
      <c r="AS450" t="str">
        <f>IF(ISBLANK(JP!AV454),"","x")</f>
        <v/>
      </c>
      <c r="AT450" t="str">
        <f>IF(ISBLANK(JP!AW454),"","x")</f>
        <v/>
      </c>
      <c r="AU450" t="str">
        <f>IF(ISBLANK(JP!AX454),"","x")</f>
        <v/>
      </c>
    </row>
    <row r="451" spans="2:47">
      <c r="B451" t="str">
        <f>IF(ISBLANK(JP!AZ455),"",JP!AZ455)</f>
        <v/>
      </c>
      <c r="C451" t="str">
        <f>IF(ISBLANK(JP!BA455),"",JP!BA455)</f>
        <v/>
      </c>
      <c r="D451" t="str">
        <f>IF(ISBLANK(JP!BC455),"",JP!BC455)</f>
        <v/>
      </c>
      <c r="E451" t="str">
        <f>IF(ISBLANK(JP!BB455),"",JP!BB455)</f>
        <v/>
      </c>
      <c r="F451" t="str">
        <f>IF(ISBLANK(JP!D455),"","x")</f>
        <v/>
      </c>
      <c r="G451" t="str">
        <f>IF(ISBLANK(JP!E455),"","x")</f>
        <v/>
      </c>
      <c r="H451" t="str">
        <f>IF(ISBLANK(JP!F455),"","x")</f>
        <v/>
      </c>
      <c r="I451" t="str">
        <f>IF(ISBLANK(JP!G455),"","x")</f>
        <v/>
      </c>
      <c r="J451" t="str">
        <f>IF(ISBLANK(JP!H455),"","x")</f>
        <v/>
      </c>
      <c r="K451" t="str">
        <f>IF(ISBLANK(JP!I455),"","x")</f>
        <v/>
      </c>
      <c r="L451" t="str">
        <f>IF(ISBLANK(JP!J455),"","x")</f>
        <v/>
      </c>
      <c r="M451" t="str">
        <f>IF(ISBLANK(JP!L455),"","x")</f>
        <v/>
      </c>
      <c r="N451" t="str">
        <f>IF(ISBLANK(JP!M455),"","x")</f>
        <v/>
      </c>
      <c r="O451" t="str">
        <f>IF(ISBLANK(JP!N455),"","x")</f>
        <v/>
      </c>
      <c r="P451" t="str">
        <f>IF(ISBLANK(JP!O455),"","x")</f>
        <v/>
      </c>
      <c r="Q451" t="str">
        <f>IF(ISBLANK(JP!P455),"","x")</f>
        <v/>
      </c>
      <c r="R451" t="str">
        <f>IF(ISBLANK(JP!Q455),"","x")</f>
        <v/>
      </c>
      <c r="S451" t="str">
        <f>IF(ISBLANK(JP!R455),"","x")</f>
        <v/>
      </c>
      <c r="T451" t="str">
        <f>IF(ISBLANK(JP!T455),"","x")</f>
        <v/>
      </c>
      <c r="U451" t="str">
        <f>IF(ISBLANK(JP!U455),"","x")</f>
        <v/>
      </c>
      <c r="V451" t="str">
        <f>IF(ISBLANK(JP!V455),"","x")</f>
        <v/>
      </c>
      <c r="W451" t="str">
        <f>IF(ISBLANK(JP!W455),"","x")</f>
        <v/>
      </c>
      <c r="X451" t="str">
        <f>IF(ISBLANK(JP!X455),"","x")</f>
        <v/>
      </c>
      <c r="Y451" t="str">
        <f>IF(ISBLANK(JP!Y455),"","x")</f>
        <v/>
      </c>
      <c r="Z451" t="str">
        <f>IF(ISBLANK(JP!Z455),"","x")</f>
        <v/>
      </c>
      <c r="AA451" t="str">
        <f>IF(ISBLANK(JP!AB455),"","x")</f>
        <v/>
      </c>
      <c r="AB451" t="str">
        <f>IF(ISBLANK(JP!AC455),"","x")</f>
        <v/>
      </c>
      <c r="AC451" t="str">
        <f>IF(ISBLANK(JP!AD455),"","x")</f>
        <v/>
      </c>
      <c r="AD451" t="str">
        <f>IF(ISBLANK(JP!AE455),"","x")</f>
        <v/>
      </c>
      <c r="AE451" t="str">
        <f>IF(ISBLANK(JP!AF455),"","x")</f>
        <v/>
      </c>
      <c r="AF451" t="str">
        <f>IF(ISBLANK(JP!AG455),"","x")</f>
        <v/>
      </c>
      <c r="AG451" t="str">
        <f>IF(ISBLANK(JP!AH455),"","x")</f>
        <v/>
      </c>
      <c r="AH451" t="str">
        <f>IF(ISBLANK(JP!AJ455),"","x")</f>
        <v/>
      </c>
      <c r="AI451" t="str">
        <f>IF(ISBLANK(JP!AK455),"","x")</f>
        <v/>
      </c>
      <c r="AJ451" t="str">
        <f>IF(ISBLANK(JP!AL455),"","x")</f>
        <v/>
      </c>
      <c r="AK451" t="str">
        <f>IF(ISBLANK(JP!AM455),"","x")</f>
        <v/>
      </c>
      <c r="AL451" t="str">
        <f>IF(ISBLANK(JP!AN455),"","x")</f>
        <v/>
      </c>
      <c r="AM451" t="str">
        <f>IF(ISBLANK(JP!AO455),"","x")</f>
        <v/>
      </c>
      <c r="AN451" t="str">
        <f>IF(ISBLANK(JP!AP455),"","x")</f>
        <v/>
      </c>
      <c r="AO451" t="str">
        <f>IF(ISBLANK(JP!AR455),"","x")</f>
        <v/>
      </c>
      <c r="AP451" t="str">
        <f>IF(ISBLANK(JP!AS455),"","x")</f>
        <v/>
      </c>
      <c r="AQ451" t="str">
        <f>IF(ISBLANK(JP!AT455),"","x")</f>
        <v/>
      </c>
      <c r="AR451" t="str">
        <f>IF(ISBLANK(JP!AU455),"","x")</f>
        <v/>
      </c>
      <c r="AS451" t="str">
        <f>IF(ISBLANK(JP!AV455),"","x")</f>
        <v/>
      </c>
      <c r="AT451" t="str">
        <f>IF(ISBLANK(JP!AW455),"","x")</f>
        <v/>
      </c>
      <c r="AU451" t="str">
        <f>IF(ISBLANK(JP!AX455),"","x")</f>
        <v/>
      </c>
    </row>
    <row r="452" spans="2:47">
      <c r="B452" t="str">
        <f>IF(ISBLANK(JP!AZ456),"",JP!AZ456)</f>
        <v/>
      </c>
      <c r="C452" t="str">
        <f>IF(ISBLANK(JP!BA456),"",JP!BA456)</f>
        <v/>
      </c>
      <c r="D452" t="str">
        <f>IF(ISBLANK(JP!BC456),"",JP!BC456)</f>
        <v/>
      </c>
      <c r="E452" t="str">
        <f>IF(ISBLANK(JP!BB456),"",JP!BB456)</f>
        <v/>
      </c>
      <c r="F452" t="str">
        <f>IF(ISBLANK(JP!D456),"","x")</f>
        <v/>
      </c>
      <c r="G452" t="str">
        <f>IF(ISBLANK(JP!E456),"","x")</f>
        <v/>
      </c>
      <c r="H452" t="str">
        <f>IF(ISBLANK(JP!F456),"","x")</f>
        <v/>
      </c>
      <c r="I452" t="str">
        <f>IF(ISBLANK(JP!G456),"","x")</f>
        <v/>
      </c>
      <c r="J452" t="str">
        <f>IF(ISBLANK(JP!H456),"","x")</f>
        <v/>
      </c>
      <c r="K452" t="str">
        <f>IF(ISBLANK(JP!I456),"","x")</f>
        <v/>
      </c>
      <c r="L452" t="str">
        <f>IF(ISBLANK(JP!J456),"","x")</f>
        <v/>
      </c>
      <c r="M452" t="str">
        <f>IF(ISBLANK(JP!L456),"","x")</f>
        <v/>
      </c>
      <c r="N452" t="str">
        <f>IF(ISBLANK(JP!M456),"","x")</f>
        <v/>
      </c>
      <c r="O452" t="str">
        <f>IF(ISBLANK(JP!N456),"","x")</f>
        <v/>
      </c>
      <c r="P452" t="str">
        <f>IF(ISBLANK(JP!O456),"","x")</f>
        <v/>
      </c>
      <c r="Q452" t="str">
        <f>IF(ISBLANK(JP!P456),"","x")</f>
        <v/>
      </c>
      <c r="R452" t="str">
        <f>IF(ISBLANK(JP!Q456),"","x")</f>
        <v/>
      </c>
      <c r="S452" t="str">
        <f>IF(ISBLANK(JP!R456),"","x")</f>
        <v/>
      </c>
      <c r="T452" t="str">
        <f>IF(ISBLANK(JP!T456),"","x")</f>
        <v/>
      </c>
      <c r="U452" t="str">
        <f>IF(ISBLANK(JP!U456),"","x")</f>
        <v/>
      </c>
      <c r="V452" t="str">
        <f>IF(ISBLANK(JP!V456),"","x")</f>
        <v/>
      </c>
      <c r="W452" t="str">
        <f>IF(ISBLANK(JP!W456),"","x")</f>
        <v/>
      </c>
      <c r="X452" t="str">
        <f>IF(ISBLANK(JP!X456),"","x")</f>
        <v/>
      </c>
      <c r="Y452" t="str">
        <f>IF(ISBLANK(JP!Y456),"","x")</f>
        <v/>
      </c>
      <c r="Z452" t="str">
        <f>IF(ISBLANK(JP!Z456),"","x")</f>
        <v/>
      </c>
      <c r="AA452" t="str">
        <f>IF(ISBLANK(JP!AB456),"","x")</f>
        <v/>
      </c>
      <c r="AB452" t="str">
        <f>IF(ISBLANK(JP!AC456),"","x")</f>
        <v/>
      </c>
      <c r="AC452" t="str">
        <f>IF(ISBLANK(JP!AD456),"","x")</f>
        <v/>
      </c>
      <c r="AD452" t="str">
        <f>IF(ISBLANK(JP!AE456),"","x")</f>
        <v/>
      </c>
      <c r="AE452" t="str">
        <f>IF(ISBLANK(JP!AF456),"","x")</f>
        <v/>
      </c>
      <c r="AF452" t="str">
        <f>IF(ISBLANK(JP!AG456),"","x")</f>
        <v/>
      </c>
      <c r="AG452" t="str">
        <f>IF(ISBLANK(JP!AH456),"","x")</f>
        <v/>
      </c>
      <c r="AH452" t="str">
        <f>IF(ISBLANK(JP!AJ456),"","x")</f>
        <v/>
      </c>
      <c r="AI452" t="str">
        <f>IF(ISBLANK(JP!AK456),"","x")</f>
        <v/>
      </c>
      <c r="AJ452" t="str">
        <f>IF(ISBLANK(JP!AL456),"","x")</f>
        <v/>
      </c>
      <c r="AK452" t="str">
        <f>IF(ISBLANK(JP!AM456),"","x")</f>
        <v/>
      </c>
      <c r="AL452" t="str">
        <f>IF(ISBLANK(JP!AN456),"","x")</f>
        <v/>
      </c>
      <c r="AM452" t="str">
        <f>IF(ISBLANK(JP!AO456),"","x")</f>
        <v/>
      </c>
      <c r="AN452" t="str">
        <f>IF(ISBLANK(JP!AP456),"","x")</f>
        <v/>
      </c>
      <c r="AO452" t="str">
        <f>IF(ISBLANK(JP!AR456),"","x")</f>
        <v/>
      </c>
      <c r="AP452" t="str">
        <f>IF(ISBLANK(JP!AS456),"","x")</f>
        <v/>
      </c>
      <c r="AQ452" t="str">
        <f>IF(ISBLANK(JP!AT456),"","x")</f>
        <v/>
      </c>
      <c r="AR452" t="str">
        <f>IF(ISBLANK(JP!AU456),"","x")</f>
        <v/>
      </c>
      <c r="AS452" t="str">
        <f>IF(ISBLANK(JP!AV456),"","x")</f>
        <v/>
      </c>
      <c r="AT452" t="str">
        <f>IF(ISBLANK(JP!AW456),"","x")</f>
        <v/>
      </c>
      <c r="AU452" t="str">
        <f>IF(ISBLANK(JP!AX456),"","x")</f>
        <v/>
      </c>
    </row>
    <row r="453" spans="2:47">
      <c r="B453" t="str">
        <f>IF(ISBLANK(JP!AZ457),"",JP!AZ457)</f>
        <v/>
      </c>
      <c r="C453" t="str">
        <f>IF(ISBLANK(JP!BA457),"",JP!BA457)</f>
        <v/>
      </c>
      <c r="D453" t="str">
        <f>IF(ISBLANK(JP!BC457),"",JP!BC457)</f>
        <v/>
      </c>
      <c r="E453" t="str">
        <f>IF(ISBLANK(JP!BB457),"",JP!BB457)</f>
        <v/>
      </c>
      <c r="F453" t="str">
        <f>IF(ISBLANK(JP!D457),"","x")</f>
        <v/>
      </c>
      <c r="G453" t="str">
        <f>IF(ISBLANK(JP!E457),"","x")</f>
        <v/>
      </c>
      <c r="H453" t="str">
        <f>IF(ISBLANK(JP!F457),"","x")</f>
        <v/>
      </c>
      <c r="I453" t="str">
        <f>IF(ISBLANK(JP!G457),"","x")</f>
        <v/>
      </c>
      <c r="J453" t="str">
        <f>IF(ISBLANK(JP!H457),"","x")</f>
        <v/>
      </c>
      <c r="K453" t="str">
        <f>IF(ISBLANK(JP!I457),"","x")</f>
        <v/>
      </c>
      <c r="L453" t="str">
        <f>IF(ISBLANK(JP!J457),"","x")</f>
        <v/>
      </c>
      <c r="M453" t="str">
        <f>IF(ISBLANK(JP!L457),"","x")</f>
        <v/>
      </c>
      <c r="N453" t="str">
        <f>IF(ISBLANK(JP!M457),"","x")</f>
        <v/>
      </c>
      <c r="O453" t="str">
        <f>IF(ISBLANK(JP!N457),"","x")</f>
        <v/>
      </c>
      <c r="P453" t="str">
        <f>IF(ISBLANK(JP!O457),"","x")</f>
        <v/>
      </c>
      <c r="Q453" t="str">
        <f>IF(ISBLANK(JP!P457),"","x")</f>
        <v/>
      </c>
      <c r="R453" t="str">
        <f>IF(ISBLANK(JP!Q457),"","x")</f>
        <v/>
      </c>
      <c r="S453" t="str">
        <f>IF(ISBLANK(JP!R457),"","x")</f>
        <v/>
      </c>
      <c r="T453" t="str">
        <f>IF(ISBLANK(JP!T457),"","x")</f>
        <v/>
      </c>
      <c r="U453" t="str">
        <f>IF(ISBLANK(JP!U457),"","x")</f>
        <v/>
      </c>
      <c r="V453" t="str">
        <f>IF(ISBLANK(JP!V457),"","x")</f>
        <v/>
      </c>
      <c r="W453" t="str">
        <f>IF(ISBLANK(JP!W457),"","x")</f>
        <v/>
      </c>
      <c r="X453" t="str">
        <f>IF(ISBLANK(JP!X457),"","x")</f>
        <v/>
      </c>
      <c r="Y453" t="str">
        <f>IF(ISBLANK(JP!Y457),"","x")</f>
        <v/>
      </c>
      <c r="Z453" t="str">
        <f>IF(ISBLANK(JP!Z457),"","x")</f>
        <v/>
      </c>
      <c r="AA453" t="str">
        <f>IF(ISBLANK(JP!AB457),"","x")</f>
        <v/>
      </c>
      <c r="AB453" t="str">
        <f>IF(ISBLANK(JP!AC457),"","x")</f>
        <v/>
      </c>
      <c r="AC453" t="str">
        <f>IF(ISBLANK(JP!AD457),"","x")</f>
        <v/>
      </c>
      <c r="AD453" t="str">
        <f>IF(ISBLANK(JP!AE457),"","x")</f>
        <v/>
      </c>
      <c r="AE453" t="str">
        <f>IF(ISBLANK(JP!AF457),"","x")</f>
        <v/>
      </c>
      <c r="AF453" t="str">
        <f>IF(ISBLANK(JP!AG457),"","x")</f>
        <v/>
      </c>
      <c r="AG453" t="str">
        <f>IF(ISBLANK(JP!AH457),"","x")</f>
        <v/>
      </c>
      <c r="AH453" t="str">
        <f>IF(ISBLANK(JP!AJ457),"","x")</f>
        <v/>
      </c>
      <c r="AI453" t="str">
        <f>IF(ISBLANK(JP!AK457),"","x")</f>
        <v/>
      </c>
      <c r="AJ453" t="str">
        <f>IF(ISBLANK(JP!AL457),"","x")</f>
        <v/>
      </c>
      <c r="AK453" t="str">
        <f>IF(ISBLANK(JP!AM457),"","x")</f>
        <v/>
      </c>
      <c r="AL453" t="str">
        <f>IF(ISBLANK(JP!AN457),"","x")</f>
        <v/>
      </c>
      <c r="AM453" t="str">
        <f>IF(ISBLANK(JP!AO457),"","x")</f>
        <v/>
      </c>
      <c r="AN453" t="str">
        <f>IF(ISBLANK(JP!AP457),"","x")</f>
        <v/>
      </c>
      <c r="AO453" t="str">
        <f>IF(ISBLANK(JP!AR457),"","x")</f>
        <v/>
      </c>
      <c r="AP453" t="str">
        <f>IF(ISBLANK(JP!AS457),"","x")</f>
        <v/>
      </c>
      <c r="AQ453" t="str">
        <f>IF(ISBLANK(JP!AT457),"","x")</f>
        <v/>
      </c>
      <c r="AR453" t="str">
        <f>IF(ISBLANK(JP!AU457),"","x")</f>
        <v/>
      </c>
      <c r="AS453" t="str">
        <f>IF(ISBLANK(JP!AV457),"","x")</f>
        <v/>
      </c>
      <c r="AT453" t="str">
        <f>IF(ISBLANK(JP!AW457),"","x")</f>
        <v/>
      </c>
      <c r="AU453" t="str">
        <f>IF(ISBLANK(JP!AX457),"","x")</f>
        <v/>
      </c>
    </row>
    <row r="454" spans="2:47">
      <c r="B454" t="str">
        <f>IF(ISBLANK(JP!AZ458),"",JP!AZ458)</f>
        <v/>
      </c>
      <c r="C454" t="str">
        <f>IF(ISBLANK(JP!BA458),"",JP!BA458)</f>
        <v/>
      </c>
      <c r="D454" t="str">
        <f>IF(ISBLANK(JP!BC458),"",JP!BC458)</f>
        <v/>
      </c>
      <c r="E454" t="str">
        <f>IF(ISBLANK(JP!BB458),"",JP!BB458)</f>
        <v/>
      </c>
      <c r="F454" t="str">
        <f>IF(ISBLANK(JP!D458),"","x")</f>
        <v/>
      </c>
      <c r="G454" t="str">
        <f>IF(ISBLANK(JP!E458),"","x")</f>
        <v/>
      </c>
      <c r="H454" t="str">
        <f>IF(ISBLANK(JP!F458),"","x")</f>
        <v/>
      </c>
      <c r="I454" t="str">
        <f>IF(ISBLANK(JP!G458),"","x")</f>
        <v/>
      </c>
      <c r="J454" t="str">
        <f>IF(ISBLANK(JP!H458),"","x")</f>
        <v/>
      </c>
      <c r="K454" t="str">
        <f>IF(ISBLANK(JP!I458),"","x")</f>
        <v/>
      </c>
      <c r="L454" t="str">
        <f>IF(ISBLANK(JP!J458),"","x")</f>
        <v/>
      </c>
      <c r="M454" t="str">
        <f>IF(ISBLANK(JP!L458),"","x")</f>
        <v/>
      </c>
      <c r="N454" t="str">
        <f>IF(ISBLANK(JP!M458),"","x")</f>
        <v/>
      </c>
      <c r="O454" t="str">
        <f>IF(ISBLANK(JP!N458),"","x")</f>
        <v/>
      </c>
      <c r="P454" t="str">
        <f>IF(ISBLANK(JP!O458),"","x")</f>
        <v/>
      </c>
      <c r="Q454" t="str">
        <f>IF(ISBLANK(JP!P458),"","x")</f>
        <v/>
      </c>
      <c r="R454" t="str">
        <f>IF(ISBLANK(JP!Q458),"","x")</f>
        <v/>
      </c>
      <c r="S454" t="str">
        <f>IF(ISBLANK(JP!R458),"","x")</f>
        <v/>
      </c>
      <c r="T454" t="str">
        <f>IF(ISBLANK(JP!T458),"","x")</f>
        <v/>
      </c>
      <c r="U454" t="str">
        <f>IF(ISBLANK(JP!U458),"","x")</f>
        <v/>
      </c>
      <c r="V454" t="str">
        <f>IF(ISBLANK(JP!V458),"","x")</f>
        <v/>
      </c>
      <c r="W454" t="str">
        <f>IF(ISBLANK(JP!W458),"","x")</f>
        <v/>
      </c>
      <c r="X454" t="str">
        <f>IF(ISBLANK(JP!X458),"","x")</f>
        <v/>
      </c>
      <c r="Y454" t="str">
        <f>IF(ISBLANK(JP!Y458),"","x")</f>
        <v/>
      </c>
      <c r="Z454" t="str">
        <f>IF(ISBLANK(JP!Z458),"","x")</f>
        <v/>
      </c>
      <c r="AA454" t="str">
        <f>IF(ISBLANK(JP!AB458),"","x")</f>
        <v/>
      </c>
      <c r="AB454" t="str">
        <f>IF(ISBLANK(JP!AC458),"","x")</f>
        <v/>
      </c>
      <c r="AC454" t="str">
        <f>IF(ISBLANK(JP!AD458),"","x")</f>
        <v/>
      </c>
      <c r="AD454" t="str">
        <f>IF(ISBLANK(JP!AE458),"","x")</f>
        <v/>
      </c>
      <c r="AE454" t="str">
        <f>IF(ISBLANK(JP!AF458),"","x")</f>
        <v/>
      </c>
      <c r="AF454" t="str">
        <f>IF(ISBLANK(JP!AG458),"","x")</f>
        <v/>
      </c>
      <c r="AG454" t="str">
        <f>IF(ISBLANK(JP!AH458),"","x")</f>
        <v/>
      </c>
      <c r="AH454" t="str">
        <f>IF(ISBLANK(JP!AJ458),"","x")</f>
        <v/>
      </c>
      <c r="AI454" t="str">
        <f>IF(ISBLANK(JP!AK458),"","x")</f>
        <v/>
      </c>
      <c r="AJ454" t="str">
        <f>IF(ISBLANK(JP!AL458),"","x")</f>
        <v/>
      </c>
      <c r="AK454" t="str">
        <f>IF(ISBLANK(JP!AM458),"","x")</f>
        <v/>
      </c>
      <c r="AL454" t="str">
        <f>IF(ISBLANK(JP!AN458),"","x")</f>
        <v/>
      </c>
      <c r="AM454" t="str">
        <f>IF(ISBLANK(JP!AO458),"","x")</f>
        <v/>
      </c>
      <c r="AN454" t="str">
        <f>IF(ISBLANK(JP!AP458),"","x")</f>
        <v/>
      </c>
      <c r="AO454" t="str">
        <f>IF(ISBLANK(JP!AR458),"","x")</f>
        <v/>
      </c>
      <c r="AP454" t="str">
        <f>IF(ISBLANK(JP!AS458),"","x")</f>
        <v/>
      </c>
      <c r="AQ454" t="str">
        <f>IF(ISBLANK(JP!AT458),"","x")</f>
        <v/>
      </c>
      <c r="AR454" t="str">
        <f>IF(ISBLANK(JP!AU458),"","x")</f>
        <v/>
      </c>
      <c r="AS454" t="str">
        <f>IF(ISBLANK(JP!AV458),"","x")</f>
        <v/>
      </c>
      <c r="AT454" t="str">
        <f>IF(ISBLANK(JP!AW458),"","x")</f>
        <v/>
      </c>
      <c r="AU454" t="str">
        <f>IF(ISBLANK(JP!AX458),"","x")</f>
        <v/>
      </c>
    </row>
    <row r="455" spans="2:47">
      <c r="B455" t="str">
        <f>IF(ISBLANK(JP!AZ459),"",JP!AZ459)</f>
        <v/>
      </c>
      <c r="C455" t="str">
        <f>IF(ISBLANK(JP!BA459),"",JP!BA459)</f>
        <v/>
      </c>
      <c r="D455" t="str">
        <f>IF(ISBLANK(JP!BC459),"",JP!BC459)</f>
        <v/>
      </c>
      <c r="E455" t="str">
        <f>IF(ISBLANK(JP!BB459),"",JP!BB459)</f>
        <v/>
      </c>
      <c r="F455" t="str">
        <f>IF(ISBLANK(JP!D459),"","x")</f>
        <v/>
      </c>
      <c r="G455" t="str">
        <f>IF(ISBLANK(JP!E459),"","x")</f>
        <v/>
      </c>
      <c r="H455" t="str">
        <f>IF(ISBLANK(JP!F459),"","x")</f>
        <v/>
      </c>
      <c r="I455" t="str">
        <f>IF(ISBLANK(JP!G459),"","x")</f>
        <v/>
      </c>
      <c r="J455" t="str">
        <f>IF(ISBLANK(JP!H459),"","x")</f>
        <v/>
      </c>
      <c r="K455" t="str">
        <f>IF(ISBLANK(JP!I459),"","x")</f>
        <v/>
      </c>
      <c r="L455" t="str">
        <f>IF(ISBLANK(JP!J459),"","x")</f>
        <v/>
      </c>
      <c r="M455" t="str">
        <f>IF(ISBLANK(JP!L459),"","x")</f>
        <v/>
      </c>
      <c r="N455" t="str">
        <f>IF(ISBLANK(JP!M459),"","x")</f>
        <v/>
      </c>
      <c r="O455" t="str">
        <f>IF(ISBLANK(JP!N459),"","x")</f>
        <v/>
      </c>
      <c r="P455" t="str">
        <f>IF(ISBLANK(JP!O459),"","x")</f>
        <v/>
      </c>
      <c r="Q455" t="str">
        <f>IF(ISBLANK(JP!P459),"","x")</f>
        <v/>
      </c>
      <c r="R455" t="str">
        <f>IF(ISBLANK(JP!Q459),"","x")</f>
        <v/>
      </c>
      <c r="S455" t="str">
        <f>IF(ISBLANK(JP!R459),"","x")</f>
        <v/>
      </c>
      <c r="T455" t="str">
        <f>IF(ISBLANK(JP!T459),"","x")</f>
        <v/>
      </c>
      <c r="U455" t="str">
        <f>IF(ISBLANK(JP!U459),"","x")</f>
        <v/>
      </c>
      <c r="V455" t="str">
        <f>IF(ISBLANK(JP!V459),"","x")</f>
        <v/>
      </c>
      <c r="W455" t="str">
        <f>IF(ISBLANK(JP!W459),"","x")</f>
        <v/>
      </c>
      <c r="X455" t="str">
        <f>IF(ISBLANK(JP!X459),"","x")</f>
        <v/>
      </c>
      <c r="Y455" t="str">
        <f>IF(ISBLANK(JP!Y459),"","x")</f>
        <v/>
      </c>
      <c r="Z455" t="str">
        <f>IF(ISBLANK(JP!Z459),"","x")</f>
        <v/>
      </c>
      <c r="AA455" t="str">
        <f>IF(ISBLANK(JP!AB459),"","x")</f>
        <v/>
      </c>
      <c r="AB455" t="str">
        <f>IF(ISBLANK(JP!AC459),"","x")</f>
        <v/>
      </c>
      <c r="AC455" t="str">
        <f>IF(ISBLANK(JP!AD459),"","x")</f>
        <v/>
      </c>
      <c r="AD455" t="str">
        <f>IF(ISBLANK(JP!AE459),"","x")</f>
        <v/>
      </c>
      <c r="AE455" t="str">
        <f>IF(ISBLANK(JP!AF459),"","x")</f>
        <v/>
      </c>
      <c r="AF455" t="str">
        <f>IF(ISBLANK(JP!AG459),"","x")</f>
        <v/>
      </c>
      <c r="AG455" t="str">
        <f>IF(ISBLANK(JP!AH459),"","x")</f>
        <v/>
      </c>
      <c r="AH455" t="str">
        <f>IF(ISBLANK(JP!AJ459),"","x")</f>
        <v/>
      </c>
      <c r="AI455" t="str">
        <f>IF(ISBLANK(JP!AK459),"","x")</f>
        <v/>
      </c>
      <c r="AJ455" t="str">
        <f>IF(ISBLANK(JP!AL459),"","x")</f>
        <v/>
      </c>
      <c r="AK455" t="str">
        <f>IF(ISBLANK(JP!AM459),"","x")</f>
        <v/>
      </c>
      <c r="AL455" t="str">
        <f>IF(ISBLANK(JP!AN459),"","x")</f>
        <v/>
      </c>
      <c r="AM455" t="str">
        <f>IF(ISBLANK(JP!AO459),"","x")</f>
        <v/>
      </c>
      <c r="AN455" t="str">
        <f>IF(ISBLANK(JP!AP459),"","x")</f>
        <v/>
      </c>
      <c r="AO455" t="str">
        <f>IF(ISBLANK(JP!AR459),"","x")</f>
        <v/>
      </c>
      <c r="AP455" t="str">
        <f>IF(ISBLANK(JP!AS459),"","x")</f>
        <v/>
      </c>
      <c r="AQ455" t="str">
        <f>IF(ISBLANK(JP!AT459),"","x")</f>
        <v/>
      </c>
      <c r="AR455" t="str">
        <f>IF(ISBLANK(JP!AU459),"","x")</f>
        <v/>
      </c>
      <c r="AS455" t="str">
        <f>IF(ISBLANK(JP!AV459),"","x")</f>
        <v/>
      </c>
      <c r="AT455" t="str">
        <f>IF(ISBLANK(JP!AW459),"","x")</f>
        <v/>
      </c>
      <c r="AU455" t="str">
        <f>IF(ISBLANK(JP!AX459),"","x")</f>
        <v/>
      </c>
    </row>
    <row r="456" spans="2:47">
      <c r="B456" t="str">
        <f>IF(ISBLANK(JP!AZ460),"",JP!AZ460)</f>
        <v/>
      </c>
      <c r="C456" t="str">
        <f>IF(ISBLANK(JP!BA460),"",JP!BA460)</f>
        <v/>
      </c>
      <c r="D456" t="str">
        <f>IF(ISBLANK(JP!BC460),"",JP!BC460)</f>
        <v/>
      </c>
      <c r="E456" t="str">
        <f>IF(ISBLANK(JP!BB460),"",JP!BB460)</f>
        <v/>
      </c>
      <c r="F456" t="str">
        <f>IF(ISBLANK(JP!D460),"","x")</f>
        <v/>
      </c>
      <c r="G456" t="str">
        <f>IF(ISBLANK(JP!E460),"","x")</f>
        <v/>
      </c>
      <c r="H456" t="str">
        <f>IF(ISBLANK(JP!F460),"","x")</f>
        <v/>
      </c>
      <c r="I456" t="str">
        <f>IF(ISBLANK(JP!G460),"","x")</f>
        <v/>
      </c>
      <c r="J456" t="str">
        <f>IF(ISBLANK(JP!H460),"","x")</f>
        <v/>
      </c>
      <c r="K456" t="str">
        <f>IF(ISBLANK(JP!I460),"","x")</f>
        <v/>
      </c>
      <c r="L456" t="str">
        <f>IF(ISBLANK(JP!J460),"","x")</f>
        <v/>
      </c>
      <c r="M456" t="str">
        <f>IF(ISBLANK(JP!L460),"","x")</f>
        <v/>
      </c>
      <c r="N456" t="str">
        <f>IF(ISBLANK(JP!M460),"","x")</f>
        <v/>
      </c>
      <c r="O456" t="str">
        <f>IF(ISBLANK(JP!N460),"","x")</f>
        <v/>
      </c>
      <c r="P456" t="str">
        <f>IF(ISBLANK(JP!O460),"","x")</f>
        <v/>
      </c>
      <c r="Q456" t="str">
        <f>IF(ISBLANK(JP!P460),"","x")</f>
        <v/>
      </c>
      <c r="R456" t="str">
        <f>IF(ISBLANK(JP!Q460),"","x")</f>
        <v/>
      </c>
      <c r="S456" t="str">
        <f>IF(ISBLANK(JP!R460),"","x")</f>
        <v/>
      </c>
      <c r="T456" t="str">
        <f>IF(ISBLANK(JP!T460),"","x")</f>
        <v/>
      </c>
      <c r="U456" t="str">
        <f>IF(ISBLANK(JP!U460),"","x")</f>
        <v/>
      </c>
      <c r="V456" t="str">
        <f>IF(ISBLANK(JP!V460),"","x")</f>
        <v/>
      </c>
      <c r="W456" t="str">
        <f>IF(ISBLANK(JP!W460),"","x")</f>
        <v/>
      </c>
      <c r="X456" t="str">
        <f>IF(ISBLANK(JP!X460),"","x")</f>
        <v/>
      </c>
      <c r="Y456" t="str">
        <f>IF(ISBLANK(JP!Y460),"","x")</f>
        <v/>
      </c>
      <c r="Z456" t="str">
        <f>IF(ISBLANK(JP!Z460),"","x")</f>
        <v/>
      </c>
      <c r="AA456" t="str">
        <f>IF(ISBLANK(JP!AB460),"","x")</f>
        <v/>
      </c>
      <c r="AB456" t="str">
        <f>IF(ISBLANK(JP!AC460),"","x")</f>
        <v/>
      </c>
      <c r="AC456" t="str">
        <f>IF(ISBLANK(JP!AD460),"","x")</f>
        <v/>
      </c>
      <c r="AD456" t="str">
        <f>IF(ISBLANK(JP!AE460),"","x")</f>
        <v/>
      </c>
      <c r="AE456" t="str">
        <f>IF(ISBLANK(JP!AF460),"","x")</f>
        <v/>
      </c>
      <c r="AF456" t="str">
        <f>IF(ISBLANK(JP!AG460),"","x")</f>
        <v/>
      </c>
      <c r="AG456" t="str">
        <f>IF(ISBLANK(JP!AH460),"","x")</f>
        <v/>
      </c>
      <c r="AH456" t="str">
        <f>IF(ISBLANK(JP!AJ460),"","x")</f>
        <v/>
      </c>
      <c r="AI456" t="str">
        <f>IF(ISBLANK(JP!AK460),"","x")</f>
        <v/>
      </c>
      <c r="AJ456" t="str">
        <f>IF(ISBLANK(JP!AL460),"","x")</f>
        <v/>
      </c>
      <c r="AK456" t="str">
        <f>IF(ISBLANK(JP!AM460),"","x")</f>
        <v/>
      </c>
      <c r="AL456" t="str">
        <f>IF(ISBLANK(JP!AN460),"","x")</f>
        <v/>
      </c>
      <c r="AM456" t="str">
        <f>IF(ISBLANK(JP!AO460),"","x")</f>
        <v/>
      </c>
      <c r="AN456" t="str">
        <f>IF(ISBLANK(JP!AP460),"","x")</f>
        <v/>
      </c>
      <c r="AO456" t="str">
        <f>IF(ISBLANK(JP!AR460),"","x")</f>
        <v/>
      </c>
      <c r="AP456" t="str">
        <f>IF(ISBLANK(JP!AS460),"","x")</f>
        <v/>
      </c>
      <c r="AQ456" t="str">
        <f>IF(ISBLANK(JP!AT460),"","x")</f>
        <v/>
      </c>
      <c r="AR456" t="str">
        <f>IF(ISBLANK(JP!AU460),"","x")</f>
        <v/>
      </c>
      <c r="AS456" t="str">
        <f>IF(ISBLANK(JP!AV460),"","x")</f>
        <v/>
      </c>
      <c r="AT456" t="str">
        <f>IF(ISBLANK(JP!AW460),"","x")</f>
        <v/>
      </c>
      <c r="AU456" t="str">
        <f>IF(ISBLANK(JP!AX460),"","x")</f>
        <v/>
      </c>
    </row>
    <row r="457" spans="2:47">
      <c r="B457" t="str">
        <f>IF(ISBLANK(JP!AZ461),"",JP!AZ461)</f>
        <v/>
      </c>
      <c r="C457" t="str">
        <f>IF(ISBLANK(JP!BA461),"",JP!BA461)</f>
        <v/>
      </c>
      <c r="D457" t="str">
        <f>IF(ISBLANK(JP!BC461),"",JP!BC461)</f>
        <v/>
      </c>
      <c r="E457" t="str">
        <f>IF(ISBLANK(JP!BB461),"",JP!BB461)</f>
        <v/>
      </c>
      <c r="F457" t="str">
        <f>IF(ISBLANK(JP!D461),"","x")</f>
        <v/>
      </c>
      <c r="G457" t="str">
        <f>IF(ISBLANK(JP!E461),"","x")</f>
        <v/>
      </c>
      <c r="H457" t="str">
        <f>IF(ISBLANK(JP!F461),"","x")</f>
        <v/>
      </c>
      <c r="I457" t="str">
        <f>IF(ISBLANK(JP!G461),"","x")</f>
        <v/>
      </c>
      <c r="J457" t="str">
        <f>IF(ISBLANK(JP!H461),"","x")</f>
        <v/>
      </c>
      <c r="K457" t="str">
        <f>IF(ISBLANK(JP!I461),"","x")</f>
        <v/>
      </c>
      <c r="L457" t="str">
        <f>IF(ISBLANK(JP!J461),"","x")</f>
        <v/>
      </c>
      <c r="M457" t="str">
        <f>IF(ISBLANK(JP!L461),"","x")</f>
        <v/>
      </c>
      <c r="N457" t="str">
        <f>IF(ISBLANK(JP!M461),"","x")</f>
        <v/>
      </c>
      <c r="O457" t="str">
        <f>IF(ISBLANK(JP!N461),"","x")</f>
        <v/>
      </c>
      <c r="P457" t="str">
        <f>IF(ISBLANK(JP!O461),"","x")</f>
        <v/>
      </c>
      <c r="Q457" t="str">
        <f>IF(ISBLANK(JP!P461),"","x")</f>
        <v/>
      </c>
      <c r="R457" t="str">
        <f>IF(ISBLANK(JP!Q461),"","x")</f>
        <v/>
      </c>
      <c r="S457" t="str">
        <f>IF(ISBLANK(JP!R461),"","x")</f>
        <v/>
      </c>
      <c r="T457" t="str">
        <f>IF(ISBLANK(JP!T461),"","x")</f>
        <v/>
      </c>
      <c r="U457" t="str">
        <f>IF(ISBLANK(JP!U461),"","x")</f>
        <v/>
      </c>
      <c r="V457" t="str">
        <f>IF(ISBLANK(JP!V461),"","x")</f>
        <v/>
      </c>
      <c r="W457" t="str">
        <f>IF(ISBLANK(JP!W461),"","x")</f>
        <v/>
      </c>
      <c r="X457" t="str">
        <f>IF(ISBLANK(JP!X461),"","x")</f>
        <v/>
      </c>
      <c r="Y457" t="str">
        <f>IF(ISBLANK(JP!Y461),"","x")</f>
        <v/>
      </c>
      <c r="Z457" t="str">
        <f>IF(ISBLANK(JP!Z461),"","x")</f>
        <v/>
      </c>
      <c r="AA457" t="str">
        <f>IF(ISBLANK(JP!AB461),"","x")</f>
        <v/>
      </c>
      <c r="AB457" t="str">
        <f>IF(ISBLANK(JP!AC461),"","x")</f>
        <v/>
      </c>
      <c r="AC457" t="str">
        <f>IF(ISBLANK(JP!AD461),"","x")</f>
        <v/>
      </c>
      <c r="AD457" t="str">
        <f>IF(ISBLANK(JP!AE461),"","x")</f>
        <v/>
      </c>
      <c r="AE457" t="str">
        <f>IF(ISBLANK(JP!AF461),"","x")</f>
        <v/>
      </c>
      <c r="AF457" t="str">
        <f>IF(ISBLANK(JP!AG461),"","x")</f>
        <v/>
      </c>
      <c r="AG457" t="str">
        <f>IF(ISBLANK(JP!AH461),"","x")</f>
        <v/>
      </c>
      <c r="AH457" t="str">
        <f>IF(ISBLANK(JP!AJ461),"","x")</f>
        <v/>
      </c>
      <c r="AI457" t="str">
        <f>IF(ISBLANK(JP!AK461),"","x")</f>
        <v/>
      </c>
      <c r="AJ457" t="str">
        <f>IF(ISBLANK(JP!AL461),"","x")</f>
        <v/>
      </c>
      <c r="AK457" t="str">
        <f>IF(ISBLANK(JP!AM461),"","x")</f>
        <v/>
      </c>
      <c r="AL457" t="str">
        <f>IF(ISBLANK(JP!AN461),"","x")</f>
        <v/>
      </c>
      <c r="AM457" t="str">
        <f>IF(ISBLANK(JP!AO461),"","x")</f>
        <v/>
      </c>
      <c r="AN457" t="str">
        <f>IF(ISBLANK(JP!AP461),"","x")</f>
        <v/>
      </c>
      <c r="AO457" t="str">
        <f>IF(ISBLANK(JP!AR461),"","x")</f>
        <v/>
      </c>
      <c r="AP457" t="str">
        <f>IF(ISBLANK(JP!AS461),"","x")</f>
        <v/>
      </c>
      <c r="AQ457" t="str">
        <f>IF(ISBLANK(JP!AT461),"","x")</f>
        <v/>
      </c>
      <c r="AR457" t="str">
        <f>IF(ISBLANK(JP!AU461),"","x")</f>
        <v/>
      </c>
      <c r="AS457" t="str">
        <f>IF(ISBLANK(JP!AV461),"","x")</f>
        <v/>
      </c>
      <c r="AT457" t="str">
        <f>IF(ISBLANK(JP!AW461),"","x")</f>
        <v/>
      </c>
      <c r="AU457" t="str">
        <f>IF(ISBLANK(JP!AX461),"","x")</f>
        <v/>
      </c>
    </row>
    <row r="458" spans="2:47">
      <c r="B458" t="str">
        <f>IF(ISBLANK(JP!AZ462),"",JP!AZ462)</f>
        <v/>
      </c>
      <c r="C458" t="str">
        <f>IF(ISBLANK(JP!BA462),"",JP!BA462)</f>
        <v/>
      </c>
      <c r="D458" t="str">
        <f>IF(ISBLANK(JP!BC462),"",JP!BC462)</f>
        <v/>
      </c>
      <c r="E458" t="str">
        <f>IF(ISBLANK(JP!BB462),"",JP!BB462)</f>
        <v/>
      </c>
      <c r="F458" t="str">
        <f>IF(ISBLANK(JP!D462),"","x")</f>
        <v/>
      </c>
      <c r="G458" t="str">
        <f>IF(ISBLANK(JP!E462),"","x")</f>
        <v/>
      </c>
      <c r="H458" t="str">
        <f>IF(ISBLANK(JP!F462),"","x")</f>
        <v/>
      </c>
      <c r="I458" t="str">
        <f>IF(ISBLANK(JP!G462),"","x")</f>
        <v/>
      </c>
      <c r="J458" t="str">
        <f>IF(ISBLANK(JP!H462),"","x")</f>
        <v/>
      </c>
      <c r="K458" t="str">
        <f>IF(ISBLANK(JP!I462),"","x")</f>
        <v/>
      </c>
      <c r="L458" t="str">
        <f>IF(ISBLANK(JP!J462),"","x")</f>
        <v/>
      </c>
      <c r="M458" t="str">
        <f>IF(ISBLANK(JP!L462),"","x")</f>
        <v/>
      </c>
      <c r="N458" t="str">
        <f>IF(ISBLANK(JP!M462),"","x")</f>
        <v/>
      </c>
      <c r="O458" t="str">
        <f>IF(ISBLANK(JP!N462),"","x")</f>
        <v/>
      </c>
      <c r="P458" t="str">
        <f>IF(ISBLANK(JP!O462),"","x")</f>
        <v/>
      </c>
      <c r="Q458" t="str">
        <f>IF(ISBLANK(JP!P462),"","x")</f>
        <v/>
      </c>
      <c r="R458" t="str">
        <f>IF(ISBLANK(JP!Q462),"","x")</f>
        <v/>
      </c>
      <c r="S458" t="str">
        <f>IF(ISBLANK(JP!R462),"","x")</f>
        <v/>
      </c>
      <c r="T458" t="str">
        <f>IF(ISBLANK(JP!T462),"","x")</f>
        <v/>
      </c>
      <c r="U458" t="str">
        <f>IF(ISBLANK(JP!U462),"","x")</f>
        <v/>
      </c>
      <c r="V458" t="str">
        <f>IF(ISBLANK(JP!V462),"","x")</f>
        <v/>
      </c>
      <c r="W458" t="str">
        <f>IF(ISBLANK(JP!W462),"","x")</f>
        <v/>
      </c>
      <c r="X458" t="str">
        <f>IF(ISBLANK(JP!X462),"","x")</f>
        <v/>
      </c>
      <c r="Y458" t="str">
        <f>IF(ISBLANK(JP!Y462),"","x")</f>
        <v/>
      </c>
      <c r="Z458" t="str">
        <f>IF(ISBLANK(JP!Z462),"","x")</f>
        <v/>
      </c>
      <c r="AA458" t="str">
        <f>IF(ISBLANK(JP!AB462),"","x")</f>
        <v/>
      </c>
      <c r="AB458" t="str">
        <f>IF(ISBLANK(JP!AC462),"","x")</f>
        <v/>
      </c>
      <c r="AC458" t="str">
        <f>IF(ISBLANK(JP!AD462),"","x")</f>
        <v/>
      </c>
      <c r="AD458" t="str">
        <f>IF(ISBLANK(JP!AE462),"","x")</f>
        <v/>
      </c>
      <c r="AE458" t="str">
        <f>IF(ISBLANK(JP!AF462),"","x")</f>
        <v/>
      </c>
      <c r="AF458" t="str">
        <f>IF(ISBLANK(JP!AG462),"","x")</f>
        <v/>
      </c>
      <c r="AG458" t="str">
        <f>IF(ISBLANK(JP!AH462),"","x")</f>
        <v/>
      </c>
      <c r="AH458" t="str">
        <f>IF(ISBLANK(JP!AJ462),"","x")</f>
        <v/>
      </c>
      <c r="AI458" t="str">
        <f>IF(ISBLANK(JP!AK462),"","x")</f>
        <v/>
      </c>
      <c r="AJ458" t="str">
        <f>IF(ISBLANK(JP!AL462),"","x")</f>
        <v/>
      </c>
      <c r="AK458" t="str">
        <f>IF(ISBLANK(JP!AM462),"","x")</f>
        <v/>
      </c>
      <c r="AL458" t="str">
        <f>IF(ISBLANK(JP!AN462),"","x")</f>
        <v/>
      </c>
      <c r="AM458" t="str">
        <f>IF(ISBLANK(JP!AO462),"","x")</f>
        <v/>
      </c>
      <c r="AN458" t="str">
        <f>IF(ISBLANK(JP!AP462),"","x")</f>
        <v/>
      </c>
      <c r="AO458" t="str">
        <f>IF(ISBLANK(JP!AR462),"","x")</f>
        <v/>
      </c>
      <c r="AP458" t="str">
        <f>IF(ISBLANK(JP!AS462),"","x")</f>
        <v/>
      </c>
      <c r="AQ458" t="str">
        <f>IF(ISBLANK(JP!AT462),"","x")</f>
        <v/>
      </c>
      <c r="AR458" t="str">
        <f>IF(ISBLANK(JP!AU462),"","x")</f>
        <v/>
      </c>
      <c r="AS458" t="str">
        <f>IF(ISBLANK(JP!AV462),"","x")</f>
        <v/>
      </c>
      <c r="AT458" t="str">
        <f>IF(ISBLANK(JP!AW462),"","x")</f>
        <v/>
      </c>
      <c r="AU458" t="str">
        <f>IF(ISBLANK(JP!AX462),"","x")</f>
        <v/>
      </c>
    </row>
    <row r="459" spans="2:47">
      <c r="B459" t="str">
        <f>IF(ISBLANK(JP!AZ463),"",JP!AZ463)</f>
        <v/>
      </c>
      <c r="C459" t="str">
        <f>IF(ISBLANK(JP!BA463),"",JP!BA463)</f>
        <v/>
      </c>
      <c r="D459" t="str">
        <f>IF(ISBLANK(JP!BC463),"",JP!BC463)</f>
        <v/>
      </c>
      <c r="E459" t="str">
        <f>IF(ISBLANK(JP!BB463),"",JP!BB463)</f>
        <v/>
      </c>
      <c r="F459" t="str">
        <f>IF(ISBLANK(JP!D463),"","x")</f>
        <v/>
      </c>
      <c r="G459" t="str">
        <f>IF(ISBLANK(JP!E463),"","x")</f>
        <v/>
      </c>
      <c r="H459" t="str">
        <f>IF(ISBLANK(JP!F463),"","x")</f>
        <v/>
      </c>
      <c r="I459" t="str">
        <f>IF(ISBLANK(JP!G463),"","x")</f>
        <v/>
      </c>
      <c r="J459" t="str">
        <f>IF(ISBLANK(JP!H463),"","x")</f>
        <v/>
      </c>
      <c r="K459" t="str">
        <f>IF(ISBLANK(JP!I463),"","x")</f>
        <v/>
      </c>
      <c r="L459" t="str">
        <f>IF(ISBLANK(JP!J463),"","x")</f>
        <v/>
      </c>
      <c r="M459" t="str">
        <f>IF(ISBLANK(JP!L463),"","x")</f>
        <v/>
      </c>
      <c r="N459" t="str">
        <f>IF(ISBLANK(JP!M463),"","x")</f>
        <v/>
      </c>
      <c r="O459" t="str">
        <f>IF(ISBLANK(JP!N463),"","x")</f>
        <v/>
      </c>
      <c r="P459" t="str">
        <f>IF(ISBLANK(JP!O463),"","x")</f>
        <v/>
      </c>
      <c r="Q459" t="str">
        <f>IF(ISBLANK(JP!P463),"","x")</f>
        <v/>
      </c>
      <c r="R459" t="str">
        <f>IF(ISBLANK(JP!Q463),"","x")</f>
        <v/>
      </c>
      <c r="S459" t="str">
        <f>IF(ISBLANK(JP!R463),"","x")</f>
        <v/>
      </c>
      <c r="T459" t="str">
        <f>IF(ISBLANK(JP!T463),"","x")</f>
        <v/>
      </c>
      <c r="U459" t="str">
        <f>IF(ISBLANK(JP!U463),"","x")</f>
        <v/>
      </c>
      <c r="V459" t="str">
        <f>IF(ISBLANK(JP!V463),"","x")</f>
        <v/>
      </c>
      <c r="W459" t="str">
        <f>IF(ISBLANK(JP!W463),"","x")</f>
        <v/>
      </c>
      <c r="X459" t="str">
        <f>IF(ISBLANK(JP!X463),"","x")</f>
        <v/>
      </c>
      <c r="Y459" t="str">
        <f>IF(ISBLANK(JP!Y463),"","x")</f>
        <v/>
      </c>
      <c r="Z459" t="str">
        <f>IF(ISBLANK(JP!Z463),"","x")</f>
        <v/>
      </c>
      <c r="AA459" t="str">
        <f>IF(ISBLANK(JP!AB463),"","x")</f>
        <v/>
      </c>
      <c r="AB459" t="str">
        <f>IF(ISBLANK(JP!AC463),"","x")</f>
        <v/>
      </c>
      <c r="AC459" t="str">
        <f>IF(ISBLANK(JP!AD463),"","x")</f>
        <v/>
      </c>
      <c r="AD459" t="str">
        <f>IF(ISBLANK(JP!AE463),"","x")</f>
        <v/>
      </c>
      <c r="AE459" t="str">
        <f>IF(ISBLANK(JP!AF463),"","x")</f>
        <v/>
      </c>
      <c r="AF459" t="str">
        <f>IF(ISBLANK(JP!AG463),"","x")</f>
        <v/>
      </c>
      <c r="AG459" t="str">
        <f>IF(ISBLANK(JP!AH463),"","x")</f>
        <v/>
      </c>
      <c r="AH459" t="str">
        <f>IF(ISBLANK(JP!AJ463),"","x")</f>
        <v/>
      </c>
      <c r="AI459" t="str">
        <f>IF(ISBLANK(JP!AK463),"","x")</f>
        <v/>
      </c>
      <c r="AJ459" t="str">
        <f>IF(ISBLANK(JP!AL463),"","x")</f>
        <v/>
      </c>
      <c r="AK459" t="str">
        <f>IF(ISBLANK(JP!AM463),"","x")</f>
        <v/>
      </c>
      <c r="AL459" t="str">
        <f>IF(ISBLANK(JP!AN463),"","x")</f>
        <v/>
      </c>
      <c r="AM459" t="str">
        <f>IF(ISBLANK(JP!AO463),"","x")</f>
        <v/>
      </c>
      <c r="AN459" t="str">
        <f>IF(ISBLANK(JP!AP463),"","x")</f>
        <v/>
      </c>
      <c r="AO459" t="str">
        <f>IF(ISBLANK(JP!AR463),"","x")</f>
        <v/>
      </c>
      <c r="AP459" t="str">
        <f>IF(ISBLANK(JP!AS463),"","x")</f>
        <v/>
      </c>
      <c r="AQ459" t="str">
        <f>IF(ISBLANK(JP!AT463),"","x")</f>
        <v/>
      </c>
      <c r="AR459" t="str">
        <f>IF(ISBLANK(JP!AU463),"","x")</f>
        <v/>
      </c>
      <c r="AS459" t="str">
        <f>IF(ISBLANK(JP!AV463),"","x")</f>
        <v/>
      </c>
      <c r="AT459" t="str">
        <f>IF(ISBLANK(JP!AW463),"","x")</f>
        <v/>
      </c>
      <c r="AU459" t="str">
        <f>IF(ISBLANK(JP!AX463),"","x")</f>
        <v/>
      </c>
    </row>
    <row r="460" spans="2:47">
      <c r="B460" t="str">
        <f>IF(ISBLANK(JP!AZ464),"",JP!AZ464)</f>
        <v/>
      </c>
      <c r="C460" t="str">
        <f>IF(ISBLANK(JP!BA464),"",JP!BA464)</f>
        <v/>
      </c>
      <c r="D460" t="str">
        <f>IF(ISBLANK(JP!BC464),"",JP!BC464)</f>
        <v/>
      </c>
      <c r="E460" t="str">
        <f>IF(ISBLANK(JP!BB464),"",JP!BB464)</f>
        <v/>
      </c>
      <c r="F460" t="str">
        <f>IF(ISBLANK(JP!D464),"","x")</f>
        <v/>
      </c>
      <c r="G460" t="str">
        <f>IF(ISBLANK(JP!E464),"","x")</f>
        <v/>
      </c>
      <c r="H460" t="str">
        <f>IF(ISBLANK(JP!F464),"","x")</f>
        <v/>
      </c>
      <c r="I460" t="str">
        <f>IF(ISBLANK(JP!G464),"","x")</f>
        <v/>
      </c>
      <c r="J460" t="str">
        <f>IF(ISBLANK(JP!H464),"","x")</f>
        <v/>
      </c>
      <c r="K460" t="str">
        <f>IF(ISBLANK(JP!I464),"","x")</f>
        <v/>
      </c>
      <c r="L460" t="str">
        <f>IF(ISBLANK(JP!J464),"","x")</f>
        <v/>
      </c>
      <c r="M460" t="str">
        <f>IF(ISBLANK(JP!L464),"","x")</f>
        <v/>
      </c>
      <c r="N460" t="str">
        <f>IF(ISBLANK(JP!M464),"","x")</f>
        <v/>
      </c>
      <c r="O460" t="str">
        <f>IF(ISBLANK(JP!N464),"","x")</f>
        <v/>
      </c>
      <c r="P460" t="str">
        <f>IF(ISBLANK(JP!O464),"","x")</f>
        <v/>
      </c>
      <c r="Q460" t="str">
        <f>IF(ISBLANK(JP!P464),"","x")</f>
        <v/>
      </c>
      <c r="R460" t="str">
        <f>IF(ISBLANK(JP!Q464),"","x")</f>
        <v/>
      </c>
      <c r="S460" t="str">
        <f>IF(ISBLANK(JP!R464),"","x")</f>
        <v/>
      </c>
      <c r="T460" t="str">
        <f>IF(ISBLANK(JP!T464),"","x")</f>
        <v/>
      </c>
      <c r="U460" t="str">
        <f>IF(ISBLANK(JP!U464),"","x")</f>
        <v/>
      </c>
      <c r="V460" t="str">
        <f>IF(ISBLANK(JP!V464),"","x")</f>
        <v/>
      </c>
      <c r="W460" t="str">
        <f>IF(ISBLANK(JP!W464),"","x")</f>
        <v/>
      </c>
      <c r="X460" t="str">
        <f>IF(ISBLANK(JP!X464),"","x")</f>
        <v/>
      </c>
      <c r="Y460" t="str">
        <f>IF(ISBLANK(JP!Y464),"","x")</f>
        <v/>
      </c>
      <c r="Z460" t="str">
        <f>IF(ISBLANK(JP!Z464),"","x")</f>
        <v/>
      </c>
      <c r="AA460" t="str">
        <f>IF(ISBLANK(JP!AB464),"","x")</f>
        <v/>
      </c>
      <c r="AB460" t="str">
        <f>IF(ISBLANK(JP!AC464),"","x")</f>
        <v/>
      </c>
      <c r="AC460" t="str">
        <f>IF(ISBLANK(JP!AD464),"","x")</f>
        <v/>
      </c>
      <c r="AD460" t="str">
        <f>IF(ISBLANK(JP!AE464),"","x")</f>
        <v/>
      </c>
      <c r="AE460" t="str">
        <f>IF(ISBLANK(JP!AF464),"","x")</f>
        <v/>
      </c>
      <c r="AF460" t="str">
        <f>IF(ISBLANK(JP!AG464),"","x")</f>
        <v/>
      </c>
      <c r="AG460" t="str">
        <f>IF(ISBLANK(JP!AH464),"","x")</f>
        <v/>
      </c>
      <c r="AH460" t="str">
        <f>IF(ISBLANK(JP!AJ464),"","x")</f>
        <v/>
      </c>
      <c r="AI460" t="str">
        <f>IF(ISBLANK(JP!AK464),"","x")</f>
        <v/>
      </c>
      <c r="AJ460" t="str">
        <f>IF(ISBLANK(JP!AL464),"","x")</f>
        <v/>
      </c>
      <c r="AK460" t="str">
        <f>IF(ISBLANK(JP!AM464),"","x")</f>
        <v/>
      </c>
      <c r="AL460" t="str">
        <f>IF(ISBLANK(JP!AN464),"","x")</f>
        <v/>
      </c>
      <c r="AM460" t="str">
        <f>IF(ISBLANK(JP!AO464),"","x")</f>
        <v/>
      </c>
      <c r="AN460" t="str">
        <f>IF(ISBLANK(JP!AP464),"","x")</f>
        <v/>
      </c>
      <c r="AO460" t="str">
        <f>IF(ISBLANK(JP!AR464),"","x")</f>
        <v/>
      </c>
      <c r="AP460" t="str">
        <f>IF(ISBLANK(JP!AS464),"","x")</f>
        <v/>
      </c>
      <c r="AQ460" t="str">
        <f>IF(ISBLANK(JP!AT464),"","x")</f>
        <v/>
      </c>
      <c r="AR460" t="str">
        <f>IF(ISBLANK(JP!AU464),"","x")</f>
        <v/>
      </c>
      <c r="AS460" t="str">
        <f>IF(ISBLANK(JP!AV464),"","x")</f>
        <v/>
      </c>
      <c r="AT460" t="str">
        <f>IF(ISBLANK(JP!AW464),"","x")</f>
        <v/>
      </c>
      <c r="AU460" t="str">
        <f>IF(ISBLANK(JP!AX464),"","x")</f>
        <v/>
      </c>
    </row>
    <row r="461" spans="2:47">
      <c r="B461" t="str">
        <f>IF(ISBLANK(JP!AZ465),"",JP!AZ465)</f>
        <v/>
      </c>
      <c r="C461" t="str">
        <f>IF(ISBLANK(JP!BA465),"",JP!BA465)</f>
        <v/>
      </c>
      <c r="D461" t="str">
        <f>IF(ISBLANK(JP!BC465),"",JP!BC465)</f>
        <v/>
      </c>
      <c r="E461" t="str">
        <f>IF(ISBLANK(JP!BB465),"",JP!BB465)</f>
        <v/>
      </c>
      <c r="F461" t="str">
        <f>IF(ISBLANK(JP!D465),"","x")</f>
        <v/>
      </c>
      <c r="G461" t="str">
        <f>IF(ISBLANK(JP!E465),"","x")</f>
        <v/>
      </c>
      <c r="H461" t="str">
        <f>IF(ISBLANK(JP!F465),"","x")</f>
        <v/>
      </c>
      <c r="I461" t="str">
        <f>IF(ISBLANK(JP!G465),"","x")</f>
        <v/>
      </c>
      <c r="J461" t="str">
        <f>IF(ISBLANK(JP!H465),"","x")</f>
        <v/>
      </c>
      <c r="K461" t="str">
        <f>IF(ISBLANK(JP!I465),"","x")</f>
        <v/>
      </c>
      <c r="L461" t="str">
        <f>IF(ISBLANK(JP!J465),"","x")</f>
        <v/>
      </c>
      <c r="M461" t="str">
        <f>IF(ISBLANK(JP!L465),"","x")</f>
        <v/>
      </c>
      <c r="N461" t="str">
        <f>IF(ISBLANK(JP!M465),"","x")</f>
        <v/>
      </c>
      <c r="O461" t="str">
        <f>IF(ISBLANK(JP!N465),"","x")</f>
        <v/>
      </c>
      <c r="P461" t="str">
        <f>IF(ISBLANK(JP!O465),"","x")</f>
        <v/>
      </c>
      <c r="Q461" t="str">
        <f>IF(ISBLANK(JP!P465),"","x")</f>
        <v/>
      </c>
      <c r="R461" t="str">
        <f>IF(ISBLANK(JP!Q465),"","x")</f>
        <v/>
      </c>
      <c r="S461" t="str">
        <f>IF(ISBLANK(JP!R465),"","x")</f>
        <v/>
      </c>
      <c r="T461" t="str">
        <f>IF(ISBLANK(JP!T465),"","x")</f>
        <v/>
      </c>
      <c r="U461" t="str">
        <f>IF(ISBLANK(JP!U465),"","x")</f>
        <v/>
      </c>
      <c r="V461" t="str">
        <f>IF(ISBLANK(JP!V465),"","x")</f>
        <v/>
      </c>
      <c r="W461" t="str">
        <f>IF(ISBLANK(JP!W465),"","x")</f>
        <v/>
      </c>
      <c r="X461" t="str">
        <f>IF(ISBLANK(JP!X465),"","x")</f>
        <v/>
      </c>
      <c r="Y461" t="str">
        <f>IF(ISBLANK(JP!Y465),"","x")</f>
        <v/>
      </c>
      <c r="Z461" t="str">
        <f>IF(ISBLANK(JP!Z465),"","x")</f>
        <v/>
      </c>
      <c r="AA461" t="str">
        <f>IF(ISBLANK(JP!AB465),"","x")</f>
        <v/>
      </c>
      <c r="AB461" t="str">
        <f>IF(ISBLANK(JP!AC465),"","x")</f>
        <v/>
      </c>
      <c r="AC461" t="str">
        <f>IF(ISBLANK(JP!AD465),"","x")</f>
        <v/>
      </c>
      <c r="AD461" t="str">
        <f>IF(ISBLANK(JP!AE465),"","x")</f>
        <v/>
      </c>
      <c r="AE461" t="str">
        <f>IF(ISBLANK(JP!AF465),"","x")</f>
        <v/>
      </c>
      <c r="AF461" t="str">
        <f>IF(ISBLANK(JP!AG465),"","x")</f>
        <v/>
      </c>
      <c r="AG461" t="str">
        <f>IF(ISBLANK(JP!AH465),"","x")</f>
        <v/>
      </c>
      <c r="AH461" t="str">
        <f>IF(ISBLANK(JP!AJ465),"","x")</f>
        <v/>
      </c>
      <c r="AI461" t="str">
        <f>IF(ISBLANK(JP!AK465),"","x")</f>
        <v/>
      </c>
      <c r="AJ461" t="str">
        <f>IF(ISBLANK(JP!AL465),"","x")</f>
        <v/>
      </c>
      <c r="AK461" t="str">
        <f>IF(ISBLANK(JP!AM465),"","x")</f>
        <v/>
      </c>
      <c r="AL461" t="str">
        <f>IF(ISBLANK(JP!AN465),"","x")</f>
        <v/>
      </c>
      <c r="AM461" t="str">
        <f>IF(ISBLANK(JP!AO465),"","x")</f>
        <v/>
      </c>
      <c r="AN461" t="str">
        <f>IF(ISBLANK(JP!AP465),"","x")</f>
        <v/>
      </c>
      <c r="AO461" t="str">
        <f>IF(ISBLANK(JP!AR465),"","x")</f>
        <v/>
      </c>
      <c r="AP461" t="str">
        <f>IF(ISBLANK(JP!AS465),"","x")</f>
        <v/>
      </c>
      <c r="AQ461" t="str">
        <f>IF(ISBLANK(JP!AT465),"","x")</f>
        <v/>
      </c>
      <c r="AR461" t="str">
        <f>IF(ISBLANK(JP!AU465),"","x")</f>
        <v/>
      </c>
      <c r="AS461" t="str">
        <f>IF(ISBLANK(JP!AV465),"","x")</f>
        <v/>
      </c>
      <c r="AT461" t="str">
        <f>IF(ISBLANK(JP!AW465),"","x")</f>
        <v/>
      </c>
      <c r="AU461" t="str">
        <f>IF(ISBLANK(JP!AX465),"","x")</f>
        <v/>
      </c>
    </row>
    <row r="462" spans="2:47">
      <c r="B462" t="str">
        <f>IF(ISBLANK(JP!AZ466),"",JP!AZ466)</f>
        <v/>
      </c>
      <c r="C462" t="str">
        <f>IF(ISBLANK(JP!BA466),"",JP!BA466)</f>
        <v/>
      </c>
      <c r="D462" t="str">
        <f>IF(ISBLANK(JP!BC466),"",JP!BC466)</f>
        <v/>
      </c>
      <c r="E462" t="str">
        <f>IF(ISBLANK(JP!BB466),"",JP!BB466)</f>
        <v/>
      </c>
      <c r="F462" t="str">
        <f>IF(ISBLANK(JP!D466),"","x")</f>
        <v/>
      </c>
      <c r="G462" t="str">
        <f>IF(ISBLANK(JP!E466),"","x")</f>
        <v/>
      </c>
      <c r="H462" t="str">
        <f>IF(ISBLANK(JP!F466),"","x")</f>
        <v/>
      </c>
      <c r="I462" t="str">
        <f>IF(ISBLANK(JP!G466),"","x")</f>
        <v/>
      </c>
      <c r="J462" t="str">
        <f>IF(ISBLANK(JP!H466),"","x")</f>
        <v/>
      </c>
      <c r="K462" t="str">
        <f>IF(ISBLANK(JP!I466),"","x")</f>
        <v/>
      </c>
      <c r="L462" t="str">
        <f>IF(ISBLANK(JP!J466),"","x")</f>
        <v/>
      </c>
      <c r="M462" t="str">
        <f>IF(ISBLANK(JP!L466),"","x")</f>
        <v/>
      </c>
      <c r="N462" t="str">
        <f>IF(ISBLANK(JP!M466),"","x")</f>
        <v/>
      </c>
      <c r="O462" t="str">
        <f>IF(ISBLANK(JP!N466),"","x")</f>
        <v/>
      </c>
      <c r="P462" t="str">
        <f>IF(ISBLANK(JP!O466),"","x")</f>
        <v/>
      </c>
      <c r="Q462" t="str">
        <f>IF(ISBLANK(JP!P466),"","x")</f>
        <v/>
      </c>
      <c r="R462" t="str">
        <f>IF(ISBLANK(JP!Q466),"","x")</f>
        <v/>
      </c>
      <c r="S462" t="str">
        <f>IF(ISBLANK(JP!R466),"","x")</f>
        <v/>
      </c>
      <c r="T462" t="str">
        <f>IF(ISBLANK(JP!T466),"","x")</f>
        <v/>
      </c>
      <c r="U462" t="str">
        <f>IF(ISBLANK(JP!U466),"","x")</f>
        <v/>
      </c>
      <c r="V462" t="str">
        <f>IF(ISBLANK(JP!V466),"","x")</f>
        <v/>
      </c>
      <c r="W462" t="str">
        <f>IF(ISBLANK(JP!W466),"","x")</f>
        <v/>
      </c>
      <c r="X462" t="str">
        <f>IF(ISBLANK(JP!X466),"","x")</f>
        <v/>
      </c>
      <c r="Y462" t="str">
        <f>IF(ISBLANK(JP!Y466),"","x")</f>
        <v/>
      </c>
      <c r="Z462" t="str">
        <f>IF(ISBLANK(JP!Z466),"","x")</f>
        <v/>
      </c>
      <c r="AA462" t="str">
        <f>IF(ISBLANK(JP!AB466),"","x")</f>
        <v/>
      </c>
      <c r="AB462" t="str">
        <f>IF(ISBLANK(JP!AC466),"","x")</f>
        <v/>
      </c>
      <c r="AC462" t="str">
        <f>IF(ISBLANK(JP!AD466),"","x")</f>
        <v/>
      </c>
      <c r="AD462" t="str">
        <f>IF(ISBLANK(JP!AE466),"","x")</f>
        <v/>
      </c>
      <c r="AE462" t="str">
        <f>IF(ISBLANK(JP!AF466),"","x")</f>
        <v/>
      </c>
      <c r="AF462" t="str">
        <f>IF(ISBLANK(JP!AG466),"","x")</f>
        <v/>
      </c>
      <c r="AG462" t="str">
        <f>IF(ISBLANK(JP!AH466),"","x")</f>
        <v/>
      </c>
      <c r="AH462" t="str">
        <f>IF(ISBLANK(JP!AJ466),"","x")</f>
        <v/>
      </c>
      <c r="AI462" t="str">
        <f>IF(ISBLANK(JP!AK466),"","x")</f>
        <v/>
      </c>
      <c r="AJ462" t="str">
        <f>IF(ISBLANK(JP!AL466),"","x")</f>
        <v/>
      </c>
      <c r="AK462" t="str">
        <f>IF(ISBLANK(JP!AM466),"","x")</f>
        <v/>
      </c>
      <c r="AL462" t="str">
        <f>IF(ISBLANK(JP!AN466),"","x")</f>
        <v/>
      </c>
      <c r="AM462" t="str">
        <f>IF(ISBLANK(JP!AO466),"","x")</f>
        <v/>
      </c>
      <c r="AN462" t="str">
        <f>IF(ISBLANK(JP!AP466),"","x")</f>
        <v/>
      </c>
      <c r="AO462" t="str">
        <f>IF(ISBLANK(JP!AR466),"","x")</f>
        <v/>
      </c>
      <c r="AP462" t="str">
        <f>IF(ISBLANK(JP!AS466),"","x")</f>
        <v/>
      </c>
      <c r="AQ462" t="str">
        <f>IF(ISBLANK(JP!AT466),"","x")</f>
        <v/>
      </c>
      <c r="AR462" t="str">
        <f>IF(ISBLANK(JP!AU466),"","x")</f>
        <v/>
      </c>
      <c r="AS462" t="str">
        <f>IF(ISBLANK(JP!AV466),"","x")</f>
        <v/>
      </c>
      <c r="AT462" t="str">
        <f>IF(ISBLANK(JP!AW466),"","x")</f>
        <v/>
      </c>
      <c r="AU462" t="str">
        <f>IF(ISBLANK(JP!AX466),"","x")</f>
        <v/>
      </c>
    </row>
    <row r="463" spans="2:47">
      <c r="B463" t="str">
        <f>IF(ISBLANK(JP!AZ467),"",JP!AZ467)</f>
        <v/>
      </c>
      <c r="C463" t="str">
        <f>IF(ISBLANK(JP!BA467),"",JP!BA467)</f>
        <v/>
      </c>
      <c r="D463" t="str">
        <f>IF(ISBLANK(JP!BC467),"",JP!BC467)</f>
        <v/>
      </c>
      <c r="E463" t="str">
        <f>IF(ISBLANK(JP!BB467),"",JP!BB467)</f>
        <v/>
      </c>
      <c r="F463" t="str">
        <f>IF(ISBLANK(JP!D467),"","x")</f>
        <v/>
      </c>
      <c r="G463" t="str">
        <f>IF(ISBLANK(JP!E467),"","x")</f>
        <v/>
      </c>
      <c r="H463" t="str">
        <f>IF(ISBLANK(JP!F467),"","x")</f>
        <v/>
      </c>
      <c r="I463" t="str">
        <f>IF(ISBLANK(JP!G467),"","x")</f>
        <v/>
      </c>
      <c r="J463" t="str">
        <f>IF(ISBLANK(JP!H467),"","x")</f>
        <v/>
      </c>
      <c r="K463" t="str">
        <f>IF(ISBLANK(JP!I467),"","x")</f>
        <v/>
      </c>
      <c r="L463" t="str">
        <f>IF(ISBLANK(JP!J467),"","x")</f>
        <v/>
      </c>
      <c r="M463" t="str">
        <f>IF(ISBLANK(JP!L467),"","x")</f>
        <v/>
      </c>
      <c r="N463" t="str">
        <f>IF(ISBLANK(JP!M467),"","x")</f>
        <v/>
      </c>
      <c r="O463" t="str">
        <f>IF(ISBLANK(JP!N467),"","x")</f>
        <v/>
      </c>
      <c r="P463" t="str">
        <f>IF(ISBLANK(JP!O467),"","x")</f>
        <v/>
      </c>
      <c r="Q463" t="str">
        <f>IF(ISBLANK(JP!P467),"","x")</f>
        <v/>
      </c>
      <c r="R463" t="str">
        <f>IF(ISBLANK(JP!Q467),"","x")</f>
        <v/>
      </c>
      <c r="S463" t="str">
        <f>IF(ISBLANK(JP!R467),"","x")</f>
        <v/>
      </c>
      <c r="T463" t="str">
        <f>IF(ISBLANK(JP!T467),"","x")</f>
        <v/>
      </c>
      <c r="U463" t="str">
        <f>IF(ISBLANK(JP!U467),"","x")</f>
        <v/>
      </c>
      <c r="V463" t="str">
        <f>IF(ISBLANK(JP!V467),"","x")</f>
        <v/>
      </c>
      <c r="W463" t="str">
        <f>IF(ISBLANK(JP!W467),"","x")</f>
        <v/>
      </c>
      <c r="X463" t="str">
        <f>IF(ISBLANK(JP!X467),"","x")</f>
        <v/>
      </c>
      <c r="Y463" t="str">
        <f>IF(ISBLANK(JP!Y467),"","x")</f>
        <v/>
      </c>
      <c r="Z463" t="str">
        <f>IF(ISBLANK(JP!Z467),"","x")</f>
        <v/>
      </c>
      <c r="AA463" t="str">
        <f>IF(ISBLANK(JP!AB467),"","x")</f>
        <v/>
      </c>
      <c r="AB463" t="str">
        <f>IF(ISBLANK(JP!AC467),"","x")</f>
        <v/>
      </c>
      <c r="AC463" t="str">
        <f>IF(ISBLANK(JP!AD467),"","x")</f>
        <v/>
      </c>
      <c r="AD463" t="str">
        <f>IF(ISBLANK(JP!AE467),"","x")</f>
        <v/>
      </c>
      <c r="AE463" t="str">
        <f>IF(ISBLANK(JP!AF467),"","x")</f>
        <v/>
      </c>
      <c r="AF463" t="str">
        <f>IF(ISBLANK(JP!AG467),"","x")</f>
        <v/>
      </c>
      <c r="AG463" t="str">
        <f>IF(ISBLANK(JP!AH467),"","x")</f>
        <v/>
      </c>
      <c r="AH463" t="str">
        <f>IF(ISBLANK(JP!AJ467),"","x")</f>
        <v/>
      </c>
      <c r="AI463" t="str">
        <f>IF(ISBLANK(JP!AK467),"","x")</f>
        <v/>
      </c>
      <c r="AJ463" t="str">
        <f>IF(ISBLANK(JP!AL467),"","x")</f>
        <v/>
      </c>
      <c r="AK463" t="str">
        <f>IF(ISBLANK(JP!AM467),"","x")</f>
        <v/>
      </c>
      <c r="AL463" t="str">
        <f>IF(ISBLANK(JP!AN467),"","x")</f>
        <v/>
      </c>
      <c r="AM463" t="str">
        <f>IF(ISBLANK(JP!AO467),"","x")</f>
        <v/>
      </c>
      <c r="AN463" t="str">
        <f>IF(ISBLANK(JP!AP467),"","x")</f>
        <v/>
      </c>
      <c r="AO463" t="str">
        <f>IF(ISBLANK(JP!AR467),"","x")</f>
        <v/>
      </c>
      <c r="AP463" t="str">
        <f>IF(ISBLANK(JP!AS467),"","x")</f>
        <v/>
      </c>
      <c r="AQ463" t="str">
        <f>IF(ISBLANK(JP!AT467),"","x")</f>
        <v/>
      </c>
      <c r="AR463" t="str">
        <f>IF(ISBLANK(JP!AU467),"","x")</f>
        <v/>
      </c>
      <c r="AS463" t="str">
        <f>IF(ISBLANK(JP!AV467),"","x")</f>
        <v/>
      </c>
      <c r="AT463" t="str">
        <f>IF(ISBLANK(JP!AW467),"","x")</f>
        <v/>
      </c>
      <c r="AU463" t="str">
        <f>IF(ISBLANK(JP!AX467),"","x")</f>
        <v/>
      </c>
    </row>
    <row r="464" spans="2:47">
      <c r="B464" t="str">
        <f>IF(ISBLANK(JP!AZ468),"",JP!AZ468)</f>
        <v/>
      </c>
      <c r="C464" t="str">
        <f>IF(ISBLANK(JP!BA468),"",JP!BA468)</f>
        <v/>
      </c>
      <c r="D464" t="str">
        <f>IF(ISBLANK(JP!BC468),"",JP!BC468)</f>
        <v/>
      </c>
      <c r="E464" t="str">
        <f>IF(ISBLANK(JP!BB468),"",JP!BB468)</f>
        <v/>
      </c>
      <c r="F464" t="str">
        <f>IF(ISBLANK(JP!D468),"","x")</f>
        <v/>
      </c>
      <c r="G464" t="str">
        <f>IF(ISBLANK(JP!E468),"","x")</f>
        <v/>
      </c>
      <c r="H464" t="str">
        <f>IF(ISBLANK(JP!F468),"","x")</f>
        <v/>
      </c>
      <c r="I464" t="str">
        <f>IF(ISBLANK(JP!G468),"","x")</f>
        <v/>
      </c>
      <c r="J464" t="str">
        <f>IF(ISBLANK(JP!H468),"","x")</f>
        <v/>
      </c>
      <c r="K464" t="str">
        <f>IF(ISBLANK(JP!I468),"","x")</f>
        <v/>
      </c>
      <c r="L464" t="str">
        <f>IF(ISBLANK(JP!J468),"","x")</f>
        <v/>
      </c>
      <c r="M464" t="str">
        <f>IF(ISBLANK(JP!L468),"","x")</f>
        <v/>
      </c>
      <c r="N464" t="str">
        <f>IF(ISBLANK(JP!M468),"","x")</f>
        <v/>
      </c>
      <c r="O464" t="str">
        <f>IF(ISBLANK(JP!N468),"","x")</f>
        <v/>
      </c>
      <c r="P464" t="str">
        <f>IF(ISBLANK(JP!O468),"","x")</f>
        <v/>
      </c>
      <c r="Q464" t="str">
        <f>IF(ISBLANK(JP!P468),"","x")</f>
        <v/>
      </c>
      <c r="R464" t="str">
        <f>IF(ISBLANK(JP!Q468),"","x")</f>
        <v/>
      </c>
      <c r="S464" t="str">
        <f>IF(ISBLANK(JP!R468),"","x")</f>
        <v/>
      </c>
      <c r="T464" t="str">
        <f>IF(ISBLANK(JP!T468),"","x")</f>
        <v/>
      </c>
      <c r="U464" t="str">
        <f>IF(ISBLANK(JP!U468),"","x")</f>
        <v/>
      </c>
      <c r="V464" t="str">
        <f>IF(ISBLANK(JP!V468),"","x")</f>
        <v/>
      </c>
      <c r="W464" t="str">
        <f>IF(ISBLANK(JP!W468),"","x")</f>
        <v/>
      </c>
      <c r="X464" t="str">
        <f>IF(ISBLANK(JP!X468),"","x")</f>
        <v/>
      </c>
      <c r="Y464" t="str">
        <f>IF(ISBLANK(JP!Y468),"","x")</f>
        <v/>
      </c>
      <c r="Z464" t="str">
        <f>IF(ISBLANK(JP!Z468),"","x")</f>
        <v/>
      </c>
      <c r="AA464" t="str">
        <f>IF(ISBLANK(JP!AB468),"","x")</f>
        <v/>
      </c>
      <c r="AB464" t="str">
        <f>IF(ISBLANK(JP!AC468),"","x")</f>
        <v/>
      </c>
      <c r="AC464" t="str">
        <f>IF(ISBLANK(JP!AD468),"","x")</f>
        <v/>
      </c>
      <c r="AD464" t="str">
        <f>IF(ISBLANK(JP!AE468),"","x")</f>
        <v/>
      </c>
      <c r="AE464" t="str">
        <f>IF(ISBLANK(JP!AF468),"","x")</f>
        <v/>
      </c>
      <c r="AF464" t="str">
        <f>IF(ISBLANK(JP!AG468),"","x")</f>
        <v/>
      </c>
      <c r="AG464" t="str">
        <f>IF(ISBLANK(JP!AH468),"","x")</f>
        <v/>
      </c>
      <c r="AH464" t="str">
        <f>IF(ISBLANK(JP!AJ468),"","x")</f>
        <v/>
      </c>
      <c r="AI464" t="str">
        <f>IF(ISBLANK(JP!AK468),"","x")</f>
        <v/>
      </c>
      <c r="AJ464" t="str">
        <f>IF(ISBLANK(JP!AL468),"","x")</f>
        <v/>
      </c>
      <c r="AK464" t="str">
        <f>IF(ISBLANK(JP!AM468),"","x")</f>
        <v/>
      </c>
      <c r="AL464" t="str">
        <f>IF(ISBLANK(JP!AN468),"","x")</f>
        <v/>
      </c>
      <c r="AM464" t="str">
        <f>IF(ISBLANK(JP!AO468),"","x")</f>
        <v/>
      </c>
      <c r="AN464" t="str">
        <f>IF(ISBLANK(JP!AP468),"","x")</f>
        <v/>
      </c>
      <c r="AO464" t="str">
        <f>IF(ISBLANK(JP!AR468),"","x")</f>
        <v/>
      </c>
      <c r="AP464" t="str">
        <f>IF(ISBLANK(JP!AS468),"","x")</f>
        <v/>
      </c>
      <c r="AQ464" t="str">
        <f>IF(ISBLANK(JP!AT468),"","x")</f>
        <v/>
      </c>
      <c r="AR464" t="str">
        <f>IF(ISBLANK(JP!AU468),"","x")</f>
        <v/>
      </c>
      <c r="AS464" t="str">
        <f>IF(ISBLANK(JP!AV468),"","x")</f>
        <v/>
      </c>
      <c r="AT464" t="str">
        <f>IF(ISBLANK(JP!AW468),"","x")</f>
        <v/>
      </c>
      <c r="AU464" t="str">
        <f>IF(ISBLANK(JP!AX468),"","x")</f>
        <v/>
      </c>
    </row>
    <row r="465" spans="2:47">
      <c r="B465" t="str">
        <f>IF(ISBLANK(JP!AZ469),"",JP!AZ469)</f>
        <v/>
      </c>
      <c r="C465" t="str">
        <f>IF(ISBLANK(JP!BA469),"",JP!BA469)</f>
        <v/>
      </c>
      <c r="D465" t="str">
        <f>IF(ISBLANK(JP!BC469),"",JP!BC469)</f>
        <v/>
      </c>
      <c r="E465" t="str">
        <f>IF(ISBLANK(JP!BB469),"",JP!BB469)</f>
        <v/>
      </c>
      <c r="F465" t="str">
        <f>IF(ISBLANK(JP!D469),"","x")</f>
        <v/>
      </c>
      <c r="G465" t="str">
        <f>IF(ISBLANK(JP!E469),"","x")</f>
        <v/>
      </c>
      <c r="H465" t="str">
        <f>IF(ISBLANK(JP!F469),"","x")</f>
        <v/>
      </c>
      <c r="I465" t="str">
        <f>IF(ISBLANK(JP!G469),"","x")</f>
        <v/>
      </c>
      <c r="J465" t="str">
        <f>IF(ISBLANK(JP!H469),"","x")</f>
        <v/>
      </c>
      <c r="K465" t="str">
        <f>IF(ISBLANK(JP!I469),"","x")</f>
        <v/>
      </c>
      <c r="L465" t="str">
        <f>IF(ISBLANK(JP!J469),"","x")</f>
        <v/>
      </c>
      <c r="M465" t="str">
        <f>IF(ISBLANK(JP!L469),"","x")</f>
        <v/>
      </c>
      <c r="N465" t="str">
        <f>IF(ISBLANK(JP!M469),"","x")</f>
        <v/>
      </c>
      <c r="O465" t="str">
        <f>IF(ISBLANK(JP!N469),"","x")</f>
        <v/>
      </c>
      <c r="P465" t="str">
        <f>IF(ISBLANK(JP!O469),"","x")</f>
        <v/>
      </c>
      <c r="Q465" t="str">
        <f>IF(ISBLANK(JP!P469),"","x")</f>
        <v/>
      </c>
      <c r="R465" t="str">
        <f>IF(ISBLANK(JP!Q469),"","x")</f>
        <v/>
      </c>
      <c r="S465" t="str">
        <f>IF(ISBLANK(JP!R469),"","x")</f>
        <v/>
      </c>
      <c r="T465" t="str">
        <f>IF(ISBLANK(JP!T469),"","x")</f>
        <v/>
      </c>
      <c r="U465" t="str">
        <f>IF(ISBLANK(JP!U469),"","x")</f>
        <v/>
      </c>
      <c r="V465" t="str">
        <f>IF(ISBLANK(JP!V469),"","x")</f>
        <v/>
      </c>
      <c r="W465" t="str">
        <f>IF(ISBLANK(JP!W469),"","x")</f>
        <v/>
      </c>
      <c r="X465" t="str">
        <f>IF(ISBLANK(JP!X469),"","x")</f>
        <v/>
      </c>
      <c r="Y465" t="str">
        <f>IF(ISBLANK(JP!Y469),"","x")</f>
        <v/>
      </c>
      <c r="Z465" t="str">
        <f>IF(ISBLANK(JP!Z469),"","x")</f>
        <v/>
      </c>
      <c r="AA465" t="str">
        <f>IF(ISBLANK(JP!AB469),"","x")</f>
        <v/>
      </c>
      <c r="AB465" t="str">
        <f>IF(ISBLANK(JP!AC469),"","x")</f>
        <v/>
      </c>
      <c r="AC465" t="str">
        <f>IF(ISBLANK(JP!AD469),"","x")</f>
        <v/>
      </c>
      <c r="AD465" t="str">
        <f>IF(ISBLANK(JP!AE469),"","x")</f>
        <v/>
      </c>
      <c r="AE465" t="str">
        <f>IF(ISBLANK(JP!AF469),"","x")</f>
        <v/>
      </c>
      <c r="AF465" t="str">
        <f>IF(ISBLANK(JP!AG469),"","x")</f>
        <v/>
      </c>
      <c r="AG465" t="str">
        <f>IF(ISBLANK(JP!AH469),"","x")</f>
        <v/>
      </c>
      <c r="AH465" t="str">
        <f>IF(ISBLANK(JP!AJ469),"","x")</f>
        <v/>
      </c>
      <c r="AI465" t="str">
        <f>IF(ISBLANK(JP!AK469),"","x")</f>
        <v/>
      </c>
      <c r="AJ465" t="str">
        <f>IF(ISBLANK(JP!AL469),"","x")</f>
        <v/>
      </c>
      <c r="AK465" t="str">
        <f>IF(ISBLANK(JP!AM469),"","x")</f>
        <v/>
      </c>
      <c r="AL465" t="str">
        <f>IF(ISBLANK(JP!AN469),"","x")</f>
        <v/>
      </c>
      <c r="AM465" t="str">
        <f>IF(ISBLANK(JP!AO469),"","x")</f>
        <v/>
      </c>
      <c r="AN465" t="str">
        <f>IF(ISBLANK(JP!AP469),"","x")</f>
        <v/>
      </c>
      <c r="AO465" t="str">
        <f>IF(ISBLANK(JP!AR469),"","x")</f>
        <v/>
      </c>
      <c r="AP465" t="str">
        <f>IF(ISBLANK(JP!AS469),"","x")</f>
        <v/>
      </c>
      <c r="AQ465" t="str">
        <f>IF(ISBLANK(JP!AT469),"","x")</f>
        <v/>
      </c>
      <c r="AR465" t="str">
        <f>IF(ISBLANK(JP!AU469),"","x")</f>
        <v/>
      </c>
      <c r="AS465" t="str">
        <f>IF(ISBLANK(JP!AV469),"","x")</f>
        <v/>
      </c>
      <c r="AT465" t="str">
        <f>IF(ISBLANK(JP!AW469),"","x")</f>
        <v/>
      </c>
      <c r="AU465" t="str">
        <f>IF(ISBLANK(JP!AX469),"","x")</f>
        <v/>
      </c>
    </row>
    <row r="466" spans="2:47">
      <c r="B466" t="str">
        <f>IF(ISBLANK(JP!AZ470),"",JP!AZ470)</f>
        <v/>
      </c>
      <c r="C466" t="str">
        <f>IF(ISBLANK(JP!BA470),"",JP!BA470)</f>
        <v/>
      </c>
      <c r="D466" t="str">
        <f>IF(ISBLANK(JP!BC470),"",JP!BC470)</f>
        <v/>
      </c>
      <c r="E466" t="str">
        <f>IF(ISBLANK(JP!BB470),"",JP!BB470)</f>
        <v/>
      </c>
      <c r="F466" t="str">
        <f>IF(ISBLANK(JP!D470),"","x")</f>
        <v/>
      </c>
      <c r="G466" t="str">
        <f>IF(ISBLANK(JP!E470),"","x")</f>
        <v/>
      </c>
      <c r="H466" t="str">
        <f>IF(ISBLANK(JP!F470),"","x")</f>
        <v/>
      </c>
      <c r="I466" t="str">
        <f>IF(ISBLANK(JP!G470),"","x")</f>
        <v/>
      </c>
      <c r="J466" t="str">
        <f>IF(ISBLANK(JP!H470),"","x")</f>
        <v/>
      </c>
      <c r="K466" t="str">
        <f>IF(ISBLANK(JP!I470),"","x")</f>
        <v/>
      </c>
      <c r="L466" t="str">
        <f>IF(ISBLANK(JP!J470),"","x")</f>
        <v/>
      </c>
      <c r="M466" t="str">
        <f>IF(ISBLANK(JP!L470),"","x")</f>
        <v/>
      </c>
      <c r="N466" t="str">
        <f>IF(ISBLANK(JP!M470),"","x")</f>
        <v/>
      </c>
      <c r="O466" t="str">
        <f>IF(ISBLANK(JP!N470),"","x")</f>
        <v/>
      </c>
      <c r="P466" t="str">
        <f>IF(ISBLANK(JP!O470),"","x")</f>
        <v/>
      </c>
      <c r="Q466" t="str">
        <f>IF(ISBLANK(JP!P470),"","x")</f>
        <v/>
      </c>
      <c r="R466" t="str">
        <f>IF(ISBLANK(JP!Q470),"","x")</f>
        <v/>
      </c>
      <c r="S466" t="str">
        <f>IF(ISBLANK(JP!R470),"","x")</f>
        <v/>
      </c>
      <c r="T466" t="str">
        <f>IF(ISBLANK(JP!T470),"","x")</f>
        <v/>
      </c>
      <c r="U466" t="str">
        <f>IF(ISBLANK(JP!U470),"","x")</f>
        <v/>
      </c>
      <c r="V466" t="str">
        <f>IF(ISBLANK(JP!V470),"","x")</f>
        <v/>
      </c>
      <c r="W466" t="str">
        <f>IF(ISBLANK(JP!W470),"","x")</f>
        <v/>
      </c>
      <c r="X466" t="str">
        <f>IF(ISBLANK(JP!X470),"","x")</f>
        <v/>
      </c>
      <c r="Y466" t="str">
        <f>IF(ISBLANK(JP!Y470),"","x")</f>
        <v/>
      </c>
      <c r="Z466" t="str">
        <f>IF(ISBLANK(JP!Z470),"","x")</f>
        <v/>
      </c>
      <c r="AA466" t="str">
        <f>IF(ISBLANK(JP!AB470),"","x")</f>
        <v/>
      </c>
      <c r="AB466" t="str">
        <f>IF(ISBLANK(JP!AC470),"","x")</f>
        <v/>
      </c>
      <c r="AC466" t="str">
        <f>IF(ISBLANK(JP!AD470),"","x")</f>
        <v/>
      </c>
      <c r="AD466" t="str">
        <f>IF(ISBLANK(JP!AE470),"","x")</f>
        <v/>
      </c>
      <c r="AE466" t="str">
        <f>IF(ISBLANK(JP!AF470),"","x")</f>
        <v/>
      </c>
      <c r="AF466" t="str">
        <f>IF(ISBLANK(JP!AG470),"","x")</f>
        <v/>
      </c>
      <c r="AG466" t="str">
        <f>IF(ISBLANK(JP!AH470),"","x")</f>
        <v/>
      </c>
      <c r="AH466" t="str">
        <f>IF(ISBLANK(JP!AJ470),"","x")</f>
        <v/>
      </c>
      <c r="AI466" t="str">
        <f>IF(ISBLANK(JP!AK470),"","x")</f>
        <v/>
      </c>
      <c r="AJ466" t="str">
        <f>IF(ISBLANK(JP!AL470),"","x")</f>
        <v/>
      </c>
      <c r="AK466" t="str">
        <f>IF(ISBLANK(JP!AM470),"","x")</f>
        <v/>
      </c>
      <c r="AL466" t="str">
        <f>IF(ISBLANK(JP!AN470),"","x")</f>
        <v/>
      </c>
      <c r="AM466" t="str">
        <f>IF(ISBLANK(JP!AO470),"","x")</f>
        <v/>
      </c>
      <c r="AN466" t="str">
        <f>IF(ISBLANK(JP!AP470),"","x")</f>
        <v/>
      </c>
      <c r="AO466" t="str">
        <f>IF(ISBLANK(JP!AR470),"","x")</f>
        <v/>
      </c>
      <c r="AP466" t="str">
        <f>IF(ISBLANK(JP!AS470),"","x")</f>
        <v/>
      </c>
      <c r="AQ466" t="str">
        <f>IF(ISBLANK(JP!AT470),"","x")</f>
        <v/>
      </c>
      <c r="AR466" t="str">
        <f>IF(ISBLANK(JP!AU470),"","x")</f>
        <v/>
      </c>
      <c r="AS466" t="str">
        <f>IF(ISBLANK(JP!AV470),"","x")</f>
        <v/>
      </c>
      <c r="AT466" t="str">
        <f>IF(ISBLANK(JP!AW470),"","x")</f>
        <v/>
      </c>
      <c r="AU466" t="str">
        <f>IF(ISBLANK(JP!AX470),"","x")</f>
        <v/>
      </c>
    </row>
    <row r="467" spans="2:47">
      <c r="B467" t="str">
        <f>IF(ISBLANK(JP!AZ471),"",JP!AZ471)</f>
        <v/>
      </c>
      <c r="C467" t="str">
        <f>IF(ISBLANK(JP!BA471),"",JP!BA471)</f>
        <v/>
      </c>
      <c r="D467" t="str">
        <f>IF(ISBLANK(JP!BC471),"",JP!BC471)</f>
        <v/>
      </c>
      <c r="E467" t="str">
        <f>IF(ISBLANK(JP!BB471),"",JP!BB471)</f>
        <v/>
      </c>
      <c r="F467" t="str">
        <f>IF(ISBLANK(JP!D471),"","x")</f>
        <v/>
      </c>
      <c r="G467" t="str">
        <f>IF(ISBLANK(JP!E471),"","x")</f>
        <v/>
      </c>
      <c r="H467" t="str">
        <f>IF(ISBLANK(JP!F471),"","x")</f>
        <v/>
      </c>
      <c r="I467" t="str">
        <f>IF(ISBLANK(JP!G471),"","x")</f>
        <v/>
      </c>
      <c r="J467" t="str">
        <f>IF(ISBLANK(JP!H471),"","x")</f>
        <v/>
      </c>
      <c r="K467" t="str">
        <f>IF(ISBLANK(JP!I471),"","x")</f>
        <v/>
      </c>
      <c r="L467" t="str">
        <f>IF(ISBLANK(JP!J471),"","x")</f>
        <v/>
      </c>
      <c r="M467" t="str">
        <f>IF(ISBLANK(JP!L471),"","x")</f>
        <v/>
      </c>
      <c r="N467" t="str">
        <f>IF(ISBLANK(JP!M471),"","x")</f>
        <v/>
      </c>
      <c r="O467" t="str">
        <f>IF(ISBLANK(JP!N471),"","x")</f>
        <v/>
      </c>
      <c r="P467" t="str">
        <f>IF(ISBLANK(JP!O471),"","x")</f>
        <v/>
      </c>
      <c r="Q467" t="str">
        <f>IF(ISBLANK(JP!P471),"","x")</f>
        <v/>
      </c>
      <c r="R467" t="str">
        <f>IF(ISBLANK(JP!Q471),"","x")</f>
        <v/>
      </c>
      <c r="S467" t="str">
        <f>IF(ISBLANK(JP!R471),"","x")</f>
        <v/>
      </c>
      <c r="T467" t="str">
        <f>IF(ISBLANK(JP!T471),"","x")</f>
        <v/>
      </c>
      <c r="U467" t="str">
        <f>IF(ISBLANK(JP!U471),"","x")</f>
        <v/>
      </c>
      <c r="V467" t="str">
        <f>IF(ISBLANK(JP!V471),"","x")</f>
        <v/>
      </c>
      <c r="W467" t="str">
        <f>IF(ISBLANK(JP!W471),"","x")</f>
        <v/>
      </c>
      <c r="X467" t="str">
        <f>IF(ISBLANK(JP!X471),"","x")</f>
        <v/>
      </c>
      <c r="Y467" t="str">
        <f>IF(ISBLANK(JP!Y471),"","x")</f>
        <v/>
      </c>
      <c r="Z467" t="str">
        <f>IF(ISBLANK(JP!Z471),"","x")</f>
        <v/>
      </c>
      <c r="AA467" t="str">
        <f>IF(ISBLANK(JP!AB471),"","x")</f>
        <v/>
      </c>
      <c r="AB467" t="str">
        <f>IF(ISBLANK(JP!AC471),"","x")</f>
        <v/>
      </c>
      <c r="AC467" t="str">
        <f>IF(ISBLANK(JP!AD471),"","x")</f>
        <v/>
      </c>
      <c r="AD467" t="str">
        <f>IF(ISBLANK(JP!AE471),"","x")</f>
        <v/>
      </c>
      <c r="AE467" t="str">
        <f>IF(ISBLANK(JP!AF471),"","x")</f>
        <v/>
      </c>
      <c r="AF467" t="str">
        <f>IF(ISBLANK(JP!AG471),"","x")</f>
        <v/>
      </c>
      <c r="AG467" t="str">
        <f>IF(ISBLANK(JP!AH471),"","x")</f>
        <v/>
      </c>
      <c r="AH467" t="str">
        <f>IF(ISBLANK(JP!AJ471),"","x")</f>
        <v/>
      </c>
      <c r="AI467" t="str">
        <f>IF(ISBLANK(JP!AK471),"","x")</f>
        <v/>
      </c>
      <c r="AJ467" t="str">
        <f>IF(ISBLANK(JP!AL471),"","x")</f>
        <v/>
      </c>
      <c r="AK467" t="str">
        <f>IF(ISBLANK(JP!AM471),"","x")</f>
        <v/>
      </c>
      <c r="AL467" t="str">
        <f>IF(ISBLANK(JP!AN471),"","x")</f>
        <v/>
      </c>
      <c r="AM467" t="str">
        <f>IF(ISBLANK(JP!AO471),"","x")</f>
        <v/>
      </c>
      <c r="AN467" t="str">
        <f>IF(ISBLANK(JP!AP471),"","x")</f>
        <v/>
      </c>
      <c r="AO467" t="str">
        <f>IF(ISBLANK(JP!AR471),"","x")</f>
        <v/>
      </c>
      <c r="AP467" t="str">
        <f>IF(ISBLANK(JP!AS471),"","x")</f>
        <v/>
      </c>
      <c r="AQ467" t="str">
        <f>IF(ISBLANK(JP!AT471),"","x")</f>
        <v/>
      </c>
      <c r="AR467" t="str">
        <f>IF(ISBLANK(JP!AU471),"","x")</f>
        <v/>
      </c>
      <c r="AS467" t="str">
        <f>IF(ISBLANK(JP!AV471),"","x")</f>
        <v/>
      </c>
      <c r="AT467" t="str">
        <f>IF(ISBLANK(JP!AW471),"","x")</f>
        <v/>
      </c>
      <c r="AU467" t="str">
        <f>IF(ISBLANK(JP!AX471),"","x")</f>
        <v/>
      </c>
    </row>
    <row r="468" spans="2:47">
      <c r="B468" t="str">
        <f>IF(ISBLANK(JP!AZ472),"",JP!AZ472)</f>
        <v/>
      </c>
      <c r="C468" t="str">
        <f>IF(ISBLANK(JP!BA472),"",JP!BA472)</f>
        <v/>
      </c>
      <c r="D468" t="str">
        <f>IF(ISBLANK(JP!BC472),"",JP!BC472)</f>
        <v/>
      </c>
      <c r="E468" t="str">
        <f>IF(ISBLANK(JP!BB472),"",JP!BB472)</f>
        <v/>
      </c>
      <c r="F468" t="str">
        <f>IF(ISBLANK(JP!D472),"","x")</f>
        <v/>
      </c>
      <c r="G468" t="str">
        <f>IF(ISBLANK(JP!E472),"","x")</f>
        <v/>
      </c>
      <c r="H468" t="str">
        <f>IF(ISBLANK(JP!F472),"","x")</f>
        <v/>
      </c>
      <c r="I468" t="str">
        <f>IF(ISBLANK(JP!G472),"","x")</f>
        <v/>
      </c>
      <c r="J468" t="str">
        <f>IF(ISBLANK(JP!H472),"","x")</f>
        <v/>
      </c>
      <c r="K468" t="str">
        <f>IF(ISBLANK(JP!I472),"","x")</f>
        <v/>
      </c>
      <c r="L468" t="str">
        <f>IF(ISBLANK(JP!J472),"","x")</f>
        <v/>
      </c>
      <c r="M468" t="str">
        <f>IF(ISBLANK(JP!L472),"","x")</f>
        <v/>
      </c>
      <c r="N468" t="str">
        <f>IF(ISBLANK(JP!M472),"","x")</f>
        <v/>
      </c>
      <c r="O468" t="str">
        <f>IF(ISBLANK(JP!N472),"","x")</f>
        <v/>
      </c>
      <c r="P468" t="str">
        <f>IF(ISBLANK(JP!O472),"","x")</f>
        <v/>
      </c>
      <c r="Q468" t="str">
        <f>IF(ISBLANK(JP!P472),"","x")</f>
        <v/>
      </c>
      <c r="R468" t="str">
        <f>IF(ISBLANK(JP!Q472),"","x")</f>
        <v/>
      </c>
      <c r="S468" t="str">
        <f>IF(ISBLANK(JP!R472),"","x")</f>
        <v/>
      </c>
      <c r="T468" t="str">
        <f>IF(ISBLANK(JP!T472),"","x")</f>
        <v/>
      </c>
      <c r="U468" t="str">
        <f>IF(ISBLANK(JP!U472),"","x")</f>
        <v/>
      </c>
      <c r="V468" t="str">
        <f>IF(ISBLANK(JP!V472),"","x")</f>
        <v/>
      </c>
      <c r="W468" t="str">
        <f>IF(ISBLANK(JP!W472),"","x")</f>
        <v/>
      </c>
      <c r="X468" t="str">
        <f>IF(ISBLANK(JP!X472),"","x")</f>
        <v/>
      </c>
      <c r="Y468" t="str">
        <f>IF(ISBLANK(JP!Y472),"","x")</f>
        <v/>
      </c>
      <c r="Z468" t="str">
        <f>IF(ISBLANK(JP!Z472),"","x")</f>
        <v/>
      </c>
      <c r="AA468" t="str">
        <f>IF(ISBLANK(JP!AB472),"","x")</f>
        <v/>
      </c>
      <c r="AB468" t="str">
        <f>IF(ISBLANK(JP!AC472),"","x")</f>
        <v/>
      </c>
      <c r="AC468" t="str">
        <f>IF(ISBLANK(JP!AD472),"","x")</f>
        <v/>
      </c>
      <c r="AD468" t="str">
        <f>IF(ISBLANK(JP!AE472),"","x")</f>
        <v/>
      </c>
      <c r="AE468" t="str">
        <f>IF(ISBLANK(JP!AF472),"","x")</f>
        <v/>
      </c>
      <c r="AF468" t="str">
        <f>IF(ISBLANK(JP!AG472),"","x")</f>
        <v/>
      </c>
      <c r="AG468" t="str">
        <f>IF(ISBLANK(JP!AH472),"","x")</f>
        <v/>
      </c>
      <c r="AH468" t="str">
        <f>IF(ISBLANK(JP!AJ472),"","x")</f>
        <v/>
      </c>
      <c r="AI468" t="str">
        <f>IF(ISBLANK(JP!AK472),"","x")</f>
        <v/>
      </c>
      <c r="AJ468" t="str">
        <f>IF(ISBLANK(JP!AL472),"","x")</f>
        <v/>
      </c>
      <c r="AK468" t="str">
        <f>IF(ISBLANK(JP!AM472),"","x")</f>
        <v/>
      </c>
      <c r="AL468" t="str">
        <f>IF(ISBLANK(JP!AN472),"","x")</f>
        <v/>
      </c>
      <c r="AM468" t="str">
        <f>IF(ISBLANK(JP!AO472),"","x")</f>
        <v/>
      </c>
      <c r="AN468" t="str">
        <f>IF(ISBLANK(JP!AP472),"","x")</f>
        <v/>
      </c>
      <c r="AO468" t="str">
        <f>IF(ISBLANK(JP!AR472),"","x")</f>
        <v/>
      </c>
      <c r="AP468" t="str">
        <f>IF(ISBLANK(JP!AS472),"","x")</f>
        <v/>
      </c>
      <c r="AQ468" t="str">
        <f>IF(ISBLANK(JP!AT472),"","x")</f>
        <v/>
      </c>
      <c r="AR468" t="str">
        <f>IF(ISBLANK(JP!AU472),"","x")</f>
        <v/>
      </c>
      <c r="AS468" t="str">
        <f>IF(ISBLANK(JP!AV472),"","x")</f>
        <v/>
      </c>
      <c r="AT468" t="str">
        <f>IF(ISBLANK(JP!AW472),"","x")</f>
        <v/>
      </c>
      <c r="AU468" t="str">
        <f>IF(ISBLANK(JP!AX472),"","x")</f>
        <v/>
      </c>
    </row>
    <row r="469" spans="2:47">
      <c r="B469" t="str">
        <f>IF(ISBLANK(JP!AZ473),"",JP!AZ473)</f>
        <v/>
      </c>
      <c r="C469" t="str">
        <f>IF(ISBLANK(JP!BA473),"",JP!BA473)</f>
        <v/>
      </c>
      <c r="D469" t="str">
        <f>IF(ISBLANK(JP!BC473),"",JP!BC473)</f>
        <v/>
      </c>
      <c r="E469" t="str">
        <f>IF(ISBLANK(JP!BB473),"",JP!BB473)</f>
        <v/>
      </c>
      <c r="F469" t="str">
        <f>IF(ISBLANK(JP!D473),"","x")</f>
        <v/>
      </c>
      <c r="G469" t="str">
        <f>IF(ISBLANK(JP!E473),"","x")</f>
        <v/>
      </c>
      <c r="H469" t="str">
        <f>IF(ISBLANK(JP!F473),"","x")</f>
        <v/>
      </c>
      <c r="I469" t="str">
        <f>IF(ISBLANK(JP!G473),"","x")</f>
        <v/>
      </c>
      <c r="J469" t="str">
        <f>IF(ISBLANK(JP!H473),"","x")</f>
        <v/>
      </c>
      <c r="K469" t="str">
        <f>IF(ISBLANK(JP!I473),"","x")</f>
        <v/>
      </c>
      <c r="L469" t="str">
        <f>IF(ISBLANK(JP!J473),"","x")</f>
        <v/>
      </c>
      <c r="M469" t="str">
        <f>IF(ISBLANK(JP!L473),"","x")</f>
        <v/>
      </c>
      <c r="N469" t="str">
        <f>IF(ISBLANK(JP!M473),"","x")</f>
        <v/>
      </c>
      <c r="O469" t="str">
        <f>IF(ISBLANK(JP!N473),"","x")</f>
        <v/>
      </c>
      <c r="P469" t="str">
        <f>IF(ISBLANK(JP!O473),"","x")</f>
        <v/>
      </c>
      <c r="Q469" t="str">
        <f>IF(ISBLANK(JP!P473),"","x")</f>
        <v/>
      </c>
      <c r="R469" t="str">
        <f>IF(ISBLANK(JP!Q473),"","x")</f>
        <v/>
      </c>
      <c r="S469" t="str">
        <f>IF(ISBLANK(JP!R473),"","x")</f>
        <v/>
      </c>
      <c r="T469" t="str">
        <f>IF(ISBLANK(JP!T473),"","x")</f>
        <v/>
      </c>
      <c r="U469" t="str">
        <f>IF(ISBLANK(JP!U473),"","x")</f>
        <v/>
      </c>
      <c r="V469" t="str">
        <f>IF(ISBLANK(JP!V473),"","x")</f>
        <v/>
      </c>
      <c r="W469" t="str">
        <f>IF(ISBLANK(JP!W473),"","x")</f>
        <v/>
      </c>
      <c r="X469" t="str">
        <f>IF(ISBLANK(JP!X473),"","x")</f>
        <v/>
      </c>
      <c r="Y469" t="str">
        <f>IF(ISBLANK(JP!Y473),"","x")</f>
        <v/>
      </c>
      <c r="Z469" t="str">
        <f>IF(ISBLANK(JP!Z473),"","x")</f>
        <v/>
      </c>
      <c r="AA469" t="str">
        <f>IF(ISBLANK(JP!AB473),"","x")</f>
        <v/>
      </c>
      <c r="AB469" t="str">
        <f>IF(ISBLANK(JP!AC473),"","x")</f>
        <v/>
      </c>
      <c r="AC469" t="str">
        <f>IF(ISBLANK(JP!AD473),"","x")</f>
        <v/>
      </c>
      <c r="AD469" t="str">
        <f>IF(ISBLANK(JP!AE473),"","x")</f>
        <v/>
      </c>
      <c r="AE469" t="str">
        <f>IF(ISBLANK(JP!AF473),"","x")</f>
        <v/>
      </c>
      <c r="AF469" t="str">
        <f>IF(ISBLANK(JP!AG473),"","x")</f>
        <v/>
      </c>
      <c r="AG469" t="str">
        <f>IF(ISBLANK(JP!AH473),"","x")</f>
        <v/>
      </c>
      <c r="AH469" t="str">
        <f>IF(ISBLANK(JP!AJ473),"","x")</f>
        <v/>
      </c>
      <c r="AI469" t="str">
        <f>IF(ISBLANK(JP!AK473),"","x")</f>
        <v/>
      </c>
      <c r="AJ469" t="str">
        <f>IF(ISBLANK(JP!AL473),"","x")</f>
        <v/>
      </c>
      <c r="AK469" t="str">
        <f>IF(ISBLANK(JP!AM473),"","x")</f>
        <v/>
      </c>
      <c r="AL469" t="str">
        <f>IF(ISBLANK(JP!AN473),"","x")</f>
        <v/>
      </c>
      <c r="AM469" t="str">
        <f>IF(ISBLANK(JP!AO473),"","x")</f>
        <v/>
      </c>
      <c r="AN469" t="str">
        <f>IF(ISBLANK(JP!AP473),"","x")</f>
        <v/>
      </c>
      <c r="AO469" t="str">
        <f>IF(ISBLANK(JP!AR473),"","x")</f>
        <v/>
      </c>
      <c r="AP469" t="str">
        <f>IF(ISBLANK(JP!AS473),"","x")</f>
        <v/>
      </c>
      <c r="AQ469" t="str">
        <f>IF(ISBLANK(JP!AT473),"","x")</f>
        <v/>
      </c>
      <c r="AR469" t="str">
        <f>IF(ISBLANK(JP!AU473),"","x")</f>
        <v/>
      </c>
      <c r="AS469" t="str">
        <f>IF(ISBLANK(JP!AV473),"","x")</f>
        <v/>
      </c>
      <c r="AT469" t="str">
        <f>IF(ISBLANK(JP!AW473),"","x")</f>
        <v/>
      </c>
      <c r="AU469" t="str">
        <f>IF(ISBLANK(JP!AX473),"","x")</f>
        <v/>
      </c>
    </row>
    <row r="470" spans="2:47">
      <c r="B470" t="str">
        <f>IF(ISBLANK(JP!AZ474),"",JP!AZ474)</f>
        <v/>
      </c>
      <c r="C470" t="str">
        <f>IF(ISBLANK(JP!BA474),"",JP!BA474)</f>
        <v/>
      </c>
      <c r="D470" t="str">
        <f>IF(ISBLANK(JP!BC474),"",JP!BC474)</f>
        <v/>
      </c>
      <c r="E470" t="str">
        <f>IF(ISBLANK(JP!BB474),"",JP!BB474)</f>
        <v/>
      </c>
      <c r="F470" t="str">
        <f>IF(ISBLANK(JP!D474),"","x")</f>
        <v/>
      </c>
      <c r="G470" t="str">
        <f>IF(ISBLANK(JP!E474),"","x")</f>
        <v/>
      </c>
      <c r="H470" t="str">
        <f>IF(ISBLANK(JP!F474),"","x")</f>
        <v/>
      </c>
      <c r="I470" t="str">
        <f>IF(ISBLANK(JP!G474),"","x")</f>
        <v/>
      </c>
      <c r="J470" t="str">
        <f>IF(ISBLANK(JP!H474),"","x")</f>
        <v/>
      </c>
      <c r="K470" t="str">
        <f>IF(ISBLANK(JP!I474),"","x")</f>
        <v/>
      </c>
      <c r="L470" t="str">
        <f>IF(ISBLANK(JP!J474),"","x")</f>
        <v/>
      </c>
      <c r="M470" t="str">
        <f>IF(ISBLANK(JP!L474),"","x")</f>
        <v/>
      </c>
      <c r="N470" t="str">
        <f>IF(ISBLANK(JP!M474),"","x")</f>
        <v/>
      </c>
      <c r="O470" t="str">
        <f>IF(ISBLANK(JP!N474),"","x")</f>
        <v/>
      </c>
      <c r="P470" t="str">
        <f>IF(ISBLANK(JP!O474),"","x")</f>
        <v/>
      </c>
      <c r="Q470" t="str">
        <f>IF(ISBLANK(JP!P474),"","x")</f>
        <v/>
      </c>
      <c r="R470" t="str">
        <f>IF(ISBLANK(JP!Q474),"","x")</f>
        <v/>
      </c>
      <c r="S470" t="str">
        <f>IF(ISBLANK(JP!R474),"","x")</f>
        <v/>
      </c>
      <c r="T470" t="str">
        <f>IF(ISBLANK(JP!T474),"","x")</f>
        <v/>
      </c>
      <c r="U470" t="str">
        <f>IF(ISBLANK(JP!U474),"","x")</f>
        <v/>
      </c>
      <c r="V470" t="str">
        <f>IF(ISBLANK(JP!V474),"","x")</f>
        <v/>
      </c>
      <c r="W470" t="str">
        <f>IF(ISBLANK(JP!W474),"","x")</f>
        <v/>
      </c>
      <c r="X470" t="str">
        <f>IF(ISBLANK(JP!X474),"","x")</f>
        <v/>
      </c>
      <c r="Y470" t="str">
        <f>IF(ISBLANK(JP!Y474),"","x")</f>
        <v/>
      </c>
      <c r="Z470" t="str">
        <f>IF(ISBLANK(JP!Z474),"","x")</f>
        <v/>
      </c>
      <c r="AA470" t="str">
        <f>IF(ISBLANK(JP!AB474),"","x")</f>
        <v/>
      </c>
      <c r="AB470" t="str">
        <f>IF(ISBLANK(JP!AC474),"","x")</f>
        <v/>
      </c>
      <c r="AC470" t="str">
        <f>IF(ISBLANK(JP!AD474),"","x")</f>
        <v/>
      </c>
      <c r="AD470" t="str">
        <f>IF(ISBLANK(JP!AE474),"","x")</f>
        <v/>
      </c>
      <c r="AE470" t="str">
        <f>IF(ISBLANK(JP!AF474),"","x")</f>
        <v/>
      </c>
      <c r="AF470" t="str">
        <f>IF(ISBLANK(JP!AG474),"","x")</f>
        <v/>
      </c>
      <c r="AG470" t="str">
        <f>IF(ISBLANK(JP!AH474),"","x")</f>
        <v/>
      </c>
      <c r="AH470" t="str">
        <f>IF(ISBLANK(JP!AJ474),"","x")</f>
        <v/>
      </c>
      <c r="AI470" t="str">
        <f>IF(ISBLANK(JP!AK474),"","x")</f>
        <v/>
      </c>
      <c r="AJ470" t="str">
        <f>IF(ISBLANK(JP!AL474),"","x")</f>
        <v/>
      </c>
      <c r="AK470" t="str">
        <f>IF(ISBLANK(JP!AM474),"","x")</f>
        <v/>
      </c>
      <c r="AL470" t="str">
        <f>IF(ISBLANK(JP!AN474),"","x")</f>
        <v/>
      </c>
      <c r="AM470" t="str">
        <f>IF(ISBLANK(JP!AO474),"","x")</f>
        <v/>
      </c>
      <c r="AN470" t="str">
        <f>IF(ISBLANK(JP!AP474),"","x")</f>
        <v/>
      </c>
      <c r="AO470" t="str">
        <f>IF(ISBLANK(JP!AR474),"","x")</f>
        <v/>
      </c>
      <c r="AP470" t="str">
        <f>IF(ISBLANK(JP!AS474),"","x")</f>
        <v/>
      </c>
      <c r="AQ470" t="str">
        <f>IF(ISBLANK(JP!AT474),"","x")</f>
        <v/>
      </c>
      <c r="AR470" t="str">
        <f>IF(ISBLANK(JP!AU474),"","x")</f>
        <v/>
      </c>
      <c r="AS470" t="str">
        <f>IF(ISBLANK(JP!AV474),"","x")</f>
        <v/>
      </c>
      <c r="AT470" t="str">
        <f>IF(ISBLANK(JP!AW474),"","x")</f>
        <v/>
      </c>
      <c r="AU470" t="str">
        <f>IF(ISBLANK(JP!AX474),"","x")</f>
        <v/>
      </c>
    </row>
    <row r="471" spans="2:47">
      <c r="B471" t="str">
        <f>IF(ISBLANK(JP!AZ475),"",JP!AZ475)</f>
        <v/>
      </c>
      <c r="C471" t="str">
        <f>IF(ISBLANK(JP!BA475),"",JP!BA475)</f>
        <v/>
      </c>
      <c r="D471" t="str">
        <f>IF(ISBLANK(JP!BC475),"",JP!BC475)</f>
        <v/>
      </c>
      <c r="E471" t="str">
        <f>IF(ISBLANK(JP!BB475),"",JP!BB475)</f>
        <v/>
      </c>
      <c r="F471" t="str">
        <f>IF(ISBLANK(JP!D475),"","x")</f>
        <v/>
      </c>
      <c r="G471" t="str">
        <f>IF(ISBLANK(JP!E475),"","x")</f>
        <v/>
      </c>
      <c r="H471" t="str">
        <f>IF(ISBLANK(JP!F475),"","x")</f>
        <v/>
      </c>
      <c r="I471" t="str">
        <f>IF(ISBLANK(JP!G475),"","x")</f>
        <v/>
      </c>
      <c r="J471" t="str">
        <f>IF(ISBLANK(JP!H475),"","x")</f>
        <v/>
      </c>
      <c r="K471" t="str">
        <f>IF(ISBLANK(JP!I475),"","x")</f>
        <v/>
      </c>
      <c r="L471" t="str">
        <f>IF(ISBLANK(JP!J475),"","x")</f>
        <v/>
      </c>
      <c r="M471" t="str">
        <f>IF(ISBLANK(JP!L475),"","x")</f>
        <v/>
      </c>
      <c r="N471" t="str">
        <f>IF(ISBLANK(JP!M475),"","x")</f>
        <v/>
      </c>
      <c r="O471" t="str">
        <f>IF(ISBLANK(JP!N475),"","x")</f>
        <v/>
      </c>
      <c r="P471" t="str">
        <f>IF(ISBLANK(JP!O475),"","x")</f>
        <v/>
      </c>
      <c r="Q471" t="str">
        <f>IF(ISBLANK(JP!P475),"","x")</f>
        <v/>
      </c>
      <c r="R471" t="str">
        <f>IF(ISBLANK(JP!Q475),"","x")</f>
        <v/>
      </c>
      <c r="S471" t="str">
        <f>IF(ISBLANK(JP!R475),"","x")</f>
        <v/>
      </c>
      <c r="T471" t="str">
        <f>IF(ISBLANK(JP!T475),"","x")</f>
        <v/>
      </c>
      <c r="U471" t="str">
        <f>IF(ISBLANK(JP!U475),"","x")</f>
        <v/>
      </c>
      <c r="V471" t="str">
        <f>IF(ISBLANK(JP!V475),"","x")</f>
        <v/>
      </c>
      <c r="W471" t="str">
        <f>IF(ISBLANK(JP!W475),"","x")</f>
        <v/>
      </c>
      <c r="X471" t="str">
        <f>IF(ISBLANK(JP!X475),"","x")</f>
        <v/>
      </c>
      <c r="Y471" t="str">
        <f>IF(ISBLANK(JP!Y475),"","x")</f>
        <v/>
      </c>
      <c r="Z471" t="str">
        <f>IF(ISBLANK(JP!Z475),"","x")</f>
        <v/>
      </c>
      <c r="AA471" t="str">
        <f>IF(ISBLANK(JP!AB475),"","x")</f>
        <v/>
      </c>
      <c r="AB471" t="str">
        <f>IF(ISBLANK(JP!AC475),"","x")</f>
        <v/>
      </c>
      <c r="AC471" t="str">
        <f>IF(ISBLANK(JP!AD475),"","x")</f>
        <v/>
      </c>
      <c r="AD471" t="str">
        <f>IF(ISBLANK(JP!AE475),"","x")</f>
        <v/>
      </c>
      <c r="AE471" t="str">
        <f>IF(ISBLANK(JP!AF475),"","x")</f>
        <v/>
      </c>
      <c r="AF471" t="str">
        <f>IF(ISBLANK(JP!AG475),"","x")</f>
        <v/>
      </c>
      <c r="AG471" t="str">
        <f>IF(ISBLANK(JP!AH475),"","x")</f>
        <v/>
      </c>
      <c r="AH471" t="str">
        <f>IF(ISBLANK(JP!AJ475),"","x")</f>
        <v/>
      </c>
      <c r="AI471" t="str">
        <f>IF(ISBLANK(JP!AK475),"","x")</f>
        <v/>
      </c>
      <c r="AJ471" t="str">
        <f>IF(ISBLANK(JP!AL475),"","x")</f>
        <v/>
      </c>
      <c r="AK471" t="str">
        <f>IF(ISBLANK(JP!AM475),"","x")</f>
        <v/>
      </c>
      <c r="AL471" t="str">
        <f>IF(ISBLANK(JP!AN475),"","x")</f>
        <v/>
      </c>
      <c r="AM471" t="str">
        <f>IF(ISBLANK(JP!AO475),"","x")</f>
        <v/>
      </c>
      <c r="AN471" t="str">
        <f>IF(ISBLANK(JP!AP475),"","x")</f>
        <v/>
      </c>
      <c r="AO471" t="str">
        <f>IF(ISBLANK(JP!AR475),"","x")</f>
        <v/>
      </c>
      <c r="AP471" t="str">
        <f>IF(ISBLANK(JP!AS475),"","x")</f>
        <v/>
      </c>
      <c r="AQ471" t="str">
        <f>IF(ISBLANK(JP!AT475),"","x")</f>
        <v/>
      </c>
      <c r="AR471" t="str">
        <f>IF(ISBLANK(JP!AU475),"","x")</f>
        <v/>
      </c>
      <c r="AS471" t="str">
        <f>IF(ISBLANK(JP!AV475),"","x")</f>
        <v/>
      </c>
      <c r="AT471" t="str">
        <f>IF(ISBLANK(JP!AW475),"","x")</f>
        <v/>
      </c>
      <c r="AU471" t="str">
        <f>IF(ISBLANK(JP!AX475),"","x")</f>
        <v/>
      </c>
    </row>
    <row r="472" spans="2:47">
      <c r="B472" t="str">
        <f>IF(ISBLANK(JP!AZ476),"",JP!AZ476)</f>
        <v/>
      </c>
      <c r="C472" t="str">
        <f>IF(ISBLANK(JP!BA476),"",JP!BA476)</f>
        <v/>
      </c>
      <c r="D472" t="str">
        <f>IF(ISBLANK(JP!BC476),"",JP!BC476)</f>
        <v/>
      </c>
      <c r="E472" t="str">
        <f>IF(ISBLANK(JP!BB476),"",JP!BB476)</f>
        <v/>
      </c>
      <c r="F472" t="str">
        <f>IF(ISBLANK(JP!D476),"","x")</f>
        <v/>
      </c>
      <c r="G472" t="str">
        <f>IF(ISBLANK(JP!E476),"","x")</f>
        <v/>
      </c>
      <c r="H472" t="str">
        <f>IF(ISBLANK(JP!F476),"","x")</f>
        <v/>
      </c>
      <c r="I472" t="str">
        <f>IF(ISBLANK(JP!G476),"","x")</f>
        <v/>
      </c>
      <c r="J472" t="str">
        <f>IF(ISBLANK(JP!H476),"","x")</f>
        <v/>
      </c>
      <c r="K472" t="str">
        <f>IF(ISBLANK(JP!I476),"","x")</f>
        <v/>
      </c>
      <c r="L472" t="str">
        <f>IF(ISBLANK(JP!J476),"","x")</f>
        <v/>
      </c>
      <c r="M472" t="str">
        <f>IF(ISBLANK(JP!L476),"","x")</f>
        <v/>
      </c>
      <c r="N472" t="str">
        <f>IF(ISBLANK(JP!M476),"","x")</f>
        <v/>
      </c>
      <c r="O472" t="str">
        <f>IF(ISBLANK(JP!N476),"","x")</f>
        <v/>
      </c>
      <c r="P472" t="str">
        <f>IF(ISBLANK(JP!O476),"","x")</f>
        <v/>
      </c>
      <c r="Q472" t="str">
        <f>IF(ISBLANK(JP!P476),"","x")</f>
        <v/>
      </c>
      <c r="R472" t="str">
        <f>IF(ISBLANK(JP!Q476),"","x")</f>
        <v/>
      </c>
      <c r="S472" t="str">
        <f>IF(ISBLANK(JP!R476),"","x")</f>
        <v/>
      </c>
      <c r="T472" t="str">
        <f>IF(ISBLANK(JP!T476),"","x")</f>
        <v/>
      </c>
      <c r="U472" t="str">
        <f>IF(ISBLANK(JP!U476),"","x")</f>
        <v/>
      </c>
      <c r="V472" t="str">
        <f>IF(ISBLANK(JP!V476),"","x")</f>
        <v/>
      </c>
      <c r="W472" t="str">
        <f>IF(ISBLANK(JP!W476),"","x")</f>
        <v/>
      </c>
      <c r="X472" t="str">
        <f>IF(ISBLANK(JP!X476),"","x")</f>
        <v/>
      </c>
      <c r="Y472" t="str">
        <f>IF(ISBLANK(JP!Y476),"","x")</f>
        <v/>
      </c>
      <c r="Z472" t="str">
        <f>IF(ISBLANK(JP!Z476),"","x")</f>
        <v/>
      </c>
      <c r="AA472" t="str">
        <f>IF(ISBLANK(JP!AB476),"","x")</f>
        <v/>
      </c>
      <c r="AB472" t="str">
        <f>IF(ISBLANK(JP!AC476),"","x")</f>
        <v/>
      </c>
      <c r="AC472" t="str">
        <f>IF(ISBLANK(JP!AD476),"","x")</f>
        <v/>
      </c>
      <c r="AD472" t="str">
        <f>IF(ISBLANK(JP!AE476),"","x")</f>
        <v/>
      </c>
      <c r="AE472" t="str">
        <f>IF(ISBLANK(JP!AF476),"","x")</f>
        <v/>
      </c>
      <c r="AF472" t="str">
        <f>IF(ISBLANK(JP!AG476),"","x")</f>
        <v/>
      </c>
      <c r="AG472" t="str">
        <f>IF(ISBLANK(JP!AH476),"","x")</f>
        <v/>
      </c>
      <c r="AH472" t="str">
        <f>IF(ISBLANK(JP!AJ476),"","x")</f>
        <v/>
      </c>
      <c r="AI472" t="str">
        <f>IF(ISBLANK(JP!AK476),"","x")</f>
        <v/>
      </c>
      <c r="AJ472" t="str">
        <f>IF(ISBLANK(JP!AL476),"","x")</f>
        <v/>
      </c>
      <c r="AK472" t="str">
        <f>IF(ISBLANK(JP!AM476),"","x")</f>
        <v/>
      </c>
      <c r="AL472" t="str">
        <f>IF(ISBLANK(JP!AN476),"","x")</f>
        <v/>
      </c>
      <c r="AM472" t="str">
        <f>IF(ISBLANK(JP!AO476),"","x")</f>
        <v/>
      </c>
      <c r="AN472" t="str">
        <f>IF(ISBLANK(JP!AP476),"","x")</f>
        <v/>
      </c>
      <c r="AO472" t="str">
        <f>IF(ISBLANK(JP!AR476),"","x")</f>
        <v/>
      </c>
      <c r="AP472" t="str">
        <f>IF(ISBLANK(JP!AS476),"","x")</f>
        <v/>
      </c>
      <c r="AQ472" t="str">
        <f>IF(ISBLANK(JP!AT476),"","x")</f>
        <v/>
      </c>
      <c r="AR472" t="str">
        <f>IF(ISBLANK(JP!AU476),"","x")</f>
        <v/>
      </c>
      <c r="AS472" t="str">
        <f>IF(ISBLANK(JP!AV476),"","x")</f>
        <v/>
      </c>
      <c r="AT472" t="str">
        <f>IF(ISBLANK(JP!AW476),"","x")</f>
        <v/>
      </c>
      <c r="AU472" t="str">
        <f>IF(ISBLANK(JP!AX476),"","x")</f>
        <v/>
      </c>
    </row>
    <row r="473" spans="2:47">
      <c r="B473" t="str">
        <f>IF(ISBLANK(JP!AZ477),"",JP!AZ477)</f>
        <v/>
      </c>
      <c r="C473" t="str">
        <f>IF(ISBLANK(JP!BA477),"",JP!BA477)</f>
        <v/>
      </c>
      <c r="D473" t="str">
        <f>IF(ISBLANK(JP!BC477),"",JP!BC477)</f>
        <v/>
      </c>
      <c r="E473" t="str">
        <f>IF(ISBLANK(JP!BB477),"",JP!BB477)</f>
        <v/>
      </c>
      <c r="F473" t="str">
        <f>IF(ISBLANK(JP!D477),"","x")</f>
        <v/>
      </c>
      <c r="G473" t="str">
        <f>IF(ISBLANK(JP!E477),"","x")</f>
        <v/>
      </c>
      <c r="H473" t="str">
        <f>IF(ISBLANK(JP!F477),"","x")</f>
        <v/>
      </c>
      <c r="I473" t="str">
        <f>IF(ISBLANK(JP!G477),"","x")</f>
        <v/>
      </c>
      <c r="J473" t="str">
        <f>IF(ISBLANK(JP!H477),"","x")</f>
        <v/>
      </c>
      <c r="K473" t="str">
        <f>IF(ISBLANK(JP!I477),"","x")</f>
        <v/>
      </c>
      <c r="L473" t="str">
        <f>IF(ISBLANK(JP!J477),"","x")</f>
        <v/>
      </c>
      <c r="M473" t="str">
        <f>IF(ISBLANK(JP!L477),"","x")</f>
        <v/>
      </c>
      <c r="N473" t="str">
        <f>IF(ISBLANK(JP!M477),"","x")</f>
        <v/>
      </c>
      <c r="O473" t="str">
        <f>IF(ISBLANK(JP!N477),"","x")</f>
        <v/>
      </c>
      <c r="P473" t="str">
        <f>IF(ISBLANK(JP!O477),"","x")</f>
        <v/>
      </c>
      <c r="Q473" t="str">
        <f>IF(ISBLANK(JP!P477),"","x")</f>
        <v/>
      </c>
      <c r="R473" t="str">
        <f>IF(ISBLANK(JP!Q477),"","x")</f>
        <v/>
      </c>
      <c r="S473" t="str">
        <f>IF(ISBLANK(JP!R477),"","x")</f>
        <v/>
      </c>
      <c r="T473" t="str">
        <f>IF(ISBLANK(JP!T477),"","x")</f>
        <v/>
      </c>
      <c r="U473" t="str">
        <f>IF(ISBLANK(JP!U477),"","x")</f>
        <v/>
      </c>
      <c r="V473" t="str">
        <f>IF(ISBLANK(JP!V477),"","x")</f>
        <v/>
      </c>
      <c r="W473" t="str">
        <f>IF(ISBLANK(JP!W477),"","x")</f>
        <v/>
      </c>
      <c r="X473" t="str">
        <f>IF(ISBLANK(JP!X477),"","x")</f>
        <v/>
      </c>
      <c r="Y473" t="str">
        <f>IF(ISBLANK(JP!Y477),"","x")</f>
        <v/>
      </c>
      <c r="Z473" t="str">
        <f>IF(ISBLANK(JP!Z477),"","x")</f>
        <v/>
      </c>
      <c r="AA473" t="str">
        <f>IF(ISBLANK(JP!AB477),"","x")</f>
        <v/>
      </c>
      <c r="AB473" t="str">
        <f>IF(ISBLANK(JP!AC477),"","x")</f>
        <v/>
      </c>
      <c r="AC473" t="str">
        <f>IF(ISBLANK(JP!AD477),"","x")</f>
        <v/>
      </c>
      <c r="AD473" t="str">
        <f>IF(ISBLANK(JP!AE477),"","x")</f>
        <v/>
      </c>
      <c r="AE473" t="str">
        <f>IF(ISBLANK(JP!AF477),"","x")</f>
        <v/>
      </c>
      <c r="AF473" t="str">
        <f>IF(ISBLANK(JP!AG477),"","x")</f>
        <v/>
      </c>
      <c r="AG473" t="str">
        <f>IF(ISBLANK(JP!AH477),"","x")</f>
        <v/>
      </c>
      <c r="AH473" t="str">
        <f>IF(ISBLANK(JP!AJ477),"","x")</f>
        <v/>
      </c>
      <c r="AI473" t="str">
        <f>IF(ISBLANK(JP!AK477),"","x")</f>
        <v/>
      </c>
      <c r="AJ473" t="str">
        <f>IF(ISBLANK(JP!AL477),"","x")</f>
        <v/>
      </c>
      <c r="AK473" t="str">
        <f>IF(ISBLANK(JP!AM477),"","x")</f>
        <v/>
      </c>
      <c r="AL473" t="str">
        <f>IF(ISBLANK(JP!AN477),"","x")</f>
        <v/>
      </c>
      <c r="AM473" t="str">
        <f>IF(ISBLANK(JP!AO477),"","x")</f>
        <v/>
      </c>
      <c r="AN473" t="str">
        <f>IF(ISBLANK(JP!AP477),"","x")</f>
        <v/>
      </c>
      <c r="AO473" t="str">
        <f>IF(ISBLANK(JP!AR477),"","x")</f>
        <v/>
      </c>
      <c r="AP473" t="str">
        <f>IF(ISBLANK(JP!AS477),"","x")</f>
        <v/>
      </c>
      <c r="AQ473" t="str">
        <f>IF(ISBLANK(JP!AT477),"","x")</f>
        <v/>
      </c>
      <c r="AR473" t="str">
        <f>IF(ISBLANK(JP!AU477),"","x")</f>
        <v/>
      </c>
      <c r="AS473" t="str">
        <f>IF(ISBLANK(JP!AV477),"","x")</f>
        <v/>
      </c>
      <c r="AT473" t="str">
        <f>IF(ISBLANK(JP!AW477),"","x")</f>
        <v/>
      </c>
      <c r="AU473" t="str">
        <f>IF(ISBLANK(JP!AX477),"","x")</f>
        <v/>
      </c>
    </row>
    <row r="474" spans="2:47">
      <c r="B474" t="str">
        <f>IF(ISBLANK(JP!AZ478),"",JP!AZ478)</f>
        <v/>
      </c>
      <c r="C474" t="str">
        <f>IF(ISBLANK(JP!BA478),"",JP!BA478)</f>
        <v/>
      </c>
      <c r="D474" t="str">
        <f>IF(ISBLANK(JP!BC478),"",JP!BC478)</f>
        <v/>
      </c>
      <c r="E474" t="str">
        <f>IF(ISBLANK(JP!BB478),"",JP!BB478)</f>
        <v/>
      </c>
      <c r="F474" t="str">
        <f>IF(ISBLANK(JP!D478),"","x")</f>
        <v/>
      </c>
      <c r="G474" t="str">
        <f>IF(ISBLANK(JP!E478),"","x")</f>
        <v/>
      </c>
      <c r="H474" t="str">
        <f>IF(ISBLANK(JP!F478),"","x")</f>
        <v/>
      </c>
      <c r="I474" t="str">
        <f>IF(ISBLANK(JP!G478),"","x")</f>
        <v/>
      </c>
      <c r="J474" t="str">
        <f>IF(ISBLANK(JP!H478),"","x")</f>
        <v/>
      </c>
      <c r="K474" t="str">
        <f>IF(ISBLANK(JP!I478),"","x")</f>
        <v/>
      </c>
      <c r="L474" t="str">
        <f>IF(ISBLANK(JP!J478),"","x")</f>
        <v/>
      </c>
      <c r="M474" t="str">
        <f>IF(ISBLANK(JP!L478),"","x")</f>
        <v/>
      </c>
      <c r="N474" t="str">
        <f>IF(ISBLANK(JP!M478),"","x")</f>
        <v/>
      </c>
      <c r="O474" t="str">
        <f>IF(ISBLANK(JP!N478),"","x")</f>
        <v/>
      </c>
      <c r="P474" t="str">
        <f>IF(ISBLANK(JP!O478),"","x")</f>
        <v/>
      </c>
      <c r="Q474" t="str">
        <f>IF(ISBLANK(JP!P478),"","x")</f>
        <v/>
      </c>
      <c r="R474" t="str">
        <f>IF(ISBLANK(JP!Q478),"","x")</f>
        <v/>
      </c>
      <c r="S474" t="str">
        <f>IF(ISBLANK(JP!R478),"","x")</f>
        <v/>
      </c>
      <c r="T474" t="str">
        <f>IF(ISBLANK(JP!T478),"","x")</f>
        <v/>
      </c>
      <c r="U474" t="str">
        <f>IF(ISBLANK(JP!U478),"","x")</f>
        <v/>
      </c>
      <c r="V474" t="str">
        <f>IF(ISBLANK(JP!V478),"","x")</f>
        <v/>
      </c>
      <c r="W474" t="str">
        <f>IF(ISBLANK(JP!W478),"","x")</f>
        <v/>
      </c>
      <c r="X474" t="str">
        <f>IF(ISBLANK(JP!X478),"","x")</f>
        <v/>
      </c>
      <c r="Y474" t="str">
        <f>IF(ISBLANK(JP!Y478),"","x")</f>
        <v/>
      </c>
      <c r="Z474" t="str">
        <f>IF(ISBLANK(JP!Z478),"","x")</f>
        <v/>
      </c>
      <c r="AA474" t="str">
        <f>IF(ISBLANK(JP!AB478),"","x")</f>
        <v/>
      </c>
      <c r="AB474" t="str">
        <f>IF(ISBLANK(JP!AC478),"","x")</f>
        <v/>
      </c>
      <c r="AC474" t="str">
        <f>IF(ISBLANK(JP!AD478),"","x")</f>
        <v/>
      </c>
      <c r="AD474" t="str">
        <f>IF(ISBLANK(JP!AE478),"","x")</f>
        <v/>
      </c>
      <c r="AE474" t="str">
        <f>IF(ISBLANK(JP!AF478),"","x")</f>
        <v/>
      </c>
      <c r="AF474" t="str">
        <f>IF(ISBLANK(JP!AG478),"","x")</f>
        <v/>
      </c>
      <c r="AG474" t="str">
        <f>IF(ISBLANK(JP!AH478),"","x")</f>
        <v/>
      </c>
      <c r="AH474" t="str">
        <f>IF(ISBLANK(JP!AJ478),"","x")</f>
        <v/>
      </c>
      <c r="AI474" t="str">
        <f>IF(ISBLANK(JP!AK478),"","x")</f>
        <v/>
      </c>
      <c r="AJ474" t="str">
        <f>IF(ISBLANK(JP!AL478),"","x")</f>
        <v/>
      </c>
      <c r="AK474" t="str">
        <f>IF(ISBLANK(JP!AM478),"","x")</f>
        <v/>
      </c>
      <c r="AL474" t="str">
        <f>IF(ISBLANK(JP!AN478),"","x")</f>
        <v/>
      </c>
      <c r="AM474" t="str">
        <f>IF(ISBLANK(JP!AO478),"","x")</f>
        <v/>
      </c>
      <c r="AN474" t="str">
        <f>IF(ISBLANK(JP!AP478),"","x")</f>
        <v/>
      </c>
      <c r="AO474" t="str">
        <f>IF(ISBLANK(JP!AR478),"","x")</f>
        <v/>
      </c>
      <c r="AP474" t="str">
        <f>IF(ISBLANK(JP!AS478),"","x")</f>
        <v/>
      </c>
      <c r="AQ474" t="str">
        <f>IF(ISBLANK(JP!AT478),"","x")</f>
        <v/>
      </c>
      <c r="AR474" t="str">
        <f>IF(ISBLANK(JP!AU478),"","x")</f>
        <v/>
      </c>
      <c r="AS474" t="str">
        <f>IF(ISBLANK(JP!AV478),"","x")</f>
        <v/>
      </c>
      <c r="AT474" t="str">
        <f>IF(ISBLANK(JP!AW478),"","x")</f>
        <v/>
      </c>
      <c r="AU474" t="str">
        <f>IF(ISBLANK(JP!AX478),"","x")</f>
        <v/>
      </c>
    </row>
    <row r="475" spans="2:47">
      <c r="B475" t="str">
        <f>IF(ISBLANK(JP!AZ479),"",JP!AZ479)</f>
        <v/>
      </c>
      <c r="C475" t="str">
        <f>IF(ISBLANK(JP!BA479),"",JP!BA479)</f>
        <v/>
      </c>
      <c r="D475" t="str">
        <f>IF(ISBLANK(JP!BC479),"",JP!BC479)</f>
        <v/>
      </c>
      <c r="E475" t="str">
        <f>IF(ISBLANK(JP!BB479),"",JP!BB479)</f>
        <v/>
      </c>
      <c r="F475" t="str">
        <f>IF(ISBLANK(JP!D479),"","x")</f>
        <v/>
      </c>
      <c r="G475" t="str">
        <f>IF(ISBLANK(JP!E479),"","x")</f>
        <v/>
      </c>
      <c r="H475" t="str">
        <f>IF(ISBLANK(JP!F479),"","x")</f>
        <v/>
      </c>
      <c r="I475" t="str">
        <f>IF(ISBLANK(JP!G479),"","x")</f>
        <v/>
      </c>
      <c r="J475" t="str">
        <f>IF(ISBLANK(JP!H479),"","x")</f>
        <v/>
      </c>
      <c r="K475" t="str">
        <f>IF(ISBLANK(JP!I479),"","x")</f>
        <v/>
      </c>
      <c r="L475" t="str">
        <f>IF(ISBLANK(JP!J479),"","x")</f>
        <v/>
      </c>
      <c r="M475" t="str">
        <f>IF(ISBLANK(JP!L479),"","x")</f>
        <v/>
      </c>
      <c r="N475" t="str">
        <f>IF(ISBLANK(JP!M479),"","x")</f>
        <v/>
      </c>
      <c r="O475" t="str">
        <f>IF(ISBLANK(JP!N479),"","x")</f>
        <v/>
      </c>
      <c r="P475" t="str">
        <f>IF(ISBLANK(JP!O479),"","x")</f>
        <v/>
      </c>
      <c r="Q475" t="str">
        <f>IF(ISBLANK(JP!P479),"","x")</f>
        <v/>
      </c>
      <c r="R475" t="str">
        <f>IF(ISBLANK(JP!Q479),"","x")</f>
        <v/>
      </c>
      <c r="S475" t="str">
        <f>IF(ISBLANK(JP!R479),"","x")</f>
        <v/>
      </c>
      <c r="T475" t="str">
        <f>IF(ISBLANK(JP!T479),"","x")</f>
        <v/>
      </c>
      <c r="U475" t="str">
        <f>IF(ISBLANK(JP!U479),"","x")</f>
        <v/>
      </c>
      <c r="V475" t="str">
        <f>IF(ISBLANK(JP!V479),"","x")</f>
        <v/>
      </c>
      <c r="W475" t="str">
        <f>IF(ISBLANK(JP!W479),"","x")</f>
        <v/>
      </c>
      <c r="X475" t="str">
        <f>IF(ISBLANK(JP!X479),"","x")</f>
        <v/>
      </c>
      <c r="Y475" t="str">
        <f>IF(ISBLANK(JP!Y479),"","x")</f>
        <v/>
      </c>
      <c r="Z475" t="str">
        <f>IF(ISBLANK(JP!Z479),"","x")</f>
        <v/>
      </c>
      <c r="AA475" t="str">
        <f>IF(ISBLANK(JP!AB479),"","x")</f>
        <v/>
      </c>
      <c r="AB475" t="str">
        <f>IF(ISBLANK(JP!AC479),"","x")</f>
        <v/>
      </c>
      <c r="AC475" t="str">
        <f>IF(ISBLANK(JP!AD479),"","x")</f>
        <v/>
      </c>
      <c r="AD475" t="str">
        <f>IF(ISBLANK(JP!AE479),"","x")</f>
        <v/>
      </c>
      <c r="AE475" t="str">
        <f>IF(ISBLANK(JP!AF479),"","x")</f>
        <v/>
      </c>
      <c r="AF475" t="str">
        <f>IF(ISBLANK(JP!AG479),"","x")</f>
        <v/>
      </c>
      <c r="AG475" t="str">
        <f>IF(ISBLANK(JP!AH479),"","x")</f>
        <v/>
      </c>
      <c r="AH475" t="str">
        <f>IF(ISBLANK(JP!AJ479),"","x")</f>
        <v/>
      </c>
      <c r="AI475" t="str">
        <f>IF(ISBLANK(JP!AK479),"","x")</f>
        <v/>
      </c>
      <c r="AJ475" t="str">
        <f>IF(ISBLANK(JP!AL479),"","x")</f>
        <v/>
      </c>
      <c r="AK475" t="str">
        <f>IF(ISBLANK(JP!AM479),"","x")</f>
        <v/>
      </c>
      <c r="AL475" t="str">
        <f>IF(ISBLANK(JP!AN479),"","x")</f>
        <v/>
      </c>
      <c r="AM475" t="str">
        <f>IF(ISBLANK(JP!AO479),"","x")</f>
        <v/>
      </c>
      <c r="AN475" t="str">
        <f>IF(ISBLANK(JP!AP479),"","x")</f>
        <v/>
      </c>
      <c r="AO475" t="str">
        <f>IF(ISBLANK(JP!AR479),"","x")</f>
        <v/>
      </c>
      <c r="AP475" t="str">
        <f>IF(ISBLANK(JP!AS479),"","x")</f>
        <v/>
      </c>
      <c r="AQ475" t="str">
        <f>IF(ISBLANK(JP!AT479),"","x")</f>
        <v/>
      </c>
      <c r="AR475" t="str">
        <f>IF(ISBLANK(JP!AU479),"","x")</f>
        <v/>
      </c>
      <c r="AS475" t="str">
        <f>IF(ISBLANK(JP!AV479),"","x")</f>
        <v/>
      </c>
      <c r="AT475" t="str">
        <f>IF(ISBLANK(JP!AW479),"","x")</f>
        <v/>
      </c>
      <c r="AU475" t="str">
        <f>IF(ISBLANK(JP!AX479),"","x")</f>
        <v/>
      </c>
    </row>
    <row r="476" spans="2:47">
      <c r="B476" t="str">
        <f>IF(ISBLANK(JP!AZ480),"",JP!AZ480)</f>
        <v/>
      </c>
      <c r="C476" t="str">
        <f>IF(ISBLANK(JP!BA480),"",JP!BA480)</f>
        <v/>
      </c>
      <c r="D476" t="str">
        <f>IF(ISBLANK(JP!BC480),"",JP!BC480)</f>
        <v/>
      </c>
      <c r="E476" t="str">
        <f>IF(ISBLANK(JP!BB480),"",JP!BB480)</f>
        <v/>
      </c>
      <c r="F476" t="str">
        <f>IF(ISBLANK(JP!D480),"","x")</f>
        <v/>
      </c>
      <c r="G476" t="str">
        <f>IF(ISBLANK(JP!E480),"","x")</f>
        <v/>
      </c>
      <c r="H476" t="str">
        <f>IF(ISBLANK(JP!F480),"","x")</f>
        <v/>
      </c>
      <c r="I476" t="str">
        <f>IF(ISBLANK(JP!G480),"","x")</f>
        <v/>
      </c>
      <c r="J476" t="str">
        <f>IF(ISBLANK(JP!H480),"","x")</f>
        <v/>
      </c>
      <c r="K476" t="str">
        <f>IF(ISBLANK(JP!I480),"","x")</f>
        <v/>
      </c>
      <c r="L476" t="str">
        <f>IF(ISBLANK(JP!J480),"","x")</f>
        <v/>
      </c>
      <c r="M476" t="str">
        <f>IF(ISBLANK(JP!L480),"","x")</f>
        <v/>
      </c>
      <c r="N476" t="str">
        <f>IF(ISBLANK(JP!M480),"","x")</f>
        <v/>
      </c>
      <c r="O476" t="str">
        <f>IF(ISBLANK(JP!N480),"","x")</f>
        <v/>
      </c>
      <c r="P476" t="str">
        <f>IF(ISBLANK(JP!O480),"","x")</f>
        <v/>
      </c>
      <c r="Q476" t="str">
        <f>IF(ISBLANK(JP!P480),"","x")</f>
        <v/>
      </c>
      <c r="R476" t="str">
        <f>IF(ISBLANK(JP!Q480),"","x")</f>
        <v/>
      </c>
      <c r="S476" t="str">
        <f>IF(ISBLANK(JP!R480),"","x")</f>
        <v/>
      </c>
      <c r="T476" t="str">
        <f>IF(ISBLANK(JP!T480),"","x")</f>
        <v/>
      </c>
      <c r="U476" t="str">
        <f>IF(ISBLANK(JP!U480),"","x")</f>
        <v/>
      </c>
      <c r="V476" t="str">
        <f>IF(ISBLANK(JP!V480),"","x")</f>
        <v/>
      </c>
      <c r="W476" t="str">
        <f>IF(ISBLANK(JP!W480),"","x")</f>
        <v/>
      </c>
      <c r="X476" t="str">
        <f>IF(ISBLANK(JP!X480),"","x")</f>
        <v/>
      </c>
      <c r="Y476" t="str">
        <f>IF(ISBLANK(JP!Y480),"","x")</f>
        <v/>
      </c>
      <c r="Z476" t="str">
        <f>IF(ISBLANK(JP!Z480),"","x")</f>
        <v/>
      </c>
      <c r="AA476" t="str">
        <f>IF(ISBLANK(JP!AB480),"","x")</f>
        <v/>
      </c>
      <c r="AB476" t="str">
        <f>IF(ISBLANK(JP!AC480),"","x")</f>
        <v/>
      </c>
      <c r="AC476" t="str">
        <f>IF(ISBLANK(JP!AD480),"","x")</f>
        <v/>
      </c>
      <c r="AD476" t="str">
        <f>IF(ISBLANK(JP!AE480),"","x")</f>
        <v/>
      </c>
      <c r="AE476" t="str">
        <f>IF(ISBLANK(JP!AF480),"","x")</f>
        <v/>
      </c>
      <c r="AF476" t="str">
        <f>IF(ISBLANK(JP!AG480),"","x")</f>
        <v/>
      </c>
      <c r="AG476" t="str">
        <f>IF(ISBLANK(JP!AH480),"","x")</f>
        <v/>
      </c>
      <c r="AH476" t="str">
        <f>IF(ISBLANK(JP!AJ480),"","x")</f>
        <v/>
      </c>
      <c r="AI476" t="str">
        <f>IF(ISBLANK(JP!AK480),"","x")</f>
        <v/>
      </c>
      <c r="AJ476" t="str">
        <f>IF(ISBLANK(JP!AL480),"","x")</f>
        <v/>
      </c>
      <c r="AK476" t="str">
        <f>IF(ISBLANK(JP!AM480),"","x")</f>
        <v/>
      </c>
      <c r="AL476" t="str">
        <f>IF(ISBLANK(JP!AN480),"","x")</f>
        <v/>
      </c>
      <c r="AM476" t="str">
        <f>IF(ISBLANK(JP!AO480),"","x")</f>
        <v/>
      </c>
      <c r="AN476" t="str">
        <f>IF(ISBLANK(JP!AP480),"","x")</f>
        <v/>
      </c>
      <c r="AO476" t="str">
        <f>IF(ISBLANK(JP!AR480),"","x")</f>
        <v/>
      </c>
      <c r="AP476" t="str">
        <f>IF(ISBLANK(JP!AS480),"","x")</f>
        <v/>
      </c>
      <c r="AQ476" t="str">
        <f>IF(ISBLANK(JP!AT480),"","x")</f>
        <v/>
      </c>
      <c r="AR476" t="str">
        <f>IF(ISBLANK(JP!AU480),"","x")</f>
        <v/>
      </c>
      <c r="AS476" t="str">
        <f>IF(ISBLANK(JP!AV480),"","x")</f>
        <v/>
      </c>
      <c r="AT476" t="str">
        <f>IF(ISBLANK(JP!AW480),"","x")</f>
        <v/>
      </c>
      <c r="AU476" t="str">
        <f>IF(ISBLANK(JP!AX480),"","x")</f>
        <v/>
      </c>
    </row>
    <row r="477" spans="2:47">
      <c r="B477" t="str">
        <f>IF(ISBLANK(JP!AZ481),"",JP!AZ481)</f>
        <v/>
      </c>
      <c r="C477" t="str">
        <f>IF(ISBLANK(JP!BA481),"",JP!BA481)</f>
        <v/>
      </c>
      <c r="D477" t="str">
        <f>IF(ISBLANK(JP!BC481),"",JP!BC481)</f>
        <v/>
      </c>
      <c r="E477" t="str">
        <f>IF(ISBLANK(JP!BB481),"",JP!BB481)</f>
        <v/>
      </c>
      <c r="F477" t="str">
        <f>IF(ISBLANK(JP!D481),"","x")</f>
        <v/>
      </c>
      <c r="G477" t="str">
        <f>IF(ISBLANK(JP!E481),"","x")</f>
        <v/>
      </c>
      <c r="H477" t="str">
        <f>IF(ISBLANK(JP!F481),"","x")</f>
        <v/>
      </c>
      <c r="I477" t="str">
        <f>IF(ISBLANK(JP!G481),"","x")</f>
        <v/>
      </c>
      <c r="J477" t="str">
        <f>IF(ISBLANK(JP!H481),"","x")</f>
        <v/>
      </c>
      <c r="K477" t="str">
        <f>IF(ISBLANK(JP!I481),"","x")</f>
        <v/>
      </c>
      <c r="L477" t="str">
        <f>IF(ISBLANK(JP!J481),"","x")</f>
        <v/>
      </c>
      <c r="M477" t="str">
        <f>IF(ISBLANK(JP!L481),"","x")</f>
        <v/>
      </c>
      <c r="N477" t="str">
        <f>IF(ISBLANK(JP!M481),"","x")</f>
        <v/>
      </c>
      <c r="O477" t="str">
        <f>IF(ISBLANK(JP!N481),"","x")</f>
        <v/>
      </c>
      <c r="P477" t="str">
        <f>IF(ISBLANK(JP!O481),"","x")</f>
        <v/>
      </c>
      <c r="Q477" t="str">
        <f>IF(ISBLANK(JP!P481),"","x")</f>
        <v/>
      </c>
      <c r="R477" t="str">
        <f>IF(ISBLANK(JP!Q481),"","x")</f>
        <v/>
      </c>
      <c r="S477" t="str">
        <f>IF(ISBLANK(JP!R481),"","x")</f>
        <v/>
      </c>
      <c r="T477" t="str">
        <f>IF(ISBLANK(JP!T481),"","x")</f>
        <v/>
      </c>
      <c r="U477" t="str">
        <f>IF(ISBLANK(JP!U481),"","x")</f>
        <v/>
      </c>
      <c r="V477" t="str">
        <f>IF(ISBLANK(JP!V481),"","x")</f>
        <v/>
      </c>
      <c r="W477" t="str">
        <f>IF(ISBLANK(JP!W481),"","x")</f>
        <v/>
      </c>
      <c r="X477" t="str">
        <f>IF(ISBLANK(JP!X481),"","x")</f>
        <v/>
      </c>
      <c r="Y477" t="str">
        <f>IF(ISBLANK(JP!Y481),"","x")</f>
        <v/>
      </c>
      <c r="Z477" t="str">
        <f>IF(ISBLANK(JP!Z481),"","x")</f>
        <v/>
      </c>
      <c r="AA477" t="str">
        <f>IF(ISBLANK(JP!AB481),"","x")</f>
        <v/>
      </c>
      <c r="AB477" t="str">
        <f>IF(ISBLANK(JP!AC481),"","x")</f>
        <v/>
      </c>
      <c r="AC477" t="str">
        <f>IF(ISBLANK(JP!AD481),"","x")</f>
        <v/>
      </c>
      <c r="AD477" t="str">
        <f>IF(ISBLANK(JP!AE481),"","x")</f>
        <v/>
      </c>
      <c r="AE477" t="str">
        <f>IF(ISBLANK(JP!AF481),"","x")</f>
        <v/>
      </c>
      <c r="AF477" t="str">
        <f>IF(ISBLANK(JP!AG481),"","x")</f>
        <v/>
      </c>
      <c r="AG477" t="str">
        <f>IF(ISBLANK(JP!AH481),"","x")</f>
        <v/>
      </c>
      <c r="AH477" t="str">
        <f>IF(ISBLANK(JP!AJ481),"","x")</f>
        <v/>
      </c>
      <c r="AI477" t="str">
        <f>IF(ISBLANK(JP!AK481),"","x")</f>
        <v/>
      </c>
      <c r="AJ477" t="str">
        <f>IF(ISBLANK(JP!AL481),"","x")</f>
        <v/>
      </c>
      <c r="AK477" t="str">
        <f>IF(ISBLANK(JP!AM481),"","x")</f>
        <v/>
      </c>
      <c r="AL477" t="str">
        <f>IF(ISBLANK(JP!AN481),"","x")</f>
        <v/>
      </c>
      <c r="AM477" t="str">
        <f>IF(ISBLANK(JP!AO481),"","x")</f>
        <v/>
      </c>
      <c r="AN477" t="str">
        <f>IF(ISBLANK(JP!AP481),"","x")</f>
        <v/>
      </c>
      <c r="AO477" t="str">
        <f>IF(ISBLANK(JP!AR481),"","x")</f>
        <v/>
      </c>
      <c r="AP477" t="str">
        <f>IF(ISBLANK(JP!AS481),"","x")</f>
        <v/>
      </c>
      <c r="AQ477" t="str">
        <f>IF(ISBLANK(JP!AT481),"","x")</f>
        <v/>
      </c>
      <c r="AR477" t="str">
        <f>IF(ISBLANK(JP!AU481),"","x")</f>
        <v/>
      </c>
      <c r="AS477" t="str">
        <f>IF(ISBLANK(JP!AV481),"","x")</f>
        <v/>
      </c>
      <c r="AT477" t="str">
        <f>IF(ISBLANK(JP!AW481),"","x")</f>
        <v/>
      </c>
      <c r="AU477" t="str">
        <f>IF(ISBLANK(JP!AX481),"","x")</f>
        <v/>
      </c>
    </row>
    <row r="478" spans="2:47">
      <c r="B478" t="str">
        <f>IF(ISBLANK(JP!AZ482),"",JP!AZ482)</f>
        <v/>
      </c>
      <c r="C478" t="str">
        <f>IF(ISBLANK(JP!BA482),"",JP!BA482)</f>
        <v/>
      </c>
      <c r="D478" t="str">
        <f>IF(ISBLANK(JP!BC482),"",JP!BC482)</f>
        <v/>
      </c>
      <c r="E478" t="str">
        <f>IF(ISBLANK(JP!BB482),"",JP!BB482)</f>
        <v/>
      </c>
      <c r="F478" t="str">
        <f>IF(ISBLANK(JP!D482),"","x")</f>
        <v/>
      </c>
      <c r="G478" t="str">
        <f>IF(ISBLANK(JP!E482),"","x")</f>
        <v/>
      </c>
      <c r="H478" t="str">
        <f>IF(ISBLANK(JP!F482),"","x")</f>
        <v/>
      </c>
      <c r="I478" t="str">
        <f>IF(ISBLANK(JP!G482),"","x")</f>
        <v/>
      </c>
      <c r="J478" t="str">
        <f>IF(ISBLANK(JP!H482),"","x")</f>
        <v/>
      </c>
      <c r="K478" t="str">
        <f>IF(ISBLANK(JP!I482),"","x")</f>
        <v/>
      </c>
      <c r="L478" t="str">
        <f>IF(ISBLANK(JP!J482),"","x")</f>
        <v/>
      </c>
      <c r="M478" t="str">
        <f>IF(ISBLANK(JP!L482),"","x")</f>
        <v/>
      </c>
      <c r="N478" t="str">
        <f>IF(ISBLANK(JP!M482),"","x")</f>
        <v/>
      </c>
      <c r="O478" t="str">
        <f>IF(ISBLANK(JP!N482),"","x")</f>
        <v/>
      </c>
      <c r="P478" t="str">
        <f>IF(ISBLANK(JP!O482),"","x")</f>
        <v/>
      </c>
      <c r="Q478" t="str">
        <f>IF(ISBLANK(JP!P482),"","x")</f>
        <v/>
      </c>
      <c r="R478" t="str">
        <f>IF(ISBLANK(JP!Q482),"","x")</f>
        <v/>
      </c>
      <c r="S478" t="str">
        <f>IF(ISBLANK(JP!R482),"","x")</f>
        <v/>
      </c>
      <c r="T478" t="str">
        <f>IF(ISBLANK(JP!T482),"","x")</f>
        <v/>
      </c>
      <c r="U478" t="str">
        <f>IF(ISBLANK(JP!U482),"","x")</f>
        <v/>
      </c>
      <c r="V478" t="str">
        <f>IF(ISBLANK(JP!V482),"","x")</f>
        <v/>
      </c>
      <c r="W478" t="str">
        <f>IF(ISBLANK(JP!W482),"","x")</f>
        <v/>
      </c>
      <c r="X478" t="str">
        <f>IF(ISBLANK(JP!X482),"","x")</f>
        <v/>
      </c>
      <c r="Y478" t="str">
        <f>IF(ISBLANK(JP!Y482),"","x")</f>
        <v/>
      </c>
      <c r="Z478" t="str">
        <f>IF(ISBLANK(JP!Z482),"","x")</f>
        <v/>
      </c>
      <c r="AA478" t="str">
        <f>IF(ISBLANK(JP!AB482),"","x")</f>
        <v/>
      </c>
      <c r="AB478" t="str">
        <f>IF(ISBLANK(JP!AC482),"","x")</f>
        <v/>
      </c>
      <c r="AC478" t="str">
        <f>IF(ISBLANK(JP!AD482),"","x")</f>
        <v/>
      </c>
      <c r="AD478" t="str">
        <f>IF(ISBLANK(JP!AE482),"","x")</f>
        <v/>
      </c>
      <c r="AE478" t="str">
        <f>IF(ISBLANK(JP!AF482),"","x")</f>
        <v/>
      </c>
      <c r="AF478" t="str">
        <f>IF(ISBLANK(JP!AG482),"","x")</f>
        <v/>
      </c>
      <c r="AG478" t="str">
        <f>IF(ISBLANK(JP!AH482),"","x")</f>
        <v/>
      </c>
      <c r="AH478" t="str">
        <f>IF(ISBLANK(JP!AJ482),"","x")</f>
        <v/>
      </c>
      <c r="AI478" t="str">
        <f>IF(ISBLANK(JP!AK482),"","x")</f>
        <v/>
      </c>
      <c r="AJ478" t="str">
        <f>IF(ISBLANK(JP!AL482),"","x")</f>
        <v/>
      </c>
      <c r="AK478" t="str">
        <f>IF(ISBLANK(JP!AM482),"","x")</f>
        <v/>
      </c>
      <c r="AL478" t="str">
        <f>IF(ISBLANK(JP!AN482),"","x")</f>
        <v/>
      </c>
      <c r="AM478" t="str">
        <f>IF(ISBLANK(JP!AO482),"","x")</f>
        <v/>
      </c>
      <c r="AN478" t="str">
        <f>IF(ISBLANK(JP!AP482),"","x")</f>
        <v/>
      </c>
      <c r="AO478" t="str">
        <f>IF(ISBLANK(JP!AR482),"","x")</f>
        <v/>
      </c>
      <c r="AP478" t="str">
        <f>IF(ISBLANK(JP!AS482),"","x")</f>
        <v/>
      </c>
      <c r="AQ478" t="str">
        <f>IF(ISBLANK(JP!AT482),"","x")</f>
        <v/>
      </c>
      <c r="AR478" t="str">
        <f>IF(ISBLANK(JP!AU482),"","x")</f>
        <v/>
      </c>
      <c r="AS478" t="str">
        <f>IF(ISBLANK(JP!AV482),"","x")</f>
        <v/>
      </c>
      <c r="AT478" t="str">
        <f>IF(ISBLANK(JP!AW482),"","x")</f>
        <v/>
      </c>
      <c r="AU478" t="str">
        <f>IF(ISBLANK(JP!AX482),"","x")</f>
        <v/>
      </c>
    </row>
    <row r="479" spans="2:47">
      <c r="B479" t="str">
        <f>IF(ISBLANK(JP!AZ483),"",JP!AZ483)</f>
        <v/>
      </c>
      <c r="C479" t="str">
        <f>IF(ISBLANK(JP!BA483),"",JP!BA483)</f>
        <v/>
      </c>
      <c r="D479" t="str">
        <f>IF(ISBLANK(JP!BC483),"",JP!BC483)</f>
        <v/>
      </c>
      <c r="E479" t="str">
        <f>IF(ISBLANK(JP!BB483),"",JP!BB483)</f>
        <v/>
      </c>
      <c r="F479" t="str">
        <f>IF(ISBLANK(JP!D483),"","x")</f>
        <v/>
      </c>
      <c r="G479" t="str">
        <f>IF(ISBLANK(JP!E483),"","x")</f>
        <v/>
      </c>
      <c r="H479" t="str">
        <f>IF(ISBLANK(JP!F483),"","x")</f>
        <v/>
      </c>
      <c r="I479" t="str">
        <f>IF(ISBLANK(JP!G483),"","x")</f>
        <v/>
      </c>
      <c r="J479" t="str">
        <f>IF(ISBLANK(JP!H483),"","x")</f>
        <v/>
      </c>
      <c r="K479" t="str">
        <f>IF(ISBLANK(JP!I483),"","x")</f>
        <v/>
      </c>
      <c r="L479" t="str">
        <f>IF(ISBLANK(JP!J483),"","x")</f>
        <v/>
      </c>
      <c r="M479" t="str">
        <f>IF(ISBLANK(JP!L483),"","x")</f>
        <v/>
      </c>
      <c r="N479" t="str">
        <f>IF(ISBLANK(JP!M483),"","x")</f>
        <v/>
      </c>
      <c r="O479" t="str">
        <f>IF(ISBLANK(JP!N483),"","x")</f>
        <v/>
      </c>
      <c r="P479" t="str">
        <f>IF(ISBLANK(JP!O483),"","x")</f>
        <v/>
      </c>
      <c r="Q479" t="str">
        <f>IF(ISBLANK(JP!P483),"","x")</f>
        <v/>
      </c>
      <c r="R479" t="str">
        <f>IF(ISBLANK(JP!Q483),"","x")</f>
        <v/>
      </c>
      <c r="S479" t="str">
        <f>IF(ISBLANK(JP!R483),"","x")</f>
        <v/>
      </c>
      <c r="T479" t="str">
        <f>IF(ISBLANK(JP!T483),"","x")</f>
        <v/>
      </c>
      <c r="U479" t="str">
        <f>IF(ISBLANK(JP!U483),"","x")</f>
        <v/>
      </c>
      <c r="V479" t="str">
        <f>IF(ISBLANK(JP!V483),"","x")</f>
        <v/>
      </c>
      <c r="W479" t="str">
        <f>IF(ISBLANK(JP!W483),"","x")</f>
        <v/>
      </c>
      <c r="X479" t="str">
        <f>IF(ISBLANK(JP!X483),"","x")</f>
        <v/>
      </c>
      <c r="Y479" t="str">
        <f>IF(ISBLANK(JP!Y483),"","x")</f>
        <v/>
      </c>
      <c r="Z479" t="str">
        <f>IF(ISBLANK(JP!Z483),"","x")</f>
        <v/>
      </c>
      <c r="AA479" t="str">
        <f>IF(ISBLANK(JP!AB483),"","x")</f>
        <v/>
      </c>
      <c r="AB479" t="str">
        <f>IF(ISBLANK(JP!AC483),"","x")</f>
        <v/>
      </c>
      <c r="AC479" t="str">
        <f>IF(ISBLANK(JP!AD483),"","x")</f>
        <v/>
      </c>
      <c r="AD479" t="str">
        <f>IF(ISBLANK(JP!AE483),"","x")</f>
        <v/>
      </c>
      <c r="AE479" t="str">
        <f>IF(ISBLANK(JP!AF483),"","x")</f>
        <v/>
      </c>
      <c r="AF479" t="str">
        <f>IF(ISBLANK(JP!AG483),"","x")</f>
        <v/>
      </c>
      <c r="AG479" t="str">
        <f>IF(ISBLANK(JP!AH483),"","x")</f>
        <v/>
      </c>
      <c r="AH479" t="str">
        <f>IF(ISBLANK(JP!AJ483),"","x")</f>
        <v/>
      </c>
      <c r="AI479" t="str">
        <f>IF(ISBLANK(JP!AK483),"","x")</f>
        <v/>
      </c>
      <c r="AJ479" t="str">
        <f>IF(ISBLANK(JP!AL483),"","x")</f>
        <v/>
      </c>
      <c r="AK479" t="str">
        <f>IF(ISBLANK(JP!AM483),"","x")</f>
        <v/>
      </c>
      <c r="AL479" t="str">
        <f>IF(ISBLANK(JP!AN483),"","x")</f>
        <v/>
      </c>
      <c r="AM479" t="str">
        <f>IF(ISBLANK(JP!AO483),"","x")</f>
        <v/>
      </c>
      <c r="AN479" t="str">
        <f>IF(ISBLANK(JP!AP483),"","x")</f>
        <v/>
      </c>
      <c r="AO479" t="str">
        <f>IF(ISBLANK(JP!AR483),"","x")</f>
        <v/>
      </c>
      <c r="AP479" t="str">
        <f>IF(ISBLANK(JP!AS483),"","x")</f>
        <v/>
      </c>
      <c r="AQ479" t="str">
        <f>IF(ISBLANK(JP!AT483),"","x")</f>
        <v/>
      </c>
      <c r="AR479" t="str">
        <f>IF(ISBLANK(JP!AU483),"","x")</f>
        <v/>
      </c>
      <c r="AS479" t="str">
        <f>IF(ISBLANK(JP!AV483),"","x")</f>
        <v/>
      </c>
      <c r="AT479" t="str">
        <f>IF(ISBLANK(JP!AW483),"","x")</f>
        <v/>
      </c>
      <c r="AU479" t="str">
        <f>IF(ISBLANK(JP!AX483),"","x")</f>
        <v/>
      </c>
    </row>
    <row r="480" spans="2:47">
      <c r="B480" t="str">
        <f>IF(ISBLANK(JP!AZ484),"",JP!AZ484)</f>
        <v/>
      </c>
      <c r="C480" t="str">
        <f>IF(ISBLANK(JP!BA484),"",JP!BA484)</f>
        <v/>
      </c>
      <c r="D480" t="str">
        <f>IF(ISBLANK(JP!BC484),"",JP!BC484)</f>
        <v/>
      </c>
      <c r="E480" t="str">
        <f>IF(ISBLANK(JP!BB484),"",JP!BB484)</f>
        <v/>
      </c>
      <c r="F480" t="str">
        <f>IF(ISBLANK(JP!D484),"","x")</f>
        <v/>
      </c>
      <c r="G480" t="str">
        <f>IF(ISBLANK(JP!E484),"","x")</f>
        <v/>
      </c>
      <c r="H480" t="str">
        <f>IF(ISBLANK(JP!F484),"","x")</f>
        <v/>
      </c>
      <c r="I480" t="str">
        <f>IF(ISBLANK(JP!G484),"","x")</f>
        <v/>
      </c>
      <c r="J480" t="str">
        <f>IF(ISBLANK(JP!H484),"","x")</f>
        <v/>
      </c>
      <c r="K480" t="str">
        <f>IF(ISBLANK(JP!I484),"","x")</f>
        <v/>
      </c>
      <c r="L480" t="str">
        <f>IF(ISBLANK(JP!J484),"","x")</f>
        <v/>
      </c>
      <c r="M480" t="str">
        <f>IF(ISBLANK(JP!L484),"","x")</f>
        <v/>
      </c>
      <c r="N480" t="str">
        <f>IF(ISBLANK(JP!M484),"","x")</f>
        <v/>
      </c>
      <c r="O480" t="str">
        <f>IF(ISBLANK(JP!N484),"","x")</f>
        <v/>
      </c>
      <c r="P480" t="str">
        <f>IF(ISBLANK(JP!O484),"","x")</f>
        <v/>
      </c>
      <c r="Q480" t="str">
        <f>IF(ISBLANK(JP!P484),"","x")</f>
        <v/>
      </c>
      <c r="R480" t="str">
        <f>IF(ISBLANK(JP!Q484),"","x")</f>
        <v/>
      </c>
      <c r="S480" t="str">
        <f>IF(ISBLANK(JP!R484),"","x")</f>
        <v/>
      </c>
      <c r="T480" t="str">
        <f>IF(ISBLANK(JP!T484),"","x")</f>
        <v/>
      </c>
      <c r="U480" t="str">
        <f>IF(ISBLANK(JP!U484),"","x")</f>
        <v/>
      </c>
      <c r="V480" t="str">
        <f>IF(ISBLANK(JP!V484),"","x")</f>
        <v/>
      </c>
      <c r="W480" t="str">
        <f>IF(ISBLANK(JP!W484),"","x")</f>
        <v/>
      </c>
      <c r="X480" t="str">
        <f>IF(ISBLANK(JP!X484),"","x")</f>
        <v/>
      </c>
      <c r="Y480" t="str">
        <f>IF(ISBLANK(JP!Y484),"","x")</f>
        <v/>
      </c>
      <c r="Z480" t="str">
        <f>IF(ISBLANK(JP!Z484),"","x")</f>
        <v/>
      </c>
      <c r="AA480" t="str">
        <f>IF(ISBLANK(JP!AB484),"","x")</f>
        <v/>
      </c>
      <c r="AB480" t="str">
        <f>IF(ISBLANK(JP!AC484),"","x")</f>
        <v/>
      </c>
      <c r="AC480" t="str">
        <f>IF(ISBLANK(JP!AD484),"","x")</f>
        <v/>
      </c>
      <c r="AD480" t="str">
        <f>IF(ISBLANK(JP!AE484),"","x")</f>
        <v/>
      </c>
      <c r="AE480" t="str">
        <f>IF(ISBLANK(JP!AF484),"","x")</f>
        <v/>
      </c>
      <c r="AF480" t="str">
        <f>IF(ISBLANK(JP!AG484),"","x")</f>
        <v/>
      </c>
      <c r="AG480" t="str">
        <f>IF(ISBLANK(JP!AH484),"","x")</f>
        <v/>
      </c>
      <c r="AH480" t="str">
        <f>IF(ISBLANK(JP!AJ484),"","x")</f>
        <v/>
      </c>
      <c r="AI480" t="str">
        <f>IF(ISBLANK(JP!AK484),"","x")</f>
        <v/>
      </c>
      <c r="AJ480" t="str">
        <f>IF(ISBLANK(JP!AL484),"","x")</f>
        <v/>
      </c>
      <c r="AK480" t="str">
        <f>IF(ISBLANK(JP!AM484),"","x")</f>
        <v/>
      </c>
      <c r="AL480" t="str">
        <f>IF(ISBLANK(JP!AN484),"","x")</f>
        <v/>
      </c>
      <c r="AM480" t="str">
        <f>IF(ISBLANK(JP!AO484),"","x")</f>
        <v/>
      </c>
      <c r="AN480" t="str">
        <f>IF(ISBLANK(JP!AP484),"","x")</f>
        <v/>
      </c>
      <c r="AO480" t="str">
        <f>IF(ISBLANK(JP!AR484),"","x")</f>
        <v/>
      </c>
      <c r="AP480" t="str">
        <f>IF(ISBLANK(JP!AS484),"","x")</f>
        <v/>
      </c>
      <c r="AQ480" t="str">
        <f>IF(ISBLANK(JP!AT484),"","x")</f>
        <v/>
      </c>
      <c r="AR480" t="str">
        <f>IF(ISBLANK(JP!AU484),"","x")</f>
        <v/>
      </c>
      <c r="AS480" t="str">
        <f>IF(ISBLANK(JP!AV484),"","x")</f>
        <v/>
      </c>
      <c r="AT480" t="str">
        <f>IF(ISBLANK(JP!AW484),"","x")</f>
        <v/>
      </c>
      <c r="AU480" t="str">
        <f>IF(ISBLANK(JP!AX484),"","x")</f>
        <v/>
      </c>
    </row>
    <row r="481" spans="2:47">
      <c r="B481" t="str">
        <f>IF(ISBLANK(JP!AZ485),"",JP!AZ485)</f>
        <v/>
      </c>
      <c r="C481" t="str">
        <f>IF(ISBLANK(JP!BA485),"",JP!BA485)</f>
        <v/>
      </c>
      <c r="D481" t="str">
        <f>IF(ISBLANK(JP!BC485),"",JP!BC485)</f>
        <v/>
      </c>
      <c r="E481" t="str">
        <f>IF(ISBLANK(JP!BB485),"",JP!BB485)</f>
        <v/>
      </c>
      <c r="F481" t="str">
        <f>IF(ISBLANK(JP!D485),"","x")</f>
        <v/>
      </c>
      <c r="G481" t="str">
        <f>IF(ISBLANK(JP!E485),"","x")</f>
        <v/>
      </c>
      <c r="H481" t="str">
        <f>IF(ISBLANK(JP!F485),"","x")</f>
        <v/>
      </c>
      <c r="I481" t="str">
        <f>IF(ISBLANK(JP!G485),"","x")</f>
        <v/>
      </c>
      <c r="J481" t="str">
        <f>IF(ISBLANK(JP!H485),"","x")</f>
        <v/>
      </c>
      <c r="K481" t="str">
        <f>IF(ISBLANK(JP!I485),"","x")</f>
        <v/>
      </c>
      <c r="L481" t="str">
        <f>IF(ISBLANK(JP!J485),"","x")</f>
        <v/>
      </c>
      <c r="M481" t="str">
        <f>IF(ISBLANK(JP!L485),"","x")</f>
        <v/>
      </c>
      <c r="N481" t="str">
        <f>IF(ISBLANK(JP!M485),"","x")</f>
        <v/>
      </c>
      <c r="O481" t="str">
        <f>IF(ISBLANK(JP!N485),"","x")</f>
        <v/>
      </c>
      <c r="P481" t="str">
        <f>IF(ISBLANK(JP!O485),"","x")</f>
        <v/>
      </c>
      <c r="Q481" t="str">
        <f>IF(ISBLANK(JP!P485),"","x")</f>
        <v/>
      </c>
      <c r="R481" t="str">
        <f>IF(ISBLANK(JP!Q485),"","x")</f>
        <v/>
      </c>
      <c r="S481" t="str">
        <f>IF(ISBLANK(JP!R485),"","x")</f>
        <v/>
      </c>
      <c r="T481" t="str">
        <f>IF(ISBLANK(JP!T485),"","x")</f>
        <v/>
      </c>
      <c r="U481" t="str">
        <f>IF(ISBLANK(JP!U485),"","x")</f>
        <v/>
      </c>
      <c r="V481" t="str">
        <f>IF(ISBLANK(JP!V485),"","x")</f>
        <v/>
      </c>
      <c r="W481" t="str">
        <f>IF(ISBLANK(JP!W485),"","x")</f>
        <v/>
      </c>
      <c r="X481" t="str">
        <f>IF(ISBLANK(JP!X485),"","x")</f>
        <v/>
      </c>
      <c r="Y481" t="str">
        <f>IF(ISBLANK(JP!Y485),"","x")</f>
        <v/>
      </c>
      <c r="Z481" t="str">
        <f>IF(ISBLANK(JP!Z485),"","x")</f>
        <v/>
      </c>
      <c r="AA481" t="str">
        <f>IF(ISBLANK(JP!AB485),"","x")</f>
        <v/>
      </c>
      <c r="AB481" t="str">
        <f>IF(ISBLANK(JP!AC485),"","x")</f>
        <v/>
      </c>
      <c r="AC481" t="str">
        <f>IF(ISBLANK(JP!AD485),"","x")</f>
        <v/>
      </c>
      <c r="AD481" t="str">
        <f>IF(ISBLANK(JP!AE485),"","x")</f>
        <v/>
      </c>
      <c r="AE481" t="str">
        <f>IF(ISBLANK(JP!AF485),"","x")</f>
        <v/>
      </c>
      <c r="AF481" t="str">
        <f>IF(ISBLANK(JP!AG485),"","x")</f>
        <v/>
      </c>
      <c r="AG481" t="str">
        <f>IF(ISBLANK(JP!AH485),"","x")</f>
        <v/>
      </c>
      <c r="AH481" t="str">
        <f>IF(ISBLANK(JP!AJ485),"","x")</f>
        <v/>
      </c>
      <c r="AI481" t="str">
        <f>IF(ISBLANK(JP!AK485),"","x")</f>
        <v/>
      </c>
      <c r="AJ481" t="str">
        <f>IF(ISBLANK(JP!AL485),"","x")</f>
        <v/>
      </c>
      <c r="AK481" t="str">
        <f>IF(ISBLANK(JP!AM485),"","x")</f>
        <v/>
      </c>
      <c r="AL481" t="str">
        <f>IF(ISBLANK(JP!AN485),"","x")</f>
        <v/>
      </c>
      <c r="AM481" t="str">
        <f>IF(ISBLANK(JP!AO485),"","x")</f>
        <v/>
      </c>
      <c r="AN481" t="str">
        <f>IF(ISBLANK(JP!AP485),"","x")</f>
        <v/>
      </c>
      <c r="AO481" t="str">
        <f>IF(ISBLANK(JP!AR485),"","x")</f>
        <v/>
      </c>
      <c r="AP481" t="str">
        <f>IF(ISBLANK(JP!AS485),"","x")</f>
        <v/>
      </c>
      <c r="AQ481" t="str">
        <f>IF(ISBLANK(JP!AT485),"","x")</f>
        <v/>
      </c>
      <c r="AR481" t="str">
        <f>IF(ISBLANK(JP!AU485),"","x")</f>
        <v/>
      </c>
      <c r="AS481" t="str">
        <f>IF(ISBLANK(JP!AV485),"","x")</f>
        <v/>
      </c>
      <c r="AT481" t="str">
        <f>IF(ISBLANK(JP!AW485),"","x")</f>
        <v/>
      </c>
      <c r="AU481" t="str">
        <f>IF(ISBLANK(JP!AX485),"","x")</f>
        <v/>
      </c>
    </row>
    <row r="482" spans="2:47">
      <c r="B482" t="str">
        <f>IF(ISBLANK(JP!AZ486),"",JP!AZ486)</f>
        <v/>
      </c>
      <c r="C482" t="str">
        <f>IF(ISBLANK(JP!BA486),"",JP!BA486)</f>
        <v/>
      </c>
      <c r="D482" t="str">
        <f>IF(ISBLANK(JP!BC486),"",JP!BC486)</f>
        <v/>
      </c>
      <c r="E482" t="str">
        <f>IF(ISBLANK(JP!BB486),"",JP!BB486)</f>
        <v/>
      </c>
      <c r="F482" t="str">
        <f>IF(ISBLANK(JP!D486),"","x")</f>
        <v/>
      </c>
      <c r="G482" t="str">
        <f>IF(ISBLANK(JP!E486),"","x")</f>
        <v/>
      </c>
      <c r="H482" t="str">
        <f>IF(ISBLANK(JP!F486),"","x")</f>
        <v/>
      </c>
      <c r="I482" t="str">
        <f>IF(ISBLANK(JP!G486),"","x")</f>
        <v/>
      </c>
      <c r="J482" t="str">
        <f>IF(ISBLANK(JP!H486),"","x")</f>
        <v/>
      </c>
      <c r="K482" t="str">
        <f>IF(ISBLANK(JP!I486),"","x")</f>
        <v/>
      </c>
      <c r="L482" t="str">
        <f>IF(ISBLANK(JP!J486),"","x")</f>
        <v/>
      </c>
      <c r="M482" t="str">
        <f>IF(ISBLANK(JP!L486),"","x")</f>
        <v/>
      </c>
      <c r="N482" t="str">
        <f>IF(ISBLANK(JP!M486),"","x")</f>
        <v/>
      </c>
      <c r="O482" t="str">
        <f>IF(ISBLANK(JP!N486),"","x")</f>
        <v/>
      </c>
      <c r="P482" t="str">
        <f>IF(ISBLANK(JP!O486),"","x")</f>
        <v/>
      </c>
      <c r="Q482" t="str">
        <f>IF(ISBLANK(JP!P486),"","x")</f>
        <v/>
      </c>
      <c r="R482" t="str">
        <f>IF(ISBLANK(JP!Q486),"","x")</f>
        <v/>
      </c>
      <c r="S482" t="str">
        <f>IF(ISBLANK(JP!R486),"","x")</f>
        <v/>
      </c>
      <c r="T482" t="str">
        <f>IF(ISBLANK(JP!T486),"","x")</f>
        <v/>
      </c>
      <c r="U482" t="str">
        <f>IF(ISBLANK(JP!U486),"","x")</f>
        <v/>
      </c>
      <c r="V482" t="str">
        <f>IF(ISBLANK(JP!V486),"","x")</f>
        <v/>
      </c>
      <c r="W482" t="str">
        <f>IF(ISBLANK(JP!W486),"","x")</f>
        <v/>
      </c>
      <c r="X482" t="str">
        <f>IF(ISBLANK(JP!X486),"","x")</f>
        <v/>
      </c>
      <c r="Y482" t="str">
        <f>IF(ISBLANK(JP!Y486),"","x")</f>
        <v/>
      </c>
      <c r="Z482" t="str">
        <f>IF(ISBLANK(JP!Z486),"","x")</f>
        <v/>
      </c>
      <c r="AA482" t="str">
        <f>IF(ISBLANK(JP!AB486),"","x")</f>
        <v/>
      </c>
      <c r="AB482" t="str">
        <f>IF(ISBLANK(JP!AC486),"","x")</f>
        <v/>
      </c>
      <c r="AC482" t="str">
        <f>IF(ISBLANK(JP!AD486),"","x")</f>
        <v/>
      </c>
      <c r="AD482" t="str">
        <f>IF(ISBLANK(JP!AE486),"","x")</f>
        <v/>
      </c>
      <c r="AE482" t="str">
        <f>IF(ISBLANK(JP!AF486),"","x")</f>
        <v/>
      </c>
      <c r="AF482" t="str">
        <f>IF(ISBLANK(JP!AG486),"","x")</f>
        <v/>
      </c>
      <c r="AG482" t="str">
        <f>IF(ISBLANK(JP!AH486),"","x")</f>
        <v/>
      </c>
      <c r="AH482" t="str">
        <f>IF(ISBLANK(JP!AJ486),"","x")</f>
        <v/>
      </c>
      <c r="AI482" t="str">
        <f>IF(ISBLANK(JP!AK486),"","x")</f>
        <v/>
      </c>
      <c r="AJ482" t="str">
        <f>IF(ISBLANK(JP!AL486),"","x")</f>
        <v/>
      </c>
      <c r="AK482" t="str">
        <f>IF(ISBLANK(JP!AM486),"","x")</f>
        <v/>
      </c>
      <c r="AL482" t="str">
        <f>IF(ISBLANK(JP!AN486),"","x")</f>
        <v/>
      </c>
      <c r="AM482" t="str">
        <f>IF(ISBLANK(JP!AO486),"","x")</f>
        <v/>
      </c>
      <c r="AN482" t="str">
        <f>IF(ISBLANK(JP!AP486),"","x")</f>
        <v/>
      </c>
      <c r="AO482" t="str">
        <f>IF(ISBLANK(JP!AR486),"","x")</f>
        <v/>
      </c>
      <c r="AP482" t="str">
        <f>IF(ISBLANK(JP!AS486),"","x")</f>
        <v/>
      </c>
      <c r="AQ482" t="str">
        <f>IF(ISBLANK(JP!AT486),"","x")</f>
        <v/>
      </c>
      <c r="AR482" t="str">
        <f>IF(ISBLANK(JP!AU486),"","x")</f>
        <v/>
      </c>
      <c r="AS482" t="str">
        <f>IF(ISBLANK(JP!AV486),"","x")</f>
        <v/>
      </c>
      <c r="AT482" t="str">
        <f>IF(ISBLANK(JP!AW486),"","x")</f>
        <v/>
      </c>
      <c r="AU482" t="str">
        <f>IF(ISBLANK(JP!AX486),"","x")</f>
        <v/>
      </c>
    </row>
    <row r="483" spans="2:47">
      <c r="B483" t="str">
        <f>IF(ISBLANK(JP!AZ487),"",JP!AZ487)</f>
        <v/>
      </c>
      <c r="C483" t="str">
        <f>IF(ISBLANK(JP!BA487),"",JP!BA487)</f>
        <v/>
      </c>
      <c r="D483" t="str">
        <f>IF(ISBLANK(JP!BC487),"",JP!BC487)</f>
        <v/>
      </c>
      <c r="E483" t="str">
        <f>IF(ISBLANK(JP!BB487),"",JP!BB487)</f>
        <v/>
      </c>
      <c r="F483" t="str">
        <f>IF(ISBLANK(JP!D487),"","x")</f>
        <v/>
      </c>
      <c r="G483" t="str">
        <f>IF(ISBLANK(JP!E487),"","x")</f>
        <v/>
      </c>
      <c r="H483" t="str">
        <f>IF(ISBLANK(JP!F487),"","x")</f>
        <v/>
      </c>
      <c r="I483" t="str">
        <f>IF(ISBLANK(JP!G487),"","x")</f>
        <v/>
      </c>
      <c r="J483" t="str">
        <f>IF(ISBLANK(JP!H487),"","x")</f>
        <v/>
      </c>
      <c r="K483" t="str">
        <f>IF(ISBLANK(JP!I487),"","x")</f>
        <v/>
      </c>
      <c r="L483" t="str">
        <f>IF(ISBLANK(JP!J487),"","x")</f>
        <v/>
      </c>
      <c r="M483" t="str">
        <f>IF(ISBLANK(JP!L487),"","x")</f>
        <v/>
      </c>
      <c r="N483" t="str">
        <f>IF(ISBLANK(JP!M487),"","x")</f>
        <v/>
      </c>
      <c r="O483" t="str">
        <f>IF(ISBLANK(JP!N487),"","x")</f>
        <v/>
      </c>
      <c r="P483" t="str">
        <f>IF(ISBLANK(JP!O487),"","x")</f>
        <v/>
      </c>
      <c r="Q483" t="str">
        <f>IF(ISBLANK(JP!P487),"","x")</f>
        <v/>
      </c>
      <c r="R483" t="str">
        <f>IF(ISBLANK(JP!Q487),"","x")</f>
        <v/>
      </c>
      <c r="S483" t="str">
        <f>IF(ISBLANK(JP!R487),"","x")</f>
        <v/>
      </c>
      <c r="T483" t="str">
        <f>IF(ISBLANK(JP!T487),"","x")</f>
        <v/>
      </c>
      <c r="U483" t="str">
        <f>IF(ISBLANK(JP!U487),"","x")</f>
        <v/>
      </c>
      <c r="V483" t="str">
        <f>IF(ISBLANK(JP!V487),"","x")</f>
        <v/>
      </c>
      <c r="W483" t="str">
        <f>IF(ISBLANK(JP!W487),"","x")</f>
        <v/>
      </c>
      <c r="X483" t="str">
        <f>IF(ISBLANK(JP!X487),"","x")</f>
        <v/>
      </c>
      <c r="Y483" t="str">
        <f>IF(ISBLANK(JP!Y487),"","x")</f>
        <v/>
      </c>
      <c r="Z483" t="str">
        <f>IF(ISBLANK(JP!Z487),"","x")</f>
        <v/>
      </c>
      <c r="AA483" t="str">
        <f>IF(ISBLANK(JP!AB487),"","x")</f>
        <v/>
      </c>
      <c r="AB483" t="str">
        <f>IF(ISBLANK(JP!AC487),"","x")</f>
        <v/>
      </c>
      <c r="AC483" t="str">
        <f>IF(ISBLANK(JP!AD487),"","x")</f>
        <v/>
      </c>
      <c r="AD483" t="str">
        <f>IF(ISBLANK(JP!AE487),"","x")</f>
        <v/>
      </c>
      <c r="AE483" t="str">
        <f>IF(ISBLANK(JP!AF487),"","x")</f>
        <v/>
      </c>
      <c r="AF483" t="str">
        <f>IF(ISBLANK(JP!AG487),"","x")</f>
        <v/>
      </c>
      <c r="AG483" t="str">
        <f>IF(ISBLANK(JP!AH487),"","x")</f>
        <v/>
      </c>
      <c r="AH483" t="str">
        <f>IF(ISBLANK(JP!AJ487),"","x")</f>
        <v/>
      </c>
      <c r="AI483" t="str">
        <f>IF(ISBLANK(JP!AK487),"","x")</f>
        <v/>
      </c>
      <c r="AJ483" t="str">
        <f>IF(ISBLANK(JP!AL487),"","x")</f>
        <v/>
      </c>
      <c r="AK483" t="str">
        <f>IF(ISBLANK(JP!AM487),"","x")</f>
        <v/>
      </c>
      <c r="AL483" t="str">
        <f>IF(ISBLANK(JP!AN487),"","x")</f>
        <v/>
      </c>
      <c r="AM483" t="str">
        <f>IF(ISBLANK(JP!AO487),"","x")</f>
        <v/>
      </c>
      <c r="AN483" t="str">
        <f>IF(ISBLANK(JP!AP487),"","x")</f>
        <v/>
      </c>
      <c r="AO483" t="str">
        <f>IF(ISBLANK(JP!AR487),"","x")</f>
        <v/>
      </c>
      <c r="AP483" t="str">
        <f>IF(ISBLANK(JP!AS487),"","x")</f>
        <v/>
      </c>
      <c r="AQ483" t="str">
        <f>IF(ISBLANK(JP!AT487),"","x")</f>
        <v/>
      </c>
      <c r="AR483" t="str">
        <f>IF(ISBLANK(JP!AU487),"","x")</f>
        <v/>
      </c>
      <c r="AS483" t="str">
        <f>IF(ISBLANK(JP!AV487),"","x")</f>
        <v/>
      </c>
      <c r="AT483" t="str">
        <f>IF(ISBLANK(JP!AW487),"","x")</f>
        <v/>
      </c>
      <c r="AU483" t="str">
        <f>IF(ISBLANK(JP!AX487),"","x")</f>
        <v/>
      </c>
    </row>
    <row r="484" spans="2:47">
      <c r="B484" t="str">
        <f>IF(ISBLANK(JP!AZ488),"",JP!AZ488)</f>
        <v/>
      </c>
      <c r="C484" t="str">
        <f>IF(ISBLANK(JP!BA488),"",JP!BA488)</f>
        <v/>
      </c>
      <c r="D484" t="str">
        <f>IF(ISBLANK(JP!BC488),"",JP!BC488)</f>
        <v/>
      </c>
      <c r="E484" t="str">
        <f>IF(ISBLANK(JP!BB488),"",JP!BB488)</f>
        <v/>
      </c>
      <c r="F484" t="str">
        <f>IF(ISBLANK(JP!D488),"","x")</f>
        <v/>
      </c>
      <c r="G484" t="str">
        <f>IF(ISBLANK(JP!E488),"","x")</f>
        <v/>
      </c>
      <c r="H484" t="str">
        <f>IF(ISBLANK(JP!F488),"","x")</f>
        <v/>
      </c>
      <c r="I484" t="str">
        <f>IF(ISBLANK(JP!G488),"","x")</f>
        <v/>
      </c>
      <c r="J484" t="str">
        <f>IF(ISBLANK(JP!H488),"","x")</f>
        <v/>
      </c>
      <c r="K484" t="str">
        <f>IF(ISBLANK(JP!I488),"","x")</f>
        <v/>
      </c>
      <c r="L484" t="str">
        <f>IF(ISBLANK(JP!J488),"","x")</f>
        <v/>
      </c>
      <c r="M484" t="str">
        <f>IF(ISBLANK(JP!L488),"","x")</f>
        <v/>
      </c>
      <c r="N484" t="str">
        <f>IF(ISBLANK(JP!M488),"","x")</f>
        <v/>
      </c>
      <c r="O484" t="str">
        <f>IF(ISBLANK(JP!N488),"","x")</f>
        <v/>
      </c>
      <c r="P484" t="str">
        <f>IF(ISBLANK(JP!O488),"","x")</f>
        <v/>
      </c>
      <c r="Q484" t="str">
        <f>IF(ISBLANK(JP!P488),"","x")</f>
        <v/>
      </c>
      <c r="R484" t="str">
        <f>IF(ISBLANK(JP!Q488),"","x")</f>
        <v/>
      </c>
      <c r="S484" t="str">
        <f>IF(ISBLANK(JP!R488),"","x")</f>
        <v/>
      </c>
      <c r="T484" t="str">
        <f>IF(ISBLANK(JP!T488),"","x")</f>
        <v/>
      </c>
      <c r="U484" t="str">
        <f>IF(ISBLANK(JP!U488),"","x")</f>
        <v/>
      </c>
      <c r="V484" t="str">
        <f>IF(ISBLANK(JP!V488),"","x")</f>
        <v/>
      </c>
      <c r="W484" t="str">
        <f>IF(ISBLANK(JP!W488),"","x")</f>
        <v/>
      </c>
      <c r="X484" t="str">
        <f>IF(ISBLANK(JP!X488),"","x")</f>
        <v/>
      </c>
      <c r="Y484" t="str">
        <f>IF(ISBLANK(JP!Y488),"","x")</f>
        <v/>
      </c>
      <c r="Z484" t="str">
        <f>IF(ISBLANK(JP!Z488),"","x")</f>
        <v/>
      </c>
      <c r="AA484" t="str">
        <f>IF(ISBLANK(JP!AB488),"","x")</f>
        <v/>
      </c>
      <c r="AB484" t="str">
        <f>IF(ISBLANK(JP!AC488),"","x")</f>
        <v/>
      </c>
      <c r="AC484" t="str">
        <f>IF(ISBLANK(JP!AD488),"","x")</f>
        <v/>
      </c>
      <c r="AD484" t="str">
        <f>IF(ISBLANK(JP!AE488),"","x")</f>
        <v/>
      </c>
      <c r="AE484" t="str">
        <f>IF(ISBLANK(JP!AF488),"","x")</f>
        <v/>
      </c>
      <c r="AF484" t="str">
        <f>IF(ISBLANK(JP!AG488),"","x")</f>
        <v/>
      </c>
      <c r="AG484" t="str">
        <f>IF(ISBLANK(JP!AH488),"","x")</f>
        <v/>
      </c>
      <c r="AH484" t="str">
        <f>IF(ISBLANK(JP!AJ488),"","x")</f>
        <v/>
      </c>
      <c r="AI484" t="str">
        <f>IF(ISBLANK(JP!AK488),"","x")</f>
        <v/>
      </c>
      <c r="AJ484" t="str">
        <f>IF(ISBLANK(JP!AL488),"","x")</f>
        <v/>
      </c>
      <c r="AK484" t="str">
        <f>IF(ISBLANK(JP!AM488),"","x")</f>
        <v/>
      </c>
      <c r="AL484" t="str">
        <f>IF(ISBLANK(JP!AN488),"","x")</f>
        <v/>
      </c>
      <c r="AM484" t="str">
        <f>IF(ISBLANK(JP!AO488),"","x")</f>
        <v/>
      </c>
      <c r="AN484" t="str">
        <f>IF(ISBLANK(JP!AP488),"","x")</f>
        <v/>
      </c>
      <c r="AO484" t="str">
        <f>IF(ISBLANK(JP!AR488),"","x")</f>
        <v/>
      </c>
      <c r="AP484" t="str">
        <f>IF(ISBLANK(JP!AS488),"","x")</f>
        <v/>
      </c>
      <c r="AQ484" t="str">
        <f>IF(ISBLANK(JP!AT488),"","x")</f>
        <v/>
      </c>
      <c r="AR484" t="str">
        <f>IF(ISBLANK(JP!AU488),"","x")</f>
        <v/>
      </c>
      <c r="AS484" t="str">
        <f>IF(ISBLANK(JP!AV488),"","x")</f>
        <v/>
      </c>
      <c r="AT484" t="str">
        <f>IF(ISBLANK(JP!AW488),"","x")</f>
        <v/>
      </c>
      <c r="AU484" t="str">
        <f>IF(ISBLANK(JP!AX488),"","x")</f>
        <v/>
      </c>
    </row>
    <row r="485" spans="2:47">
      <c r="B485" t="str">
        <f>IF(ISBLANK(JP!AZ489),"",JP!AZ489)</f>
        <v/>
      </c>
      <c r="C485" t="str">
        <f>IF(ISBLANK(JP!BA489),"",JP!BA489)</f>
        <v/>
      </c>
      <c r="D485" t="str">
        <f>IF(ISBLANK(JP!BC489),"",JP!BC489)</f>
        <v/>
      </c>
      <c r="E485" t="str">
        <f>IF(ISBLANK(JP!BB489),"",JP!BB489)</f>
        <v/>
      </c>
      <c r="F485" t="str">
        <f>IF(ISBLANK(JP!D489),"","x")</f>
        <v/>
      </c>
      <c r="G485" t="str">
        <f>IF(ISBLANK(JP!E489),"","x")</f>
        <v/>
      </c>
      <c r="H485" t="str">
        <f>IF(ISBLANK(JP!F489),"","x")</f>
        <v/>
      </c>
      <c r="I485" t="str">
        <f>IF(ISBLANK(JP!G489),"","x")</f>
        <v/>
      </c>
      <c r="J485" t="str">
        <f>IF(ISBLANK(JP!H489),"","x")</f>
        <v/>
      </c>
      <c r="K485" t="str">
        <f>IF(ISBLANK(JP!I489),"","x")</f>
        <v/>
      </c>
      <c r="L485" t="str">
        <f>IF(ISBLANK(JP!J489),"","x")</f>
        <v/>
      </c>
      <c r="M485" t="str">
        <f>IF(ISBLANK(JP!L489),"","x")</f>
        <v/>
      </c>
      <c r="N485" t="str">
        <f>IF(ISBLANK(JP!M489),"","x")</f>
        <v/>
      </c>
      <c r="O485" t="str">
        <f>IF(ISBLANK(JP!N489),"","x")</f>
        <v/>
      </c>
      <c r="P485" t="str">
        <f>IF(ISBLANK(JP!O489),"","x")</f>
        <v/>
      </c>
      <c r="Q485" t="str">
        <f>IF(ISBLANK(JP!P489),"","x")</f>
        <v/>
      </c>
      <c r="R485" t="str">
        <f>IF(ISBLANK(JP!Q489),"","x")</f>
        <v/>
      </c>
      <c r="S485" t="str">
        <f>IF(ISBLANK(JP!R489),"","x")</f>
        <v/>
      </c>
      <c r="T485" t="str">
        <f>IF(ISBLANK(JP!T489),"","x")</f>
        <v/>
      </c>
      <c r="U485" t="str">
        <f>IF(ISBLANK(JP!U489),"","x")</f>
        <v/>
      </c>
      <c r="V485" t="str">
        <f>IF(ISBLANK(JP!V489),"","x")</f>
        <v/>
      </c>
      <c r="W485" t="str">
        <f>IF(ISBLANK(JP!W489),"","x")</f>
        <v/>
      </c>
      <c r="X485" t="str">
        <f>IF(ISBLANK(JP!X489),"","x")</f>
        <v/>
      </c>
      <c r="Y485" t="str">
        <f>IF(ISBLANK(JP!Y489),"","x")</f>
        <v/>
      </c>
      <c r="Z485" t="str">
        <f>IF(ISBLANK(JP!Z489),"","x")</f>
        <v/>
      </c>
      <c r="AA485" t="str">
        <f>IF(ISBLANK(JP!AB489),"","x")</f>
        <v/>
      </c>
      <c r="AB485" t="str">
        <f>IF(ISBLANK(JP!AC489),"","x")</f>
        <v/>
      </c>
      <c r="AC485" t="str">
        <f>IF(ISBLANK(JP!AD489),"","x")</f>
        <v/>
      </c>
      <c r="AD485" t="str">
        <f>IF(ISBLANK(JP!AE489),"","x")</f>
        <v/>
      </c>
      <c r="AE485" t="str">
        <f>IF(ISBLANK(JP!AF489),"","x")</f>
        <v/>
      </c>
      <c r="AF485" t="str">
        <f>IF(ISBLANK(JP!AG489),"","x")</f>
        <v/>
      </c>
      <c r="AG485" t="str">
        <f>IF(ISBLANK(JP!AH489),"","x")</f>
        <v/>
      </c>
      <c r="AH485" t="str">
        <f>IF(ISBLANK(JP!AJ489),"","x")</f>
        <v/>
      </c>
      <c r="AI485" t="str">
        <f>IF(ISBLANK(JP!AK489),"","x")</f>
        <v/>
      </c>
      <c r="AJ485" t="str">
        <f>IF(ISBLANK(JP!AL489),"","x")</f>
        <v/>
      </c>
      <c r="AK485" t="str">
        <f>IF(ISBLANK(JP!AM489),"","x")</f>
        <v/>
      </c>
      <c r="AL485" t="str">
        <f>IF(ISBLANK(JP!AN489),"","x")</f>
        <v/>
      </c>
      <c r="AM485" t="str">
        <f>IF(ISBLANK(JP!AO489),"","x")</f>
        <v/>
      </c>
      <c r="AN485" t="str">
        <f>IF(ISBLANK(JP!AP489),"","x")</f>
        <v/>
      </c>
      <c r="AO485" t="str">
        <f>IF(ISBLANK(JP!AR489),"","x")</f>
        <v/>
      </c>
      <c r="AP485" t="str">
        <f>IF(ISBLANK(JP!AS489),"","x")</f>
        <v/>
      </c>
      <c r="AQ485" t="str">
        <f>IF(ISBLANK(JP!AT489),"","x")</f>
        <v/>
      </c>
      <c r="AR485" t="str">
        <f>IF(ISBLANK(JP!AU489),"","x")</f>
        <v/>
      </c>
      <c r="AS485" t="str">
        <f>IF(ISBLANK(JP!AV489),"","x")</f>
        <v/>
      </c>
      <c r="AT485" t="str">
        <f>IF(ISBLANK(JP!AW489),"","x")</f>
        <v/>
      </c>
      <c r="AU485" t="str">
        <f>IF(ISBLANK(JP!AX489),"","x")</f>
        <v/>
      </c>
    </row>
    <row r="486" spans="2:47">
      <c r="B486" t="str">
        <f>IF(ISBLANK(JP!AZ490),"",JP!AZ490)</f>
        <v/>
      </c>
      <c r="C486" t="str">
        <f>IF(ISBLANK(JP!BA490),"",JP!BA490)</f>
        <v/>
      </c>
      <c r="D486" t="str">
        <f>IF(ISBLANK(JP!BC490),"",JP!BC490)</f>
        <v/>
      </c>
      <c r="E486" t="str">
        <f>IF(ISBLANK(JP!BB490),"",JP!BB490)</f>
        <v/>
      </c>
      <c r="F486" t="str">
        <f>IF(ISBLANK(JP!D490),"","x")</f>
        <v/>
      </c>
      <c r="G486" t="str">
        <f>IF(ISBLANK(JP!E490),"","x")</f>
        <v/>
      </c>
      <c r="H486" t="str">
        <f>IF(ISBLANK(JP!F490),"","x")</f>
        <v/>
      </c>
      <c r="I486" t="str">
        <f>IF(ISBLANK(JP!G490),"","x")</f>
        <v/>
      </c>
      <c r="J486" t="str">
        <f>IF(ISBLANK(JP!H490),"","x")</f>
        <v/>
      </c>
      <c r="K486" t="str">
        <f>IF(ISBLANK(JP!I490),"","x")</f>
        <v/>
      </c>
      <c r="L486" t="str">
        <f>IF(ISBLANK(JP!J490),"","x")</f>
        <v/>
      </c>
      <c r="M486" t="str">
        <f>IF(ISBLANK(JP!L490),"","x")</f>
        <v/>
      </c>
      <c r="N486" t="str">
        <f>IF(ISBLANK(JP!M490),"","x")</f>
        <v/>
      </c>
      <c r="O486" t="str">
        <f>IF(ISBLANK(JP!N490),"","x")</f>
        <v/>
      </c>
      <c r="P486" t="str">
        <f>IF(ISBLANK(JP!O490),"","x")</f>
        <v/>
      </c>
      <c r="Q486" t="str">
        <f>IF(ISBLANK(JP!P490),"","x")</f>
        <v/>
      </c>
      <c r="R486" t="str">
        <f>IF(ISBLANK(JP!Q490),"","x")</f>
        <v/>
      </c>
      <c r="S486" t="str">
        <f>IF(ISBLANK(JP!R490),"","x")</f>
        <v/>
      </c>
      <c r="T486" t="str">
        <f>IF(ISBLANK(JP!T490),"","x")</f>
        <v/>
      </c>
      <c r="U486" t="str">
        <f>IF(ISBLANK(JP!U490),"","x")</f>
        <v/>
      </c>
      <c r="V486" t="str">
        <f>IF(ISBLANK(JP!V490),"","x")</f>
        <v/>
      </c>
      <c r="W486" t="str">
        <f>IF(ISBLANK(JP!W490),"","x")</f>
        <v/>
      </c>
      <c r="X486" t="str">
        <f>IF(ISBLANK(JP!X490),"","x")</f>
        <v/>
      </c>
      <c r="Y486" t="str">
        <f>IF(ISBLANK(JP!Y490),"","x")</f>
        <v/>
      </c>
      <c r="Z486" t="str">
        <f>IF(ISBLANK(JP!Z490),"","x")</f>
        <v/>
      </c>
      <c r="AA486" t="str">
        <f>IF(ISBLANK(JP!AB490),"","x")</f>
        <v/>
      </c>
      <c r="AB486" t="str">
        <f>IF(ISBLANK(JP!AC490),"","x")</f>
        <v/>
      </c>
      <c r="AC486" t="str">
        <f>IF(ISBLANK(JP!AD490),"","x")</f>
        <v/>
      </c>
      <c r="AD486" t="str">
        <f>IF(ISBLANK(JP!AE490),"","x")</f>
        <v/>
      </c>
      <c r="AE486" t="str">
        <f>IF(ISBLANK(JP!AF490),"","x")</f>
        <v/>
      </c>
      <c r="AF486" t="str">
        <f>IF(ISBLANK(JP!AG490),"","x")</f>
        <v/>
      </c>
      <c r="AG486" t="str">
        <f>IF(ISBLANK(JP!AH490),"","x")</f>
        <v/>
      </c>
      <c r="AH486" t="str">
        <f>IF(ISBLANK(JP!AJ490),"","x")</f>
        <v/>
      </c>
      <c r="AI486" t="str">
        <f>IF(ISBLANK(JP!AK490),"","x")</f>
        <v/>
      </c>
      <c r="AJ486" t="str">
        <f>IF(ISBLANK(JP!AL490),"","x")</f>
        <v/>
      </c>
      <c r="AK486" t="str">
        <f>IF(ISBLANK(JP!AM490),"","x")</f>
        <v/>
      </c>
      <c r="AL486" t="str">
        <f>IF(ISBLANK(JP!AN490),"","x")</f>
        <v/>
      </c>
      <c r="AM486" t="str">
        <f>IF(ISBLANK(JP!AO490),"","x")</f>
        <v/>
      </c>
      <c r="AN486" t="str">
        <f>IF(ISBLANK(JP!AP490),"","x")</f>
        <v/>
      </c>
      <c r="AO486" t="str">
        <f>IF(ISBLANK(JP!AR490),"","x")</f>
        <v/>
      </c>
      <c r="AP486" t="str">
        <f>IF(ISBLANK(JP!AS490),"","x")</f>
        <v/>
      </c>
      <c r="AQ486" t="str">
        <f>IF(ISBLANK(JP!AT490),"","x")</f>
        <v/>
      </c>
      <c r="AR486" t="str">
        <f>IF(ISBLANK(JP!AU490),"","x")</f>
        <v/>
      </c>
      <c r="AS486" t="str">
        <f>IF(ISBLANK(JP!AV490),"","x")</f>
        <v/>
      </c>
      <c r="AT486" t="str">
        <f>IF(ISBLANK(JP!AW490),"","x")</f>
        <v/>
      </c>
      <c r="AU486" t="str">
        <f>IF(ISBLANK(JP!AX490),"","x")</f>
        <v/>
      </c>
    </row>
    <row r="487" spans="2:47">
      <c r="B487" t="str">
        <f>IF(ISBLANK(JP!AZ491),"",JP!AZ491)</f>
        <v/>
      </c>
      <c r="C487" t="str">
        <f>IF(ISBLANK(JP!BA491),"",JP!BA491)</f>
        <v/>
      </c>
      <c r="D487" t="str">
        <f>IF(ISBLANK(JP!BC491),"",JP!BC491)</f>
        <v/>
      </c>
      <c r="E487" t="str">
        <f>IF(ISBLANK(JP!BB491),"",JP!BB491)</f>
        <v/>
      </c>
      <c r="F487" t="str">
        <f>IF(ISBLANK(JP!D491),"","x")</f>
        <v/>
      </c>
      <c r="G487" t="str">
        <f>IF(ISBLANK(JP!E491),"","x")</f>
        <v/>
      </c>
      <c r="H487" t="str">
        <f>IF(ISBLANK(JP!F491),"","x")</f>
        <v/>
      </c>
      <c r="I487" t="str">
        <f>IF(ISBLANK(JP!G491),"","x")</f>
        <v/>
      </c>
      <c r="J487" t="str">
        <f>IF(ISBLANK(JP!H491),"","x")</f>
        <v/>
      </c>
      <c r="K487" t="str">
        <f>IF(ISBLANK(JP!I491),"","x")</f>
        <v/>
      </c>
      <c r="L487" t="str">
        <f>IF(ISBLANK(JP!J491),"","x")</f>
        <v/>
      </c>
      <c r="M487" t="str">
        <f>IF(ISBLANK(JP!L491),"","x")</f>
        <v/>
      </c>
      <c r="N487" t="str">
        <f>IF(ISBLANK(JP!M491),"","x")</f>
        <v/>
      </c>
      <c r="O487" t="str">
        <f>IF(ISBLANK(JP!N491),"","x")</f>
        <v/>
      </c>
      <c r="P487" t="str">
        <f>IF(ISBLANK(JP!O491),"","x")</f>
        <v/>
      </c>
      <c r="Q487" t="str">
        <f>IF(ISBLANK(JP!P491),"","x")</f>
        <v/>
      </c>
      <c r="R487" t="str">
        <f>IF(ISBLANK(JP!Q491),"","x")</f>
        <v/>
      </c>
      <c r="S487" t="str">
        <f>IF(ISBLANK(JP!R491),"","x")</f>
        <v/>
      </c>
      <c r="T487" t="str">
        <f>IF(ISBLANK(JP!T491),"","x")</f>
        <v/>
      </c>
      <c r="U487" t="str">
        <f>IF(ISBLANK(JP!U491),"","x")</f>
        <v/>
      </c>
      <c r="V487" t="str">
        <f>IF(ISBLANK(JP!V491),"","x")</f>
        <v/>
      </c>
      <c r="W487" t="str">
        <f>IF(ISBLANK(JP!W491),"","x")</f>
        <v/>
      </c>
      <c r="X487" t="str">
        <f>IF(ISBLANK(JP!X491),"","x")</f>
        <v/>
      </c>
      <c r="Y487" t="str">
        <f>IF(ISBLANK(JP!Y491),"","x")</f>
        <v/>
      </c>
      <c r="Z487" t="str">
        <f>IF(ISBLANK(JP!Z491),"","x")</f>
        <v/>
      </c>
      <c r="AA487" t="str">
        <f>IF(ISBLANK(JP!AB491),"","x")</f>
        <v/>
      </c>
      <c r="AB487" t="str">
        <f>IF(ISBLANK(JP!AC491),"","x")</f>
        <v/>
      </c>
      <c r="AC487" t="str">
        <f>IF(ISBLANK(JP!AD491),"","x")</f>
        <v/>
      </c>
      <c r="AD487" t="str">
        <f>IF(ISBLANK(JP!AE491),"","x")</f>
        <v/>
      </c>
      <c r="AE487" t="str">
        <f>IF(ISBLANK(JP!AF491),"","x")</f>
        <v/>
      </c>
      <c r="AF487" t="str">
        <f>IF(ISBLANK(JP!AG491),"","x")</f>
        <v/>
      </c>
      <c r="AG487" t="str">
        <f>IF(ISBLANK(JP!AH491),"","x")</f>
        <v/>
      </c>
      <c r="AH487" t="str">
        <f>IF(ISBLANK(JP!AJ491),"","x")</f>
        <v/>
      </c>
      <c r="AI487" t="str">
        <f>IF(ISBLANK(JP!AK491),"","x")</f>
        <v/>
      </c>
      <c r="AJ487" t="str">
        <f>IF(ISBLANK(JP!AL491),"","x")</f>
        <v/>
      </c>
      <c r="AK487" t="str">
        <f>IF(ISBLANK(JP!AM491),"","x")</f>
        <v/>
      </c>
      <c r="AL487" t="str">
        <f>IF(ISBLANK(JP!AN491),"","x")</f>
        <v/>
      </c>
      <c r="AM487" t="str">
        <f>IF(ISBLANK(JP!AO491),"","x")</f>
        <v/>
      </c>
      <c r="AN487" t="str">
        <f>IF(ISBLANK(JP!AP491),"","x")</f>
        <v/>
      </c>
      <c r="AO487" t="str">
        <f>IF(ISBLANK(JP!AR491),"","x")</f>
        <v/>
      </c>
      <c r="AP487" t="str">
        <f>IF(ISBLANK(JP!AS491),"","x")</f>
        <v/>
      </c>
      <c r="AQ487" t="str">
        <f>IF(ISBLANK(JP!AT491),"","x")</f>
        <v/>
      </c>
      <c r="AR487" t="str">
        <f>IF(ISBLANK(JP!AU491),"","x")</f>
        <v/>
      </c>
      <c r="AS487" t="str">
        <f>IF(ISBLANK(JP!AV491),"","x")</f>
        <v/>
      </c>
      <c r="AT487" t="str">
        <f>IF(ISBLANK(JP!AW491),"","x")</f>
        <v/>
      </c>
      <c r="AU487" t="str">
        <f>IF(ISBLANK(JP!AX491),"","x")</f>
        <v/>
      </c>
    </row>
    <row r="488" spans="2:47">
      <c r="B488" t="str">
        <f>IF(ISBLANK(JP!AZ492),"",JP!AZ492)</f>
        <v/>
      </c>
      <c r="C488" t="str">
        <f>IF(ISBLANK(JP!BA492),"",JP!BA492)</f>
        <v/>
      </c>
      <c r="D488" t="str">
        <f>IF(ISBLANK(JP!BC492),"",JP!BC492)</f>
        <v/>
      </c>
      <c r="E488" t="str">
        <f>IF(ISBLANK(JP!BB492),"",JP!BB492)</f>
        <v/>
      </c>
      <c r="F488" t="str">
        <f>IF(ISBLANK(JP!D492),"","x")</f>
        <v/>
      </c>
      <c r="G488" t="str">
        <f>IF(ISBLANK(JP!E492),"","x")</f>
        <v/>
      </c>
      <c r="H488" t="str">
        <f>IF(ISBLANK(JP!F492),"","x")</f>
        <v/>
      </c>
      <c r="I488" t="str">
        <f>IF(ISBLANK(JP!G492),"","x")</f>
        <v/>
      </c>
      <c r="J488" t="str">
        <f>IF(ISBLANK(JP!H492),"","x")</f>
        <v/>
      </c>
      <c r="K488" t="str">
        <f>IF(ISBLANK(JP!I492),"","x")</f>
        <v/>
      </c>
      <c r="L488" t="str">
        <f>IF(ISBLANK(JP!J492),"","x")</f>
        <v/>
      </c>
      <c r="M488" t="str">
        <f>IF(ISBLANK(JP!L492),"","x")</f>
        <v/>
      </c>
      <c r="N488" t="str">
        <f>IF(ISBLANK(JP!M492),"","x")</f>
        <v/>
      </c>
      <c r="O488" t="str">
        <f>IF(ISBLANK(JP!N492),"","x")</f>
        <v/>
      </c>
      <c r="P488" t="str">
        <f>IF(ISBLANK(JP!O492),"","x")</f>
        <v/>
      </c>
      <c r="Q488" t="str">
        <f>IF(ISBLANK(JP!P492),"","x")</f>
        <v/>
      </c>
      <c r="R488" t="str">
        <f>IF(ISBLANK(JP!Q492),"","x")</f>
        <v/>
      </c>
      <c r="S488" t="str">
        <f>IF(ISBLANK(JP!R492),"","x")</f>
        <v/>
      </c>
      <c r="T488" t="str">
        <f>IF(ISBLANK(JP!T492),"","x")</f>
        <v/>
      </c>
      <c r="U488" t="str">
        <f>IF(ISBLANK(JP!U492),"","x")</f>
        <v/>
      </c>
      <c r="V488" t="str">
        <f>IF(ISBLANK(JP!V492),"","x")</f>
        <v/>
      </c>
      <c r="W488" t="str">
        <f>IF(ISBLANK(JP!W492),"","x")</f>
        <v/>
      </c>
      <c r="X488" t="str">
        <f>IF(ISBLANK(JP!X492),"","x")</f>
        <v/>
      </c>
      <c r="Y488" t="str">
        <f>IF(ISBLANK(JP!Y492),"","x")</f>
        <v/>
      </c>
      <c r="Z488" t="str">
        <f>IF(ISBLANK(JP!Z492),"","x")</f>
        <v/>
      </c>
      <c r="AA488" t="str">
        <f>IF(ISBLANK(JP!AB492),"","x")</f>
        <v/>
      </c>
      <c r="AB488" t="str">
        <f>IF(ISBLANK(JP!AC492),"","x")</f>
        <v/>
      </c>
      <c r="AC488" t="str">
        <f>IF(ISBLANK(JP!AD492),"","x")</f>
        <v/>
      </c>
      <c r="AD488" t="str">
        <f>IF(ISBLANK(JP!AE492),"","x")</f>
        <v/>
      </c>
      <c r="AE488" t="str">
        <f>IF(ISBLANK(JP!AF492),"","x")</f>
        <v/>
      </c>
      <c r="AF488" t="str">
        <f>IF(ISBLANK(JP!AG492),"","x")</f>
        <v/>
      </c>
      <c r="AG488" t="str">
        <f>IF(ISBLANK(JP!AH492),"","x")</f>
        <v/>
      </c>
      <c r="AH488" t="str">
        <f>IF(ISBLANK(JP!AJ492),"","x")</f>
        <v/>
      </c>
      <c r="AI488" t="str">
        <f>IF(ISBLANK(JP!AK492),"","x")</f>
        <v/>
      </c>
      <c r="AJ488" t="str">
        <f>IF(ISBLANK(JP!AL492),"","x")</f>
        <v/>
      </c>
      <c r="AK488" t="str">
        <f>IF(ISBLANK(JP!AM492),"","x")</f>
        <v/>
      </c>
      <c r="AL488" t="str">
        <f>IF(ISBLANK(JP!AN492),"","x")</f>
        <v/>
      </c>
      <c r="AM488" t="str">
        <f>IF(ISBLANK(JP!AO492),"","x")</f>
        <v/>
      </c>
      <c r="AN488" t="str">
        <f>IF(ISBLANK(JP!AP492),"","x")</f>
        <v/>
      </c>
      <c r="AO488" t="str">
        <f>IF(ISBLANK(JP!AR492),"","x")</f>
        <v/>
      </c>
      <c r="AP488" t="str">
        <f>IF(ISBLANK(JP!AS492),"","x")</f>
        <v/>
      </c>
      <c r="AQ488" t="str">
        <f>IF(ISBLANK(JP!AT492),"","x")</f>
        <v/>
      </c>
      <c r="AR488" t="str">
        <f>IF(ISBLANK(JP!AU492),"","x")</f>
        <v/>
      </c>
      <c r="AS488" t="str">
        <f>IF(ISBLANK(JP!AV492),"","x")</f>
        <v/>
      </c>
      <c r="AT488" t="str">
        <f>IF(ISBLANK(JP!AW492),"","x")</f>
        <v/>
      </c>
      <c r="AU488" t="str">
        <f>IF(ISBLANK(JP!AX492),"","x")</f>
        <v/>
      </c>
    </row>
    <row r="489" spans="2:47">
      <c r="B489" t="str">
        <f>IF(ISBLANK(JP!AZ493),"",JP!AZ493)</f>
        <v/>
      </c>
      <c r="C489" t="str">
        <f>IF(ISBLANK(JP!BA493),"",JP!BA493)</f>
        <v/>
      </c>
      <c r="D489" t="str">
        <f>IF(ISBLANK(JP!BC493),"",JP!BC493)</f>
        <v/>
      </c>
      <c r="E489" t="str">
        <f>IF(ISBLANK(JP!BB493),"",JP!BB493)</f>
        <v/>
      </c>
      <c r="F489" t="str">
        <f>IF(ISBLANK(JP!D493),"","x")</f>
        <v/>
      </c>
      <c r="G489" t="str">
        <f>IF(ISBLANK(JP!E493),"","x")</f>
        <v/>
      </c>
      <c r="H489" t="str">
        <f>IF(ISBLANK(JP!F493),"","x")</f>
        <v/>
      </c>
      <c r="I489" t="str">
        <f>IF(ISBLANK(JP!G493),"","x")</f>
        <v/>
      </c>
      <c r="J489" t="str">
        <f>IF(ISBLANK(JP!H493),"","x")</f>
        <v/>
      </c>
      <c r="K489" t="str">
        <f>IF(ISBLANK(JP!I493),"","x")</f>
        <v/>
      </c>
      <c r="L489" t="str">
        <f>IF(ISBLANK(JP!J493),"","x")</f>
        <v/>
      </c>
      <c r="M489" t="str">
        <f>IF(ISBLANK(JP!L493),"","x")</f>
        <v/>
      </c>
      <c r="N489" t="str">
        <f>IF(ISBLANK(JP!M493),"","x")</f>
        <v/>
      </c>
      <c r="O489" t="str">
        <f>IF(ISBLANK(JP!N493),"","x")</f>
        <v/>
      </c>
      <c r="P489" t="str">
        <f>IF(ISBLANK(JP!O493),"","x")</f>
        <v/>
      </c>
      <c r="Q489" t="str">
        <f>IF(ISBLANK(JP!P493),"","x")</f>
        <v/>
      </c>
      <c r="R489" t="str">
        <f>IF(ISBLANK(JP!Q493),"","x")</f>
        <v/>
      </c>
      <c r="S489" t="str">
        <f>IF(ISBLANK(JP!R493),"","x")</f>
        <v/>
      </c>
      <c r="T489" t="str">
        <f>IF(ISBLANK(JP!T493),"","x")</f>
        <v/>
      </c>
      <c r="U489" t="str">
        <f>IF(ISBLANK(JP!U493),"","x")</f>
        <v/>
      </c>
      <c r="V489" t="str">
        <f>IF(ISBLANK(JP!V493),"","x")</f>
        <v/>
      </c>
      <c r="W489" t="str">
        <f>IF(ISBLANK(JP!W493),"","x")</f>
        <v/>
      </c>
      <c r="X489" t="str">
        <f>IF(ISBLANK(JP!X493),"","x")</f>
        <v/>
      </c>
      <c r="Y489" t="str">
        <f>IF(ISBLANK(JP!Y493),"","x")</f>
        <v/>
      </c>
      <c r="Z489" t="str">
        <f>IF(ISBLANK(JP!Z493),"","x")</f>
        <v/>
      </c>
      <c r="AA489" t="str">
        <f>IF(ISBLANK(JP!AB493),"","x")</f>
        <v/>
      </c>
      <c r="AB489" t="str">
        <f>IF(ISBLANK(JP!AC493),"","x")</f>
        <v/>
      </c>
      <c r="AC489" t="str">
        <f>IF(ISBLANK(JP!AD493),"","x")</f>
        <v/>
      </c>
      <c r="AD489" t="str">
        <f>IF(ISBLANK(JP!AE493),"","x")</f>
        <v/>
      </c>
      <c r="AE489" t="str">
        <f>IF(ISBLANK(JP!AF493),"","x")</f>
        <v/>
      </c>
      <c r="AF489" t="str">
        <f>IF(ISBLANK(JP!AG493),"","x")</f>
        <v/>
      </c>
      <c r="AG489" t="str">
        <f>IF(ISBLANK(JP!AH493),"","x")</f>
        <v/>
      </c>
      <c r="AH489" t="str">
        <f>IF(ISBLANK(JP!AJ493),"","x")</f>
        <v/>
      </c>
      <c r="AI489" t="str">
        <f>IF(ISBLANK(JP!AK493),"","x")</f>
        <v/>
      </c>
      <c r="AJ489" t="str">
        <f>IF(ISBLANK(JP!AL493),"","x")</f>
        <v/>
      </c>
      <c r="AK489" t="str">
        <f>IF(ISBLANK(JP!AM493),"","x")</f>
        <v/>
      </c>
      <c r="AL489" t="str">
        <f>IF(ISBLANK(JP!AN493),"","x")</f>
        <v/>
      </c>
      <c r="AM489" t="str">
        <f>IF(ISBLANK(JP!AO493),"","x")</f>
        <v/>
      </c>
      <c r="AN489" t="str">
        <f>IF(ISBLANK(JP!AP493),"","x")</f>
        <v/>
      </c>
      <c r="AO489" t="str">
        <f>IF(ISBLANK(JP!AR493),"","x")</f>
        <v/>
      </c>
      <c r="AP489" t="str">
        <f>IF(ISBLANK(JP!AS493),"","x")</f>
        <v/>
      </c>
      <c r="AQ489" t="str">
        <f>IF(ISBLANK(JP!AT493),"","x")</f>
        <v/>
      </c>
      <c r="AR489" t="str">
        <f>IF(ISBLANK(JP!AU493),"","x")</f>
        <v/>
      </c>
      <c r="AS489" t="str">
        <f>IF(ISBLANK(JP!AV493),"","x")</f>
        <v/>
      </c>
      <c r="AT489" t="str">
        <f>IF(ISBLANK(JP!AW493),"","x")</f>
        <v/>
      </c>
      <c r="AU489" t="str">
        <f>IF(ISBLANK(JP!AX493),"","x")</f>
        <v/>
      </c>
    </row>
    <row r="490" spans="2:47">
      <c r="B490" t="str">
        <f>IF(ISBLANK(JP!AZ494),"",JP!AZ494)</f>
        <v/>
      </c>
      <c r="C490" t="str">
        <f>IF(ISBLANK(JP!BA494),"",JP!BA494)</f>
        <v/>
      </c>
      <c r="D490" t="str">
        <f>IF(ISBLANK(JP!BC494),"",JP!BC494)</f>
        <v/>
      </c>
      <c r="E490" t="str">
        <f>IF(ISBLANK(JP!BB494),"",JP!BB494)</f>
        <v/>
      </c>
      <c r="F490" t="str">
        <f>IF(ISBLANK(JP!D494),"","x")</f>
        <v/>
      </c>
      <c r="G490" t="str">
        <f>IF(ISBLANK(JP!E494),"","x")</f>
        <v/>
      </c>
      <c r="H490" t="str">
        <f>IF(ISBLANK(JP!F494),"","x")</f>
        <v/>
      </c>
      <c r="I490" t="str">
        <f>IF(ISBLANK(JP!G494),"","x")</f>
        <v/>
      </c>
      <c r="J490" t="str">
        <f>IF(ISBLANK(JP!H494),"","x")</f>
        <v/>
      </c>
      <c r="K490" t="str">
        <f>IF(ISBLANK(JP!I494),"","x")</f>
        <v/>
      </c>
      <c r="L490" t="str">
        <f>IF(ISBLANK(JP!J494),"","x")</f>
        <v/>
      </c>
      <c r="M490" t="str">
        <f>IF(ISBLANK(JP!L494),"","x")</f>
        <v/>
      </c>
      <c r="N490" t="str">
        <f>IF(ISBLANK(JP!M494),"","x")</f>
        <v/>
      </c>
      <c r="O490" t="str">
        <f>IF(ISBLANK(JP!N494),"","x")</f>
        <v/>
      </c>
      <c r="P490" t="str">
        <f>IF(ISBLANK(JP!O494),"","x")</f>
        <v/>
      </c>
      <c r="Q490" t="str">
        <f>IF(ISBLANK(JP!P494),"","x")</f>
        <v/>
      </c>
      <c r="R490" t="str">
        <f>IF(ISBLANK(JP!Q494),"","x")</f>
        <v/>
      </c>
      <c r="S490" t="str">
        <f>IF(ISBLANK(JP!R494),"","x")</f>
        <v/>
      </c>
      <c r="T490" t="str">
        <f>IF(ISBLANK(JP!T494),"","x")</f>
        <v/>
      </c>
      <c r="U490" t="str">
        <f>IF(ISBLANK(JP!U494),"","x")</f>
        <v/>
      </c>
      <c r="V490" t="str">
        <f>IF(ISBLANK(JP!V494),"","x")</f>
        <v/>
      </c>
      <c r="W490" t="str">
        <f>IF(ISBLANK(JP!W494),"","x")</f>
        <v/>
      </c>
      <c r="X490" t="str">
        <f>IF(ISBLANK(JP!X494),"","x")</f>
        <v/>
      </c>
      <c r="Y490" t="str">
        <f>IF(ISBLANK(JP!Y494),"","x")</f>
        <v/>
      </c>
      <c r="Z490" t="str">
        <f>IF(ISBLANK(JP!Z494),"","x")</f>
        <v/>
      </c>
      <c r="AA490" t="str">
        <f>IF(ISBLANK(JP!AB494),"","x")</f>
        <v/>
      </c>
      <c r="AB490" t="str">
        <f>IF(ISBLANK(JP!AC494),"","x")</f>
        <v/>
      </c>
      <c r="AC490" t="str">
        <f>IF(ISBLANK(JP!AD494),"","x")</f>
        <v/>
      </c>
      <c r="AD490" t="str">
        <f>IF(ISBLANK(JP!AE494),"","x")</f>
        <v/>
      </c>
      <c r="AE490" t="str">
        <f>IF(ISBLANK(JP!AF494),"","x")</f>
        <v/>
      </c>
      <c r="AF490" t="str">
        <f>IF(ISBLANK(JP!AG494),"","x")</f>
        <v/>
      </c>
      <c r="AG490" t="str">
        <f>IF(ISBLANK(JP!AH494),"","x")</f>
        <v/>
      </c>
      <c r="AH490" t="str">
        <f>IF(ISBLANK(JP!AJ494),"","x")</f>
        <v/>
      </c>
      <c r="AI490" t="str">
        <f>IF(ISBLANK(JP!AK494),"","x")</f>
        <v/>
      </c>
      <c r="AJ490" t="str">
        <f>IF(ISBLANK(JP!AL494),"","x")</f>
        <v/>
      </c>
      <c r="AK490" t="str">
        <f>IF(ISBLANK(JP!AM494),"","x")</f>
        <v/>
      </c>
      <c r="AL490" t="str">
        <f>IF(ISBLANK(JP!AN494),"","x")</f>
        <v/>
      </c>
      <c r="AM490" t="str">
        <f>IF(ISBLANK(JP!AO494),"","x")</f>
        <v/>
      </c>
      <c r="AN490" t="str">
        <f>IF(ISBLANK(JP!AP494),"","x")</f>
        <v/>
      </c>
      <c r="AO490" t="str">
        <f>IF(ISBLANK(JP!AR494),"","x")</f>
        <v/>
      </c>
      <c r="AP490" t="str">
        <f>IF(ISBLANK(JP!AS494),"","x")</f>
        <v/>
      </c>
      <c r="AQ490" t="str">
        <f>IF(ISBLANK(JP!AT494),"","x")</f>
        <v/>
      </c>
      <c r="AR490" t="str">
        <f>IF(ISBLANK(JP!AU494),"","x")</f>
        <v/>
      </c>
      <c r="AS490" t="str">
        <f>IF(ISBLANK(JP!AV494),"","x")</f>
        <v/>
      </c>
      <c r="AT490" t="str">
        <f>IF(ISBLANK(JP!AW494),"","x")</f>
        <v/>
      </c>
      <c r="AU490" t="str">
        <f>IF(ISBLANK(JP!AX494),"","x")</f>
        <v/>
      </c>
    </row>
    <row r="491" spans="2:47">
      <c r="B491" t="str">
        <f>IF(ISBLANK(JP!AZ495),"",JP!AZ495)</f>
        <v/>
      </c>
      <c r="C491" t="str">
        <f>IF(ISBLANK(JP!BA495),"",JP!BA495)</f>
        <v/>
      </c>
      <c r="D491" t="str">
        <f>IF(ISBLANK(JP!BC495),"",JP!BC495)</f>
        <v/>
      </c>
      <c r="E491" t="str">
        <f>IF(ISBLANK(JP!BB495),"",JP!BB495)</f>
        <v/>
      </c>
      <c r="F491" t="str">
        <f>IF(ISBLANK(JP!D495),"","x")</f>
        <v/>
      </c>
      <c r="G491" t="str">
        <f>IF(ISBLANK(JP!E495),"","x")</f>
        <v/>
      </c>
      <c r="H491" t="str">
        <f>IF(ISBLANK(JP!F495),"","x")</f>
        <v/>
      </c>
      <c r="I491" t="str">
        <f>IF(ISBLANK(JP!G495),"","x")</f>
        <v/>
      </c>
      <c r="J491" t="str">
        <f>IF(ISBLANK(JP!H495),"","x")</f>
        <v/>
      </c>
      <c r="K491" t="str">
        <f>IF(ISBLANK(JP!I495),"","x")</f>
        <v/>
      </c>
      <c r="L491" t="str">
        <f>IF(ISBLANK(JP!J495),"","x")</f>
        <v/>
      </c>
      <c r="M491" t="str">
        <f>IF(ISBLANK(JP!L495),"","x")</f>
        <v/>
      </c>
      <c r="N491" t="str">
        <f>IF(ISBLANK(JP!M495),"","x")</f>
        <v/>
      </c>
      <c r="O491" t="str">
        <f>IF(ISBLANK(JP!N495),"","x")</f>
        <v/>
      </c>
      <c r="P491" t="str">
        <f>IF(ISBLANK(JP!O495),"","x")</f>
        <v/>
      </c>
      <c r="Q491" t="str">
        <f>IF(ISBLANK(JP!P495),"","x")</f>
        <v/>
      </c>
      <c r="R491" t="str">
        <f>IF(ISBLANK(JP!Q495),"","x")</f>
        <v/>
      </c>
      <c r="S491" t="str">
        <f>IF(ISBLANK(JP!R495),"","x")</f>
        <v/>
      </c>
      <c r="T491" t="str">
        <f>IF(ISBLANK(JP!T495),"","x")</f>
        <v/>
      </c>
      <c r="U491" t="str">
        <f>IF(ISBLANK(JP!U495),"","x")</f>
        <v/>
      </c>
      <c r="V491" t="str">
        <f>IF(ISBLANK(JP!V495),"","x")</f>
        <v/>
      </c>
      <c r="W491" t="str">
        <f>IF(ISBLANK(JP!W495),"","x")</f>
        <v/>
      </c>
      <c r="X491" t="str">
        <f>IF(ISBLANK(JP!X495),"","x")</f>
        <v/>
      </c>
      <c r="Y491" t="str">
        <f>IF(ISBLANK(JP!Y495),"","x")</f>
        <v/>
      </c>
      <c r="Z491" t="str">
        <f>IF(ISBLANK(JP!Z495),"","x")</f>
        <v/>
      </c>
      <c r="AA491" t="str">
        <f>IF(ISBLANK(JP!AB495),"","x")</f>
        <v/>
      </c>
      <c r="AB491" t="str">
        <f>IF(ISBLANK(JP!AC495),"","x")</f>
        <v/>
      </c>
      <c r="AC491" t="str">
        <f>IF(ISBLANK(JP!AD495),"","x")</f>
        <v/>
      </c>
      <c r="AD491" t="str">
        <f>IF(ISBLANK(JP!AE495),"","x")</f>
        <v/>
      </c>
      <c r="AE491" t="str">
        <f>IF(ISBLANK(JP!AF495),"","x")</f>
        <v/>
      </c>
      <c r="AF491" t="str">
        <f>IF(ISBLANK(JP!AG495),"","x")</f>
        <v/>
      </c>
      <c r="AG491" t="str">
        <f>IF(ISBLANK(JP!AH495),"","x")</f>
        <v/>
      </c>
      <c r="AH491" t="str">
        <f>IF(ISBLANK(JP!AJ495),"","x")</f>
        <v/>
      </c>
      <c r="AI491" t="str">
        <f>IF(ISBLANK(JP!AK495),"","x")</f>
        <v/>
      </c>
      <c r="AJ491" t="str">
        <f>IF(ISBLANK(JP!AL495),"","x")</f>
        <v/>
      </c>
      <c r="AK491" t="str">
        <f>IF(ISBLANK(JP!AM495),"","x")</f>
        <v/>
      </c>
      <c r="AL491" t="str">
        <f>IF(ISBLANK(JP!AN495),"","x")</f>
        <v/>
      </c>
      <c r="AM491" t="str">
        <f>IF(ISBLANK(JP!AO495),"","x")</f>
        <v/>
      </c>
      <c r="AN491" t="str">
        <f>IF(ISBLANK(JP!AP495),"","x")</f>
        <v/>
      </c>
      <c r="AO491" t="str">
        <f>IF(ISBLANK(JP!AR495),"","x")</f>
        <v/>
      </c>
      <c r="AP491" t="str">
        <f>IF(ISBLANK(JP!AS495),"","x")</f>
        <v/>
      </c>
      <c r="AQ491" t="str">
        <f>IF(ISBLANK(JP!AT495),"","x")</f>
        <v/>
      </c>
      <c r="AR491" t="str">
        <f>IF(ISBLANK(JP!AU495),"","x")</f>
        <v/>
      </c>
      <c r="AS491" t="str">
        <f>IF(ISBLANK(JP!AV495),"","x")</f>
        <v/>
      </c>
      <c r="AT491" t="str">
        <f>IF(ISBLANK(JP!AW495),"","x")</f>
        <v/>
      </c>
      <c r="AU491" t="str">
        <f>IF(ISBLANK(JP!AX495),"","x")</f>
        <v/>
      </c>
    </row>
    <row r="492" spans="2:47">
      <c r="B492" t="str">
        <f>IF(ISBLANK(JP!AZ496),"",JP!AZ496)</f>
        <v/>
      </c>
      <c r="C492" t="str">
        <f>IF(ISBLANK(JP!BA496),"",JP!BA496)</f>
        <v/>
      </c>
      <c r="D492" t="str">
        <f>IF(ISBLANK(JP!BC496),"",JP!BC496)</f>
        <v/>
      </c>
      <c r="E492" t="str">
        <f>IF(ISBLANK(JP!BB496),"",JP!BB496)</f>
        <v/>
      </c>
      <c r="F492" t="str">
        <f>IF(ISBLANK(JP!D496),"","x")</f>
        <v/>
      </c>
      <c r="G492" t="str">
        <f>IF(ISBLANK(JP!E496),"","x")</f>
        <v/>
      </c>
      <c r="H492" t="str">
        <f>IF(ISBLANK(JP!F496),"","x")</f>
        <v/>
      </c>
      <c r="I492" t="str">
        <f>IF(ISBLANK(JP!G496),"","x")</f>
        <v/>
      </c>
      <c r="J492" t="str">
        <f>IF(ISBLANK(JP!H496),"","x")</f>
        <v/>
      </c>
      <c r="K492" t="str">
        <f>IF(ISBLANK(JP!I496),"","x")</f>
        <v/>
      </c>
      <c r="L492" t="str">
        <f>IF(ISBLANK(JP!J496),"","x")</f>
        <v/>
      </c>
      <c r="M492" t="str">
        <f>IF(ISBLANK(JP!L496),"","x")</f>
        <v/>
      </c>
      <c r="N492" t="str">
        <f>IF(ISBLANK(JP!M496),"","x")</f>
        <v/>
      </c>
      <c r="O492" t="str">
        <f>IF(ISBLANK(JP!N496),"","x")</f>
        <v/>
      </c>
      <c r="P492" t="str">
        <f>IF(ISBLANK(JP!O496),"","x")</f>
        <v/>
      </c>
      <c r="Q492" t="str">
        <f>IF(ISBLANK(JP!P496),"","x")</f>
        <v/>
      </c>
      <c r="R492" t="str">
        <f>IF(ISBLANK(JP!Q496),"","x")</f>
        <v/>
      </c>
      <c r="S492" t="str">
        <f>IF(ISBLANK(JP!R496),"","x")</f>
        <v/>
      </c>
      <c r="T492" t="str">
        <f>IF(ISBLANK(JP!T496),"","x")</f>
        <v/>
      </c>
      <c r="U492" t="str">
        <f>IF(ISBLANK(JP!U496),"","x")</f>
        <v/>
      </c>
      <c r="V492" t="str">
        <f>IF(ISBLANK(JP!V496),"","x")</f>
        <v/>
      </c>
      <c r="W492" t="str">
        <f>IF(ISBLANK(JP!W496),"","x")</f>
        <v/>
      </c>
      <c r="X492" t="str">
        <f>IF(ISBLANK(JP!X496),"","x")</f>
        <v/>
      </c>
      <c r="Y492" t="str">
        <f>IF(ISBLANK(JP!Y496),"","x")</f>
        <v/>
      </c>
      <c r="Z492" t="str">
        <f>IF(ISBLANK(JP!Z496),"","x")</f>
        <v/>
      </c>
      <c r="AA492" t="str">
        <f>IF(ISBLANK(JP!AB496),"","x")</f>
        <v/>
      </c>
      <c r="AB492" t="str">
        <f>IF(ISBLANK(JP!AC496),"","x")</f>
        <v/>
      </c>
      <c r="AC492" t="str">
        <f>IF(ISBLANK(JP!AD496),"","x")</f>
        <v/>
      </c>
      <c r="AD492" t="str">
        <f>IF(ISBLANK(JP!AE496),"","x")</f>
        <v/>
      </c>
      <c r="AE492" t="str">
        <f>IF(ISBLANK(JP!AF496),"","x")</f>
        <v/>
      </c>
      <c r="AF492" t="str">
        <f>IF(ISBLANK(JP!AG496),"","x")</f>
        <v/>
      </c>
      <c r="AG492" t="str">
        <f>IF(ISBLANK(JP!AH496),"","x")</f>
        <v/>
      </c>
      <c r="AH492" t="str">
        <f>IF(ISBLANK(JP!AJ496),"","x")</f>
        <v/>
      </c>
      <c r="AI492" t="str">
        <f>IF(ISBLANK(JP!AK496),"","x")</f>
        <v/>
      </c>
      <c r="AJ492" t="str">
        <f>IF(ISBLANK(JP!AL496),"","x")</f>
        <v/>
      </c>
      <c r="AK492" t="str">
        <f>IF(ISBLANK(JP!AM496),"","x")</f>
        <v/>
      </c>
      <c r="AL492" t="str">
        <f>IF(ISBLANK(JP!AN496),"","x")</f>
        <v/>
      </c>
      <c r="AM492" t="str">
        <f>IF(ISBLANK(JP!AO496),"","x")</f>
        <v/>
      </c>
      <c r="AN492" t="str">
        <f>IF(ISBLANK(JP!AP496),"","x")</f>
        <v/>
      </c>
      <c r="AO492" t="str">
        <f>IF(ISBLANK(JP!AR496),"","x")</f>
        <v/>
      </c>
      <c r="AP492" t="str">
        <f>IF(ISBLANK(JP!AS496),"","x")</f>
        <v/>
      </c>
      <c r="AQ492" t="str">
        <f>IF(ISBLANK(JP!AT496),"","x")</f>
        <v/>
      </c>
      <c r="AR492" t="str">
        <f>IF(ISBLANK(JP!AU496),"","x")</f>
        <v/>
      </c>
      <c r="AS492" t="str">
        <f>IF(ISBLANK(JP!AV496),"","x")</f>
        <v/>
      </c>
      <c r="AT492" t="str">
        <f>IF(ISBLANK(JP!AW496),"","x")</f>
        <v/>
      </c>
      <c r="AU492" t="str">
        <f>IF(ISBLANK(JP!AX496),"","x")</f>
        <v/>
      </c>
    </row>
    <row r="493" spans="2:47">
      <c r="B493" t="str">
        <f>IF(ISBLANK(JP!AZ497),"",JP!AZ497)</f>
        <v/>
      </c>
      <c r="C493" t="str">
        <f>IF(ISBLANK(JP!BA497),"",JP!BA497)</f>
        <v/>
      </c>
      <c r="D493" t="str">
        <f>IF(ISBLANK(JP!BC497),"",JP!BC497)</f>
        <v/>
      </c>
      <c r="E493" t="str">
        <f>IF(ISBLANK(JP!BB497),"",JP!BB497)</f>
        <v/>
      </c>
      <c r="F493" t="str">
        <f>IF(ISBLANK(JP!D497),"","x")</f>
        <v/>
      </c>
      <c r="G493" t="str">
        <f>IF(ISBLANK(JP!E497),"","x")</f>
        <v/>
      </c>
      <c r="H493" t="str">
        <f>IF(ISBLANK(JP!F497),"","x")</f>
        <v/>
      </c>
      <c r="I493" t="str">
        <f>IF(ISBLANK(JP!G497),"","x")</f>
        <v/>
      </c>
      <c r="J493" t="str">
        <f>IF(ISBLANK(JP!H497),"","x")</f>
        <v/>
      </c>
      <c r="K493" t="str">
        <f>IF(ISBLANK(JP!I497),"","x")</f>
        <v/>
      </c>
      <c r="L493" t="str">
        <f>IF(ISBLANK(JP!J497),"","x")</f>
        <v/>
      </c>
      <c r="M493" t="str">
        <f>IF(ISBLANK(JP!L497),"","x")</f>
        <v/>
      </c>
      <c r="N493" t="str">
        <f>IF(ISBLANK(JP!M497),"","x")</f>
        <v/>
      </c>
      <c r="O493" t="str">
        <f>IF(ISBLANK(JP!N497),"","x")</f>
        <v/>
      </c>
      <c r="P493" t="str">
        <f>IF(ISBLANK(JP!O497),"","x")</f>
        <v/>
      </c>
      <c r="Q493" t="str">
        <f>IF(ISBLANK(JP!P497),"","x")</f>
        <v/>
      </c>
      <c r="R493" t="str">
        <f>IF(ISBLANK(JP!Q497),"","x")</f>
        <v/>
      </c>
      <c r="S493" t="str">
        <f>IF(ISBLANK(JP!R497),"","x")</f>
        <v/>
      </c>
      <c r="T493" t="str">
        <f>IF(ISBLANK(JP!T497),"","x")</f>
        <v/>
      </c>
      <c r="U493" t="str">
        <f>IF(ISBLANK(JP!U497),"","x")</f>
        <v/>
      </c>
      <c r="V493" t="str">
        <f>IF(ISBLANK(JP!V497),"","x")</f>
        <v/>
      </c>
      <c r="W493" t="str">
        <f>IF(ISBLANK(JP!W497),"","x")</f>
        <v/>
      </c>
      <c r="X493" t="str">
        <f>IF(ISBLANK(JP!X497),"","x")</f>
        <v/>
      </c>
      <c r="Y493" t="str">
        <f>IF(ISBLANK(JP!Y497),"","x")</f>
        <v/>
      </c>
      <c r="Z493" t="str">
        <f>IF(ISBLANK(JP!Z497),"","x")</f>
        <v/>
      </c>
      <c r="AA493" t="str">
        <f>IF(ISBLANK(JP!AB497),"","x")</f>
        <v/>
      </c>
      <c r="AB493" t="str">
        <f>IF(ISBLANK(JP!AC497),"","x")</f>
        <v/>
      </c>
      <c r="AC493" t="str">
        <f>IF(ISBLANK(JP!AD497),"","x")</f>
        <v/>
      </c>
      <c r="AD493" t="str">
        <f>IF(ISBLANK(JP!AE497),"","x")</f>
        <v/>
      </c>
      <c r="AE493" t="str">
        <f>IF(ISBLANK(JP!AF497),"","x")</f>
        <v/>
      </c>
      <c r="AF493" t="str">
        <f>IF(ISBLANK(JP!AG497),"","x")</f>
        <v/>
      </c>
      <c r="AG493" t="str">
        <f>IF(ISBLANK(JP!AH497),"","x")</f>
        <v/>
      </c>
      <c r="AH493" t="str">
        <f>IF(ISBLANK(JP!AJ497),"","x")</f>
        <v/>
      </c>
      <c r="AI493" t="str">
        <f>IF(ISBLANK(JP!AK497),"","x")</f>
        <v/>
      </c>
      <c r="AJ493" t="str">
        <f>IF(ISBLANK(JP!AL497),"","x")</f>
        <v/>
      </c>
      <c r="AK493" t="str">
        <f>IF(ISBLANK(JP!AM497),"","x")</f>
        <v/>
      </c>
      <c r="AL493" t="str">
        <f>IF(ISBLANK(JP!AN497),"","x")</f>
        <v/>
      </c>
      <c r="AM493" t="str">
        <f>IF(ISBLANK(JP!AO497),"","x")</f>
        <v/>
      </c>
      <c r="AN493" t="str">
        <f>IF(ISBLANK(JP!AP497),"","x")</f>
        <v/>
      </c>
      <c r="AO493" t="str">
        <f>IF(ISBLANK(JP!AR497),"","x")</f>
        <v/>
      </c>
      <c r="AP493" t="str">
        <f>IF(ISBLANK(JP!AS497),"","x")</f>
        <v/>
      </c>
      <c r="AQ493" t="str">
        <f>IF(ISBLANK(JP!AT497),"","x")</f>
        <v/>
      </c>
      <c r="AR493" t="str">
        <f>IF(ISBLANK(JP!AU497),"","x")</f>
        <v/>
      </c>
      <c r="AS493" t="str">
        <f>IF(ISBLANK(JP!AV497),"","x")</f>
        <v/>
      </c>
      <c r="AT493" t="str">
        <f>IF(ISBLANK(JP!AW497),"","x")</f>
        <v/>
      </c>
      <c r="AU493" t="str">
        <f>IF(ISBLANK(JP!AX497),"","x")</f>
        <v/>
      </c>
    </row>
    <row r="494" spans="2:47">
      <c r="B494" t="str">
        <f>IF(ISBLANK(JP!AZ498),"",JP!AZ498)</f>
        <v/>
      </c>
      <c r="C494" t="str">
        <f>IF(ISBLANK(JP!BA498),"",JP!BA498)</f>
        <v/>
      </c>
      <c r="D494" t="str">
        <f>IF(ISBLANK(JP!BC498),"",JP!BC498)</f>
        <v/>
      </c>
      <c r="E494" t="str">
        <f>IF(ISBLANK(JP!BB498),"",JP!BB498)</f>
        <v/>
      </c>
      <c r="F494" t="str">
        <f>IF(ISBLANK(JP!D498),"","x")</f>
        <v/>
      </c>
      <c r="G494" t="str">
        <f>IF(ISBLANK(JP!E498),"","x")</f>
        <v/>
      </c>
      <c r="H494" t="str">
        <f>IF(ISBLANK(JP!F498),"","x")</f>
        <v/>
      </c>
      <c r="I494" t="str">
        <f>IF(ISBLANK(JP!G498),"","x")</f>
        <v/>
      </c>
      <c r="J494" t="str">
        <f>IF(ISBLANK(JP!H498),"","x")</f>
        <v/>
      </c>
      <c r="K494" t="str">
        <f>IF(ISBLANK(JP!I498),"","x")</f>
        <v/>
      </c>
      <c r="L494" t="str">
        <f>IF(ISBLANK(JP!J498),"","x")</f>
        <v/>
      </c>
      <c r="M494" t="str">
        <f>IF(ISBLANK(JP!L498),"","x")</f>
        <v/>
      </c>
      <c r="N494" t="str">
        <f>IF(ISBLANK(JP!M498),"","x")</f>
        <v/>
      </c>
      <c r="O494" t="str">
        <f>IF(ISBLANK(JP!N498),"","x")</f>
        <v/>
      </c>
      <c r="P494" t="str">
        <f>IF(ISBLANK(JP!O498),"","x")</f>
        <v/>
      </c>
      <c r="Q494" t="str">
        <f>IF(ISBLANK(JP!P498),"","x")</f>
        <v/>
      </c>
      <c r="R494" t="str">
        <f>IF(ISBLANK(JP!Q498),"","x")</f>
        <v/>
      </c>
      <c r="S494" t="str">
        <f>IF(ISBLANK(JP!R498),"","x")</f>
        <v/>
      </c>
      <c r="T494" t="str">
        <f>IF(ISBLANK(JP!T498),"","x")</f>
        <v/>
      </c>
      <c r="U494" t="str">
        <f>IF(ISBLANK(JP!U498),"","x")</f>
        <v/>
      </c>
      <c r="V494" t="str">
        <f>IF(ISBLANK(JP!V498),"","x")</f>
        <v/>
      </c>
      <c r="W494" t="str">
        <f>IF(ISBLANK(JP!W498),"","x")</f>
        <v/>
      </c>
      <c r="X494" t="str">
        <f>IF(ISBLANK(JP!X498),"","x")</f>
        <v/>
      </c>
      <c r="Y494" t="str">
        <f>IF(ISBLANK(JP!Y498),"","x")</f>
        <v/>
      </c>
      <c r="Z494" t="str">
        <f>IF(ISBLANK(JP!Z498),"","x")</f>
        <v/>
      </c>
      <c r="AA494" t="str">
        <f>IF(ISBLANK(JP!AB498),"","x")</f>
        <v/>
      </c>
      <c r="AB494" t="str">
        <f>IF(ISBLANK(JP!AC498),"","x")</f>
        <v/>
      </c>
      <c r="AC494" t="str">
        <f>IF(ISBLANK(JP!AD498),"","x")</f>
        <v/>
      </c>
      <c r="AD494" t="str">
        <f>IF(ISBLANK(JP!AE498),"","x")</f>
        <v/>
      </c>
      <c r="AE494" t="str">
        <f>IF(ISBLANK(JP!AF498),"","x")</f>
        <v/>
      </c>
      <c r="AF494" t="str">
        <f>IF(ISBLANK(JP!AG498),"","x")</f>
        <v/>
      </c>
      <c r="AG494" t="str">
        <f>IF(ISBLANK(JP!AH498),"","x")</f>
        <v/>
      </c>
      <c r="AH494" t="str">
        <f>IF(ISBLANK(JP!AJ498),"","x")</f>
        <v/>
      </c>
      <c r="AI494" t="str">
        <f>IF(ISBLANK(JP!AK498),"","x")</f>
        <v/>
      </c>
      <c r="AJ494" t="str">
        <f>IF(ISBLANK(JP!AL498),"","x")</f>
        <v/>
      </c>
      <c r="AK494" t="str">
        <f>IF(ISBLANK(JP!AM498),"","x")</f>
        <v/>
      </c>
      <c r="AL494" t="str">
        <f>IF(ISBLANK(JP!AN498),"","x")</f>
        <v/>
      </c>
      <c r="AM494" t="str">
        <f>IF(ISBLANK(JP!AO498),"","x")</f>
        <v/>
      </c>
      <c r="AN494" t="str">
        <f>IF(ISBLANK(JP!AP498),"","x")</f>
        <v/>
      </c>
      <c r="AO494" t="str">
        <f>IF(ISBLANK(JP!AR498),"","x")</f>
        <v/>
      </c>
      <c r="AP494" t="str">
        <f>IF(ISBLANK(JP!AS498),"","x")</f>
        <v/>
      </c>
      <c r="AQ494" t="str">
        <f>IF(ISBLANK(JP!AT498),"","x")</f>
        <v/>
      </c>
      <c r="AR494" t="str">
        <f>IF(ISBLANK(JP!AU498),"","x")</f>
        <v/>
      </c>
      <c r="AS494" t="str">
        <f>IF(ISBLANK(JP!AV498),"","x")</f>
        <v/>
      </c>
      <c r="AT494" t="str">
        <f>IF(ISBLANK(JP!AW498),"","x")</f>
        <v/>
      </c>
      <c r="AU494" t="str">
        <f>IF(ISBLANK(JP!AX498),"","x")</f>
        <v/>
      </c>
    </row>
    <row r="495" spans="2:47">
      <c r="B495" t="str">
        <f>IF(ISBLANK(JP!AZ499),"",JP!AZ499)</f>
        <v/>
      </c>
      <c r="C495" t="str">
        <f>IF(ISBLANK(JP!BA499),"",JP!BA499)</f>
        <v/>
      </c>
      <c r="D495" t="str">
        <f>IF(ISBLANK(JP!BC499),"",JP!BC499)</f>
        <v/>
      </c>
      <c r="E495" t="str">
        <f>IF(ISBLANK(JP!BB499),"",JP!BB499)</f>
        <v/>
      </c>
      <c r="F495" t="str">
        <f>IF(ISBLANK(JP!D499),"","x")</f>
        <v/>
      </c>
      <c r="G495" t="str">
        <f>IF(ISBLANK(JP!E499),"","x")</f>
        <v/>
      </c>
      <c r="H495" t="str">
        <f>IF(ISBLANK(JP!F499),"","x")</f>
        <v/>
      </c>
      <c r="I495" t="str">
        <f>IF(ISBLANK(JP!G499),"","x")</f>
        <v/>
      </c>
      <c r="J495" t="str">
        <f>IF(ISBLANK(JP!H499),"","x")</f>
        <v/>
      </c>
      <c r="K495" t="str">
        <f>IF(ISBLANK(JP!I499),"","x")</f>
        <v/>
      </c>
      <c r="L495" t="str">
        <f>IF(ISBLANK(JP!J499),"","x")</f>
        <v/>
      </c>
      <c r="M495" t="str">
        <f>IF(ISBLANK(JP!L499),"","x")</f>
        <v/>
      </c>
      <c r="N495" t="str">
        <f>IF(ISBLANK(JP!M499),"","x")</f>
        <v/>
      </c>
      <c r="O495" t="str">
        <f>IF(ISBLANK(JP!N499),"","x")</f>
        <v/>
      </c>
      <c r="P495" t="str">
        <f>IF(ISBLANK(JP!O499),"","x")</f>
        <v/>
      </c>
      <c r="Q495" t="str">
        <f>IF(ISBLANK(JP!P499),"","x")</f>
        <v/>
      </c>
      <c r="R495" t="str">
        <f>IF(ISBLANK(JP!Q499),"","x")</f>
        <v/>
      </c>
      <c r="S495" t="str">
        <f>IF(ISBLANK(JP!R499),"","x")</f>
        <v/>
      </c>
      <c r="T495" t="str">
        <f>IF(ISBLANK(JP!T499),"","x")</f>
        <v/>
      </c>
      <c r="U495" t="str">
        <f>IF(ISBLANK(JP!U499),"","x")</f>
        <v/>
      </c>
      <c r="V495" t="str">
        <f>IF(ISBLANK(JP!V499),"","x")</f>
        <v/>
      </c>
      <c r="W495" t="str">
        <f>IF(ISBLANK(JP!W499),"","x")</f>
        <v/>
      </c>
      <c r="X495" t="str">
        <f>IF(ISBLANK(JP!X499),"","x")</f>
        <v/>
      </c>
      <c r="Y495" t="str">
        <f>IF(ISBLANK(JP!Y499),"","x")</f>
        <v/>
      </c>
      <c r="Z495" t="str">
        <f>IF(ISBLANK(JP!Z499),"","x")</f>
        <v/>
      </c>
      <c r="AA495" t="str">
        <f>IF(ISBLANK(JP!AB499),"","x")</f>
        <v/>
      </c>
      <c r="AB495" t="str">
        <f>IF(ISBLANK(JP!AC499),"","x")</f>
        <v/>
      </c>
      <c r="AC495" t="str">
        <f>IF(ISBLANK(JP!AD499),"","x")</f>
        <v/>
      </c>
      <c r="AD495" t="str">
        <f>IF(ISBLANK(JP!AE499),"","x")</f>
        <v/>
      </c>
      <c r="AE495" t="str">
        <f>IF(ISBLANK(JP!AF499),"","x")</f>
        <v/>
      </c>
      <c r="AF495" t="str">
        <f>IF(ISBLANK(JP!AG499),"","x")</f>
        <v/>
      </c>
      <c r="AG495" t="str">
        <f>IF(ISBLANK(JP!AH499),"","x")</f>
        <v/>
      </c>
      <c r="AH495" t="str">
        <f>IF(ISBLANK(JP!AJ499),"","x")</f>
        <v/>
      </c>
      <c r="AI495" t="str">
        <f>IF(ISBLANK(JP!AK499),"","x")</f>
        <v/>
      </c>
      <c r="AJ495" t="str">
        <f>IF(ISBLANK(JP!AL499),"","x")</f>
        <v/>
      </c>
      <c r="AK495" t="str">
        <f>IF(ISBLANK(JP!AM499),"","x")</f>
        <v/>
      </c>
      <c r="AL495" t="str">
        <f>IF(ISBLANK(JP!AN499),"","x")</f>
        <v/>
      </c>
      <c r="AM495" t="str">
        <f>IF(ISBLANK(JP!AO499),"","x")</f>
        <v/>
      </c>
      <c r="AN495" t="str">
        <f>IF(ISBLANK(JP!AP499),"","x")</f>
        <v/>
      </c>
      <c r="AO495" t="str">
        <f>IF(ISBLANK(JP!AR499),"","x")</f>
        <v/>
      </c>
      <c r="AP495" t="str">
        <f>IF(ISBLANK(JP!AS499),"","x")</f>
        <v/>
      </c>
      <c r="AQ495" t="str">
        <f>IF(ISBLANK(JP!AT499),"","x")</f>
        <v/>
      </c>
      <c r="AR495" t="str">
        <f>IF(ISBLANK(JP!AU499),"","x")</f>
        <v/>
      </c>
      <c r="AS495" t="str">
        <f>IF(ISBLANK(JP!AV499),"","x")</f>
        <v/>
      </c>
      <c r="AT495" t="str">
        <f>IF(ISBLANK(JP!AW499),"","x")</f>
        <v/>
      </c>
      <c r="AU495" t="str">
        <f>IF(ISBLANK(JP!AX499),"","x")</f>
        <v/>
      </c>
    </row>
    <row r="496" spans="2:47">
      <c r="B496" t="str">
        <f>IF(ISBLANK(JP!AZ500),"",JP!AZ500)</f>
        <v/>
      </c>
      <c r="C496" t="str">
        <f>IF(ISBLANK(JP!BA500),"",JP!BA500)</f>
        <v/>
      </c>
      <c r="D496" t="str">
        <f>IF(ISBLANK(JP!BC500),"",JP!BC500)</f>
        <v/>
      </c>
      <c r="E496" t="str">
        <f>IF(ISBLANK(JP!BB500),"",JP!BB500)</f>
        <v/>
      </c>
      <c r="F496" t="str">
        <f>IF(ISBLANK(JP!D500),"","x")</f>
        <v/>
      </c>
      <c r="G496" t="str">
        <f>IF(ISBLANK(JP!E500),"","x")</f>
        <v/>
      </c>
      <c r="H496" t="str">
        <f>IF(ISBLANK(JP!F500),"","x")</f>
        <v/>
      </c>
      <c r="I496" t="str">
        <f>IF(ISBLANK(JP!G500),"","x")</f>
        <v/>
      </c>
      <c r="J496" t="str">
        <f>IF(ISBLANK(JP!H500),"","x")</f>
        <v/>
      </c>
      <c r="K496" t="str">
        <f>IF(ISBLANK(JP!I500),"","x")</f>
        <v/>
      </c>
      <c r="L496" t="str">
        <f>IF(ISBLANK(JP!J500),"","x")</f>
        <v/>
      </c>
      <c r="M496" t="str">
        <f>IF(ISBLANK(JP!L500),"","x")</f>
        <v/>
      </c>
      <c r="N496" t="str">
        <f>IF(ISBLANK(JP!M500),"","x")</f>
        <v/>
      </c>
      <c r="O496" t="str">
        <f>IF(ISBLANK(JP!N500),"","x")</f>
        <v/>
      </c>
      <c r="P496" t="str">
        <f>IF(ISBLANK(JP!O500),"","x")</f>
        <v/>
      </c>
      <c r="Q496" t="str">
        <f>IF(ISBLANK(JP!P500),"","x")</f>
        <v/>
      </c>
      <c r="R496" t="str">
        <f>IF(ISBLANK(JP!Q500),"","x")</f>
        <v/>
      </c>
      <c r="S496" t="str">
        <f>IF(ISBLANK(JP!R500),"","x")</f>
        <v/>
      </c>
      <c r="T496" t="str">
        <f>IF(ISBLANK(JP!T500),"","x")</f>
        <v/>
      </c>
      <c r="U496" t="str">
        <f>IF(ISBLANK(JP!U500),"","x")</f>
        <v/>
      </c>
      <c r="V496" t="str">
        <f>IF(ISBLANK(JP!V500),"","x")</f>
        <v/>
      </c>
      <c r="W496" t="str">
        <f>IF(ISBLANK(JP!W500),"","x")</f>
        <v/>
      </c>
      <c r="X496" t="str">
        <f>IF(ISBLANK(JP!X500),"","x")</f>
        <v/>
      </c>
      <c r="Y496" t="str">
        <f>IF(ISBLANK(JP!Y500),"","x")</f>
        <v/>
      </c>
      <c r="Z496" t="str">
        <f>IF(ISBLANK(JP!Z500),"","x")</f>
        <v/>
      </c>
      <c r="AA496" t="str">
        <f>IF(ISBLANK(JP!AB500),"","x")</f>
        <v/>
      </c>
      <c r="AB496" t="str">
        <f>IF(ISBLANK(JP!AC500),"","x")</f>
        <v/>
      </c>
      <c r="AC496" t="str">
        <f>IF(ISBLANK(JP!AD500),"","x")</f>
        <v/>
      </c>
      <c r="AD496" t="str">
        <f>IF(ISBLANK(JP!AE500),"","x")</f>
        <v/>
      </c>
      <c r="AE496" t="str">
        <f>IF(ISBLANK(JP!AF500),"","x")</f>
        <v/>
      </c>
      <c r="AF496" t="str">
        <f>IF(ISBLANK(JP!AG500),"","x")</f>
        <v/>
      </c>
      <c r="AG496" t="str">
        <f>IF(ISBLANK(JP!AH500),"","x")</f>
        <v/>
      </c>
      <c r="AH496" t="str">
        <f>IF(ISBLANK(JP!AJ500),"","x")</f>
        <v/>
      </c>
      <c r="AI496" t="str">
        <f>IF(ISBLANK(JP!AK500),"","x")</f>
        <v/>
      </c>
      <c r="AJ496" t="str">
        <f>IF(ISBLANK(JP!AL500),"","x")</f>
        <v/>
      </c>
      <c r="AK496" t="str">
        <f>IF(ISBLANK(JP!AM500),"","x")</f>
        <v/>
      </c>
      <c r="AL496" t="str">
        <f>IF(ISBLANK(JP!AN500),"","x")</f>
        <v/>
      </c>
      <c r="AM496" t="str">
        <f>IF(ISBLANK(JP!AO500),"","x")</f>
        <v/>
      </c>
      <c r="AN496" t="str">
        <f>IF(ISBLANK(JP!AP500),"","x")</f>
        <v/>
      </c>
      <c r="AO496" t="str">
        <f>IF(ISBLANK(JP!AR500),"","x")</f>
        <v/>
      </c>
      <c r="AP496" t="str">
        <f>IF(ISBLANK(JP!AS500),"","x")</f>
        <v/>
      </c>
      <c r="AQ496" t="str">
        <f>IF(ISBLANK(JP!AT500),"","x")</f>
        <v/>
      </c>
      <c r="AR496" t="str">
        <f>IF(ISBLANK(JP!AU500),"","x")</f>
        <v/>
      </c>
      <c r="AS496" t="str">
        <f>IF(ISBLANK(JP!AV500),"","x")</f>
        <v/>
      </c>
      <c r="AT496" t="str">
        <f>IF(ISBLANK(JP!AW500),"","x")</f>
        <v/>
      </c>
      <c r="AU496" t="str">
        <f>IF(ISBLANK(JP!AX500),"","x")</f>
        <v/>
      </c>
    </row>
    <row r="497" spans="2:47">
      <c r="B497" t="str">
        <f>IF(ISBLANK(JP!AZ501),"",JP!AZ501)</f>
        <v/>
      </c>
      <c r="C497" t="str">
        <f>IF(ISBLANK(JP!BA501),"",JP!BA501)</f>
        <v/>
      </c>
      <c r="D497" t="str">
        <f>IF(ISBLANK(JP!BC501),"",JP!BC501)</f>
        <v/>
      </c>
      <c r="E497" t="str">
        <f>IF(ISBLANK(JP!BB501),"",JP!BB501)</f>
        <v/>
      </c>
      <c r="F497" t="str">
        <f>IF(ISBLANK(JP!D501),"","x")</f>
        <v/>
      </c>
      <c r="G497" t="str">
        <f>IF(ISBLANK(JP!E501),"","x")</f>
        <v/>
      </c>
      <c r="H497" t="str">
        <f>IF(ISBLANK(JP!F501),"","x")</f>
        <v/>
      </c>
      <c r="I497" t="str">
        <f>IF(ISBLANK(JP!G501),"","x")</f>
        <v/>
      </c>
      <c r="J497" t="str">
        <f>IF(ISBLANK(JP!H501),"","x")</f>
        <v/>
      </c>
      <c r="K497" t="str">
        <f>IF(ISBLANK(JP!I501),"","x")</f>
        <v/>
      </c>
      <c r="L497" t="str">
        <f>IF(ISBLANK(JP!J501),"","x")</f>
        <v/>
      </c>
      <c r="M497" t="str">
        <f>IF(ISBLANK(JP!L501),"","x")</f>
        <v/>
      </c>
      <c r="N497" t="str">
        <f>IF(ISBLANK(JP!M501),"","x")</f>
        <v/>
      </c>
      <c r="O497" t="str">
        <f>IF(ISBLANK(JP!N501),"","x")</f>
        <v/>
      </c>
      <c r="P497" t="str">
        <f>IF(ISBLANK(JP!O501),"","x")</f>
        <v/>
      </c>
      <c r="Q497" t="str">
        <f>IF(ISBLANK(JP!P501),"","x")</f>
        <v/>
      </c>
      <c r="R497" t="str">
        <f>IF(ISBLANK(JP!Q501),"","x")</f>
        <v/>
      </c>
      <c r="S497" t="str">
        <f>IF(ISBLANK(JP!R501),"","x")</f>
        <v/>
      </c>
      <c r="T497" t="str">
        <f>IF(ISBLANK(JP!T501),"","x")</f>
        <v/>
      </c>
      <c r="U497" t="str">
        <f>IF(ISBLANK(JP!U501),"","x")</f>
        <v/>
      </c>
      <c r="V497" t="str">
        <f>IF(ISBLANK(JP!V501),"","x")</f>
        <v/>
      </c>
      <c r="W497" t="str">
        <f>IF(ISBLANK(JP!W501),"","x")</f>
        <v/>
      </c>
      <c r="X497" t="str">
        <f>IF(ISBLANK(JP!X501),"","x")</f>
        <v/>
      </c>
      <c r="Y497" t="str">
        <f>IF(ISBLANK(JP!Y501),"","x")</f>
        <v/>
      </c>
      <c r="Z497" t="str">
        <f>IF(ISBLANK(JP!Z501),"","x")</f>
        <v/>
      </c>
      <c r="AA497" t="str">
        <f>IF(ISBLANK(JP!AB501),"","x")</f>
        <v/>
      </c>
      <c r="AB497" t="str">
        <f>IF(ISBLANK(JP!AC501),"","x")</f>
        <v/>
      </c>
      <c r="AC497" t="str">
        <f>IF(ISBLANK(JP!AD501),"","x")</f>
        <v/>
      </c>
      <c r="AD497" t="str">
        <f>IF(ISBLANK(JP!AE501),"","x")</f>
        <v/>
      </c>
      <c r="AE497" t="str">
        <f>IF(ISBLANK(JP!AF501),"","x")</f>
        <v/>
      </c>
      <c r="AF497" t="str">
        <f>IF(ISBLANK(JP!AG501),"","x")</f>
        <v/>
      </c>
      <c r="AG497" t="str">
        <f>IF(ISBLANK(JP!AH501),"","x")</f>
        <v/>
      </c>
      <c r="AH497" t="str">
        <f>IF(ISBLANK(JP!AJ501),"","x")</f>
        <v/>
      </c>
      <c r="AI497" t="str">
        <f>IF(ISBLANK(JP!AK501),"","x")</f>
        <v/>
      </c>
      <c r="AJ497" t="str">
        <f>IF(ISBLANK(JP!AL501),"","x")</f>
        <v/>
      </c>
      <c r="AK497" t="str">
        <f>IF(ISBLANK(JP!AM501),"","x")</f>
        <v/>
      </c>
      <c r="AL497" t="str">
        <f>IF(ISBLANK(JP!AN501),"","x")</f>
        <v/>
      </c>
      <c r="AM497" t="str">
        <f>IF(ISBLANK(JP!AO501),"","x")</f>
        <v/>
      </c>
      <c r="AN497" t="str">
        <f>IF(ISBLANK(JP!AP501),"","x")</f>
        <v/>
      </c>
      <c r="AO497" t="str">
        <f>IF(ISBLANK(JP!AR501),"","x")</f>
        <v/>
      </c>
      <c r="AP497" t="str">
        <f>IF(ISBLANK(JP!AS501),"","x")</f>
        <v/>
      </c>
      <c r="AQ497" t="str">
        <f>IF(ISBLANK(JP!AT501),"","x")</f>
        <v/>
      </c>
      <c r="AR497" t="str">
        <f>IF(ISBLANK(JP!AU501),"","x")</f>
        <v/>
      </c>
      <c r="AS497" t="str">
        <f>IF(ISBLANK(JP!AV501),"","x")</f>
        <v/>
      </c>
      <c r="AT497" t="str">
        <f>IF(ISBLANK(JP!AW501),"","x")</f>
        <v/>
      </c>
      <c r="AU497" t="str">
        <f>IF(ISBLANK(JP!AX501),"","x")</f>
        <v/>
      </c>
    </row>
    <row r="498" spans="2:47">
      <c r="B498" t="str">
        <f>IF(ISBLANK(JP!AZ502),"",JP!AZ502)</f>
        <v/>
      </c>
      <c r="C498" t="str">
        <f>IF(ISBLANK(JP!BA502),"",JP!BA502)</f>
        <v/>
      </c>
      <c r="D498" t="str">
        <f>IF(ISBLANK(JP!BC502),"",JP!BC502)</f>
        <v/>
      </c>
      <c r="E498" t="str">
        <f>IF(ISBLANK(JP!BB502),"",JP!BB502)</f>
        <v/>
      </c>
      <c r="F498" t="str">
        <f>IF(ISBLANK(JP!D502),"","x")</f>
        <v/>
      </c>
      <c r="G498" t="str">
        <f>IF(ISBLANK(JP!E502),"","x")</f>
        <v/>
      </c>
      <c r="H498" t="str">
        <f>IF(ISBLANK(JP!F502),"","x")</f>
        <v/>
      </c>
      <c r="I498" t="str">
        <f>IF(ISBLANK(JP!G502),"","x")</f>
        <v/>
      </c>
      <c r="J498" t="str">
        <f>IF(ISBLANK(JP!H502),"","x")</f>
        <v/>
      </c>
      <c r="K498" t="str">
        <f>IF(ISBLANK(JP!I502),"","x")</f>
        <v/>
      </c>
      <c r="L498" t="str">
        <f>IF(ISBLANK(JP!J502),"","x")</f>
        <v/>
      </c>
      <c r="M498" t="str">
        <f>IF(ISBLANK(JP!L502),"","x")</f>
        <v/>
      </c>
      <c r="N498" t="str">
        <f>IF(ISBLANK(JP!M502),"","x")</f>
        <v/>
      </c>
      <c r="O498" t="str">
        <f>IF(ISBLANK(JP!N502),"","x")</f>
        <v/>
      </c>
      <c r="P498" t="str">
        <f>IF(ISBLANK(JP!O502),"","x")</f>
        <v/>
      </c>
      <c r="Q498" t="str">
        <f>IF(ISBLANK(JP!P502),"","x")</f>
        <v/>
      </c>
      <c r="R498" t="str">
        <f>IF(ISBLANK(JP!Q502),"","x")</f>
        <v/>
      </c>
      <c r="S498" t="str">
        <f>IF(ISBLANK(JP!R502),"","x")</f>
        <v/>
      </c>
      <c r="T498" t="str">
        <f>IF(ISBLANK(JP!T502),"","x")</f>
        <v/>
      </c>
      <c r="U498" t="str">
        <f>IF(ISBLANK(JP!U502),"","x")</f>
        <v/>
      </c>
      <c r="V498" t="str">
        <f>IF(ISBLANK(JP!V502),"","x")</f>
        <v/>
      </c>
      <c r="W498" t="str">
        <f>IF(ISBLANK(JP!W502),"","x")</f>
        <v/>
      </c>
      <c r="X498" t="str">
        <f>IF(ISBLANK(JP!X502),"","x")</f>
        <v/>
      </c>
      <c r="Y498" t="str">
        <f>IF(ISBLANK(JP!Y502),"","x")</f>
        <v/>
      </c>
      <c r="Z498" t="str">
        <f>IF(ISBLANK(JP!Z502),"","x")</f>
        <v/>
      </c>
      <c r="AA498" t="str">
        <f>IF(ISBLANK(JP!AB502),"","x")</f>
        <v/>
      </c>
      <c r="AB498" t="str">
        <f>IF(ISBLANK(JP!AC502),"","x")</f>
        <v/>
      </c>
      <c r="AC498" t="str">
        <f>IF(ISBLANK(JP!AD502),"","x")</f>
        <v/>
      </c>
      <c r="AD498" t="str">
        <f>IF(ISBLANK(JP!AE502),"","x")</f>
        <v/>
      </c>
      <c r="AE498" t="str">
        <f>IF(ISBLANK(JP!AF502),"","x")</f>
        <v/>
      </c>
      <c r="AF498" t="str">
        <f>IF(ISBLANK(JP!AG502),"","x")</f>
        <v/>
      </c>
      <c r="AG498" t="str">
        <f>IF(ISBLANK(JP!AH502),"","x")</f>
        <v/>
      </c>
      <c r="AH498" t="str">
        <f>IF(ISBLANK(JP!AJ502),"","x")</f>
        <v/>
      </c>
      <c r="AI498" t="str">
        <f>IF(ISBLANK(JP!AK502),"","x")</f>
        <v/>
      </c>
      <c r="AJ498" t="str">
        <f>IF(ISBLANK(JP!AL502),"","x")</f>
        <v/>
      </c>
      <c r="AK498" t="str">
        <f>IF(ISBLANK(JP!AM502),"","x")</f>
        <v/>
      </c>
      <c r="AL498" t="str">
        <f>IF(ISBLANK(JP!AN502),"","x")</f>
        <v/>
      </c>
      <c r="AM498" t="str">
        <f>IF(ISBLANK(JP!AO502),"","x")</f>
        <v/>
      </c>
      <c r="AN498" t="str">
        <f>IF(ISBLANK(JP!AP502),"","x")</f>
        <v/>
      </c>
      <c r="AO498" t="str">
        <f>IF(ISBLANK(JP!AR502),"","x")</f>
        <v/>
      </c>
      <c r="AP498" t="str">
        <f>IF(ISBLANK(JP!AS502),"","x")</f>
        <v/>
      </c>
      <c r="AQ498" t="str">
        <f>IF(ISBLANK(JP!AT502),"","x")</f>
        <v/>
      </c>
      <c r="AR498" t="str">
        <f>IF(ISBLANK(JP!AU502),"","x")</f>
        <v/>
      </c>
      <c r="AS498" t="str">
        <f>IF(ISBLANK(JP!AV502),"","x")</f>
        <v/>
      </c>
      <c r="AT498" t="str">
        <f>IF(ISBLANK(JP!AW502),"","x")</f>
        <v/>
      </c>
      <c r="AU498" t="str">
        <f>IF(ISBLANK(JP!AX502),"","x")</f>
        <v/>
      </c>
    </row>
    <row r="499" spans="2:47">
      <c r="B499" t="str">
        <f>IF(ISBLANK(JP!AZ503),"",JP!AZ503)</f>
        <v/>
      </c>
      <c r="C499" t="str">
        <f>IF(ISBLANK(JP!BA503),"",JP!BA503)</f>
        <v/>
      </c>
      <c r="D499" t="str">
        <f>IF(ISBLANK(JP!BC503),"",JP!BC503)</f>
        <v/>
      </c>
      <c r="E499" t="str">
        <f>IF(ISBLANK(JP!BB503),"",JP!BB503)</f>
        <v/>
      </c>
      <c r="F499" t="str">
        <f>IF(ISBLANK(JP!D503),"","x")</f>
        <v/>
      </c>
      <c r="G499" t="str">
        <f>IF(ISBLANK(JP!E503),"","x")</f>
        <v/>
      </c>
      <c r="H499" t="str">
        <f>IF(ISBLANK(JP!F503),"","x")</f>
        <v/>
      </c>
      <c r="I499" t="str">
        <f>IF(ISBLANK(JP!G503),"","x")</f>
        <v/>
      </c>
      <c r="J499" t="str">
        <f>IF(ISBLANK(JP!H503),"","x")</f>
        <v/>
      </c>
      <c r="K499" t="str">
        <f>IF(ISBLANK(JP!I503),"","x")</f>
        <v/>
      </c>
      <c r="L499" t="str">
        <f>IF(ISBLANK(JP!J503),"","x")</f>
        <v/>
      </c>
      <c r="M499" t="str">
        <f>IF(ISBLANK(JP!L503),"","x")</f>
        <v/>
      </c>
      <c r="N499" t="str">
        <f>IF(ISBLANK(JP!M503),"","x")</f>
        <v/>
      </c>
      <c r="O499" t="str">
        <f>IF(ISBLANK(JP!N503),"","x")</f>
        <v/>
      </c>
      <c r="P499" t="str">
        <f>IF(ISBLANK(JP!O503),"","x")</f>
        <v/>
      </c>
      <c r="Q499" t="str">
        <f>IF(ISBLANK(JP!P503),"","x")</f>
        <v/>
      </c>
      <c r="R499" t="str">
        <f>IF(ISBLANK(JP!Q503),"","x")</f>
        <v/>
      </c>
      <c r="S499" t="str">
        <f>IF(ISBLANK(JP!R503),"","x")</f>
        <v/>
      </c>
      <c r="T499" t="str">
        <f>IF(ISBLANK(JP!T503),"","x")</f>
        <v/>
      </c>
      <c r="U499" t="str">
        <f>IF(ISBLANK(JP!U503),"","x")</f>
        <v/>
      </c>
      <c r="V499" t="str">
        <f>IF(ISBLANK(JP!V503),"","x")</f>
        <v/>
      </c>
      <c r="W499" t="str">
        <f>IF(ISBLANK(JP!W503),"","x")</f>
        <v/>
      </c>
      <c r="X499" t="str">
        <f>IF(ISBLANK(JP!X503),"","x")</f>
        <v/>
      </c>
      <c r="Y499" t="str">
        <f>IF(ISBLANK(JP!Y503),"","x")</f>
        <v/>
      </c>
      <c r="Z499" t="str">
        <f>IF(ISBLANK(JP!Z503),"","x")</f>
        <v/>
      </c>
      <c r="AA499" t="str">
        <f>IF(ISBLANK(JP!AB503),"","x")</f>
        <v/>
      </c>
      <c r="AB499" t="str">
        <f>IF(ISBLANK(JP!AC503),"","x")</f>
        <v/>
      </c>
      <c r="AC499" t="str">
        <f>IF(ISBLANK(JP!AD503),"","x")</f>
        <v/>
      </c>
      <c r="AD499" t="str">
        <f>IF(ISBLANK(JP!AE503),"","x")</f>
        <v/>
      </c>
      <c r="AE499" t="str">
        <f>IF(ISBLANK(JP!AF503),"","x")</f>
        <v/>
      </c>
      <c r="AF499" t="str">
        <f>IF(ISBLANK(JP!AG503),"","x")</f>
        <v/>
      </c>
      <c r="AG499" t="str">
        <f>IF(ISBLANK(JP!AH503),"","x")</f>
        <v/>
      </c>
      <c r="AH499" t="str">
        <f>IF(ISBLANK(JP!AJ503),"","x")</f>
        <v/>
      </c>
      <c r="AI499" t="str">
        <f>IF(ISBLANK(JP!AK503),"","x")</f>
        <v/>
      </c>
      <c r="AJ499" t="str">
        <f>IF(ISBLANK(JP!AL503),"","x")</f>
        <v/>
      </c>
      <c r="AK499" t="str">
        <f>IF(ISBLANK(JP!AM503),"","x")</f>
        <v/>
      </c>
      <c r="AL499" t="str">
        <f>IF(ISBLANK(JP!AN503),"","x")</f>
        <v/>
      </c>
      <c r="AM499" t="str">
        <f>IF(ISBLANK(JP!AO503),"","x")</f>
        <v/>
      </c>
      <c r="AN499" t="str">
        <f>IF(ISBLANK(JP!AP503),"","x")</f>
        <v/>
      </c>
      <c r="AO499" t="str">
        <f>IF(ISBLANK(JP!AR503),"","x")</f>
        <v/>
      </c>
      <c r="AP499" t="str">
        <f>IF(ISBLANK(JP!AS503),"","x")</f>
        <v/>
      </c>
      <c r="AQ499" t="str">
        <f>IF(ISBLANK(JP!AT503),"","x")</f>
        <v/>
      </c>
      <c r="AR499" t="str">
        <f>IF(ISBLANK(JP!AU503),"","x")</f>
        <v/>
      </c>
      <c r="AS499" t="str">
        <f>IF(ISBLANK(JP!AV503),"","x")</f>
        <v/>
      </c>
      <c r="AT499" t="str">
        <f>IF(ISBLANK(JP!AW503),"","x")</f>
        <v/>
      </c>
      <c r="AU499" t="str">
        <f>IF(ISBLANK(JP!AX503),"","x")</f>
        <v/>
      </c>
    </row>
    <row r="500" spans="2:47">
      <c r="B500" t="str">
        <f>IF(ISBLANK(JP!AZ504),"",JP!AZ504)</f>
        <v/>
      </c>
      <c r="C500" t="str">
        <f>IF(ISBLANK(JP!BA504),"",JP!BA504)</f>
        <v/>
      </c>
      <c r="D500" t="str">
        <f>IF(ISBLANK(JP!BC504),"",JP!BC504)</f>
        <v/>
      </c>
      <c r="E500" t="str">
        <f>IF(ISBLANK(JP!BB504),"",JP!BB504)</f>
        <v/>
      </c>
      <c r="F500" t="str">
        <f>IF(ISBLANK(JP!D504),"","x")</f>
        <v/>
      </c>
      <c r="G500" t="str">
        <f>IF(ISBLANK(JP!E504),"","x")</f>
        <v/>
      </c>
      <c r="H500" t="str">
        <f>IF(ISBLANK(JP!F504),"","x")</f>
        <v/>
      </c>
      <c r="I500" t="str">
        <f>IF(ISBLANK(JP!G504),"","x")</f>
        <v/>
      </c>
      <c r="J500" t="str">
        <f>IF(ISBLANK(JP!H504),"","x")</f>
        <v/>
      </c>
      <c r="K500" t="str">
        <f>IF(ISBLANK(JP!I504),"","x")</f>
        <v/>
      </c>
      <c r="L500" t="str">
        <f>IF(ISBLANK(JP!J504),"","x")</f>
        <v/>
      </c>
      <c r="M500" t="str">
        <f>IF(ISBLANK(JP!L504),"","x")</f>
        <v/>
      </c>
      <c r="N500" t="str">
        <f>IF(ISBLANK(JP!M504),"","x")</f>
        <v/>
      </c>
      <c r="O500" t="str">
        <f>IF(ISBLANK(JP!N504),"","x")</f>
        <v/>
      </c>
      <c r="P500" t="str">
        <f>IF(ISBLANK(JP!O504),"","x")</f>
        <v/>
      </c>
      <c r="Q500" t="str">
        <f>IF(ISBLANK(JP!P504),"","x")</f>
        <v/>
      </c>
      <c r="R500" t="str">
        <f>IF(ISBLANK(JP!Q504),"","x")</f>
        <v/>
      </c>
      <c r="S500" t="str">
        <f>IF(ISBLANK(JP!R504),"","x")</f>
        <v/>
      </c>
      <c r="T500" t="str">
        <f>IF(ISBLANK(JP!T504),"","x")</f>
        <v/>
      </c>
      <c r="U500" t="str">
        <f>IF(ISBLANK(JP!U504),"","x")</f>
        <v/>
      </c>
      <c r="V500" t="str">
        <f>IF(ISBLANK(JP!V504),"","x")</f>
        <v/>
      </c>
      <c r="W500" t="str">
        <f>IF(ISBLANK(JP!W504),"","x")</f>
        <v/>
      </c>
      <c r="X500" t="str">
        <f>IF(ISBLANK(JP!X504),"","x")</f>
        <v/>
      </c>
      <c r="Y500" t="str">
        <f>IF(ISBLANK(JP!Y504),"","x")</f>
        <v/>
      </c>
      <c r="Z500" t="str">
        <f>IF(ISBLANK(JP!Z504),"","x")</f>
        <v/>
      </c>
      <c r="AA500" t="str">
        <f>IF(ISBLANK(JP!AB504),"","x")</f>
        <v/>
      </c>
      <c r="AB500" t="str">
        <f>IF(ISBLANK(JP!AC504),"","x")</f>
        <v/>
      </c>
      <c r="AC500" t="str">
        <f>IF(ISBLANK(JP!AD504),"","x")</f>
        <v/>
      </c>
      <c r="AD500" t="str">
        <f>IF(ISBLANK(JP!AE504),"","x")</f>
        <v/>
      </c>
      <c r="AE500" t="str">
        <f>IF(ISBLANK(JP!AF504),"","x")</f>
        <v/>
      </c>
      <c r="AF500" t="str">
        <f>IF(ISBLANK(JP!AG504),"","x")</f>
        <v/>
      </c>
      <c r="AG500" t="str">
        <f>IF(ISBLANK(JP!AH504),"","x")</f>
        <v/>
      </c>
      <c r="AH500" t="str">
        <f>IF(ISBLANK(JP!AJ504),"","x")</f>
        <v/>
      </c>
      <c r="AI500" t="str">
        <f>IF(ISBLANK(JP!AK504),"","x")</f>
        <v/>
      </c>
      <c r="AJ500" t="str">
        <f>IF(ISBLANK(JP!AL504),"","x")</f>
        <v/>
      </c>
      <c r="AK500" t="str">
        <f>IF(ISBLANK(JP!AM504),"","x")</f>
        <v/>
      </c>
      <c r="AL500" t="str">
        <f>IF(ISBLANK(JP!AN504),"","x")</f>
        <v/>
      </c>
      <c r="AM500" t="str">
        <f>IF(ISBLANK(JP!AO504),"","x")</f>
        <v/>
      </c>
      <c r="AN500" t="str">
        <f>IF(ISBLANK(JP!AP504),"","x")</f>
        <v/>
      </c>
      <c r="AO500" t="str">
        <f>IF(ISBLANK(JP!AR504),"","x")</f>
        <v/>
      </c>
      <c r="AP500" t="str">
        <f>IF(ISBLANK(JP!AS504),"","x")</f>
        <v/>
      </c>
      <c r="AQ500" t="str">
        <f>IF(ISBLANK(JP!AT504),"","x")</f>
        <v/>
      </c>
      <c r="AR500" t="str">
        <f>IF(ISBLANK(JP!AU504),"","x")</f>
        <v/>
      </c>
      <c r="AS500" t="str">
        <f>IF(ISBLANK(JP!AV504),"","x")</f>
        <v/>
      </c>
      <c r="AT500" t="str">
        <f>IF(ISBLANK(JP!AW504),"","x")</f>
        <v/>
      </c>
      <c r="AU500" t="str">
        <f>IF(ISBLANK(JP!AX504),"","x")</f>
        <v/>
      </c>
    </row>
    <row r="501" spans="2:47">
      <c r="B501" t="str">
        <f>IF(ISBLANK(JP!AZ505),"",JP!AZ505)</f>
        <v/>
      </c>
      <c r="C501" t="str">
        <f>IF(ISBLANK(JP!BA505),"",JP!BA505)</f>
        <v/>
      </c>
      <c r="D501" t="str">
        <f>IF(ISBLANK(JP!BC505),"",JP!BC505)</f>
        <v/>
      </c>
      <c r="E501" t="str">
        <f>IF(ISBLANK(JP!BB505),"",JP!BB505)</f>
        <v/>
      </c>
      <c r="F501" t="str">
        <f>IF(ISBLANK(JP!D505),"","x")</f>
        <v/>
      </c>
      <c r="G501" t="str">
        <f>IF(ISBLANK(JP!E505),"","x")</f>
        <v/>
      </c>
      <c r="H501" t="str">
        <f>IF(ISBLANK(JP!F505),"","x")</f>
        <v/>
      </c>
      <c r="I501" t="str">
        <f>IF(ISBLANK(JP!G505),"","x")</f>
        <v/>
      </c>
      <c r="J501" t="str">
        <f>IF(ISBLANK(JP!H505),"","x")</f>
        <v/>
      </c>
      <c r="K501" t="str">
        <f>IF(ISBLANK(JP!I505),"","x")</f>
        <v/>
      </c>
      <c r="L501" t="str">
        <f>IF(ISBLANK(JP!J505),"","x")</f>
        <v/>
      </c>
      <c r="M501" t="str">
        <f>IF(ISBLANK(JP!L505),"","x")</f>
        <v/>
      </c>
      <c r="N501" t="str">
        <f>IF(ISBLANK(JP!M505),"","x")</f>
        <v/>
      </c>
      <c r="O501" t="str">
        <f>IF(ISBLANK(JP!N505),"","x")</f>
        <v/>
      </c>
      <c r="P501" t="str">
        <f>IF(ISBLANK(JP!O505),"","x")</f>
        <v/>
      </c>
      <c r="Q501" t="str">
        <f>IF(ISBLANK(JP!P505),"","x")</f>
        <v/>
      </c>
      <c r="R501" t="str">
        <f>IF(ISBLANK(JP!Q505),"","x")</f>
        <v/>
      </c>
      <c r="S501" t="str">
        <f>IF(ISBLANK(JP!R505),"","x")</f>
        <v/>
      </c>
      <c r="T501" t="str">
        <f>IF(ISBLANK(JP!T505),"","x")</f>
        <v/>
      </c>
      <c r="U501" t="str">
        <f>IF(ISBLANK(JP!U505),"","x")</f>
        <v/>
      </c>
      <c r="V501" t="str">
        <f>IF(ISBLANK(JP!V505),"","x")</f>
        <v/>
      </c>
      <c r="W501" t="str">
        <f>IF(ISBLANK(JP!W505),"","x")</f>
        <v/>
      </c>
      <c r="X501" t="str">
        <f>IF(ISBLANK(JP!X505),"","x")</f>
        <v/>
      </c>
      <c r="Y501" t="str">
        <f>IF(ISBLANK(JP!Y505),"","x")</f>
        <v/>
      </c>
      <c r="Z501" t="str">
        <f>IF(ISBLANK(JP!Z505),"","x")</f>
        <v/>
      </c>
      <c r="AA501" t="str">
        <f>IF(ISBLANK(JP!AB505),"","x")</f>
        <v/>
      </c>
      <c r="AB501" t="str">
        <f>IF(ISBLANK(JP!AC505),"","x")</f>
        <v/>
      </c>
      <c r="AC501" t="str">
        <f>IF(ISBLANK(JP!AD505),"","x")</f>
        <v/>
      </c>
      <c r="AD501" t="str">
        <f>IF(ISBLANK(JP!AE505),"","x")</f>
        <v/>
      </c>
      <c r="AE501" t="str">
        <f>IF(ISBLANK(JP!AF505),"","x")</f>
        <v/>
      </c>
      <c r="AF501" t="str">
        <f>IF(ISBLANK(JP!AG505),"","x")</f>
        <v/>
      </c>
      <c r="AG501" t="str">
        <f>IF(ISBLANK(JP!AH505),"","x")</f>
        <v/>
      </c>
      <c r="AH501" t="str">
        <f>IF(ISBLANK(JP!AJ505),"","x")</f>
        <v/>
      </c>
      <c r="AI501" t="str">
        <f>IF(ISBLANK(JP!AK505),"","x")</f>
        <v/>
      </c>
      <c r="AJ501" t="str">
        <f>IF(ISBLANK(JP!AL505),"","x")</f>
        <v/>
      </c>
      <c r="AK501" t="str">
        <f>IF(ISBLANK(JP!AM505),"","x")</f>
        <v/>
      </c>
      <c r="AL501" t="str">
        <f>IF(ISBLANK(JP!AN505),"","x")</f>
        <v/>
      </c>
      <c r="AM501" t="str">
        <f>IF(ISBLANK(JP!AO505),"","x")</f>
        <v/>
      </c>
      <c r="AN501" t="str">
        <f>IF(ISBLANK(JP!AP505),"","x")</f>
        <v/>
      </c>
      <c r="AO501" t="str">
        <f>IF(ISBLANK(JP!AR505),"","x")</f>
        <v/>
      </c>
      <c r="AP501" t="str">
        <f>IF(ISBLANK(JP!AS505),"","x")</f>
        <v/>
      </c>
      <c r="AQ501" t="str">
        <f>IF(ISBLANK(JP!AT505),"","x")</f>
        <v/>
      </c>
      <c r="AR501" t="str">
        <f>IF(ISBLANK(JP!AU505),"","x")</f>
        <v/>
      </c>
      <c r="AS501" t="str">
        <f>IF(ISBLANK(JP!AV505),"","x")</f>
        <v/>
      </c>
      <c r="AT501" t="str">
        <f>IF(ISBLANK(JP!AW505),"","x")</f>
        <v/>
      </c>
      <c r="AU501" t="str">
        <f>IF(ISBLANK(JP!AX505),"","x")</f>
        <v/>
      </c>
    </row>
    <row r="502" spans="2:47">
      <c r="B502" t="str">
        <f>IF(ISBLANK(JP!AZ506),"",JP!AZ506)</f>
        <v/>
      </c>
      <c r="C502" t="str">
        <f>IF(ISBLANK(JP!BA506),"",JP!BA506)</f>
        <v/>
      </c>
      <c r="D502" t="str">
        <f>IF(ISBLANK(JP!BC506),"",JP!BC506)</f>
        <v/>
      </c>
      <c r="E502" t="str">
        <f>IF(ISBLANK(JP!BB506),"",JP!BB506)</f>
        <v/>
      </c>
      <c r="F502" t="str">
        <f>IF(ISBLANK(JP!D506),"","x")</f>
        <v/>
      </c>
      <c r="G502" t="str">
        <f>IF(ISBLANK(JP!E506),"","x")</f>
        <v/>
      </c>
      <c r="H502" t="str">
        <f>IF(ISBLANK(JP!F506),"","x")</f>
        <v/>
      </c>
      <c r="I502" t="str">
        <f>IF(ISBLANK(JP!G506),"","x")</f>
        <v/>
      </c>
      <c r="J502" t="str">
        <f>IF(ISBLANK(JP!H506),"","x")</f>
        <v/>
      </c>
      <c r="K502" t="str">
        <f>IF(ISBLANK(JP!I506),"","x")</f>
        <v/>
      </c>
      <c r="L502" t="str">
        <f>IF(ISBLANK(JP!J506),"","x")</f>
        <v/>
      </c>
      <c r="M502" t="str">
        <f>IF(ISBLANK(JP!L506),"","x")</f>
        <v/>
      </c>
      <c r="N502" t="str">
        <f>IF(ISBLANK(JP!M506),"","x")</f>
        <v/>
      </c>
      <c r="O502" t="str">
        <f>IF(ISBLANK(JP!N506),"","x")</f>
        <v/>
      </c>
      <c r="P502" t="str">
        <f>IF(ISBLANK(JP!O506),"","x")</f>
        <v/>
      </c>
      <c r="Q502" t="str">
        <f>IF(ISBLANK(JP!P506),"","x")</f>
        <v/>
      </c>
      <c r="R502" t="str">
        <f>IF(ISBLANK(JP!Q506),"","x")</f>
        <v/>
      </c>
      <c r="S502" t="str">
        <f>IF(ISBLANK(JP!R506),"","x")</f>
        <v/>
      </c>
      <c r="T502" t="str">
        <f>IF(ISBLANK(JP!T506),"","x")</f>
        <v/>
      </c>
      <c r="U502" t="str">
        <f>IF(ISBLANK(JP!U506),"","x")</f>
        <v/>
      </c>
      <c r="V502" t="str">
        <f>IF(ISBLANK(JP!V506),"","x")</f>
        <v/>
      </c>
      <c r="W502" t="str">
        <f>IF(ISBLANK(JP!W506),"","x")</f>
        <v/>
      </c>
      <c r="X502" t="str">
        <f>IF(ISBLANK(JP!X506),"","x")</f>
        <v/>
      </c>
      <c r="Y502" t="str">
        <f>IF(ISBLANK(JP!Y506),"","x")</f>
        <v/>
      </c>
      <c r="Z502" t="str">
        <f>IF(ISBLANK(JP!Z506),"","x")</f>
        <v/>
      </c>
      <c r="AA502" t="str">
        <f>IF(ISBLANK(JP!AB506),"","x")</f>
        <v/>
      </c>
      <c r="AB502" t="str">
        <f>IF(ISBLANK(JP!AC506),"","x")</f>
        <v/>
      </c>
      <c r="AC502" t="str">
        <f>IF(ISBLANK(JP!AD506),"","x")</f>
        <v/>
      </c>
      <c r="AD502" t="str">
        <f>IF(ISBLANK(JP!AE506),"","x")</f>
        <v/>
      </c>
      <c r="AE502" t="str">
        <f>IF(ISBLANK(JP!AF506),"","x")</f>
        <v/>
      </c>
      <c r="AF502" t="str">
        <f>IF(ISBLANK(JP!AG506),"","x")</f>
        <v/>
      </c>
      <c r="AG502" t="str">
        <f>IF(ISBLANK(JP!AH506),"","x")</f>
        <v/>
      </c>
      <c r="AH502" t="str">
        <f>IF(ISBLANK(JP!AJ506),"","x")</f>
        <v/>
      </c>
      <c r="AI502" t="str">
        <f>IF(ISBLANK(JP!AK506),"","x")</f>
        <v/>
      </c>
      <c r="AJ502" t="str">
        <f>IF(ISBLANK(JP!AL506),"","x")</f>
        <v/>
      </c>
      <c r="AK502" t="str">
        <f>IF(ISBLANK(JP!AM506),"","x")</f>
        <v/>
      </c>
      <c r="AL502" t="str">
        <f>IF(ISBLANK(JP!AN506),"","x")</f>
        <v/>
      </c>
      <c r="AM502" t="str">
        <f>IF(ISBLANK(JP!AO506),"","x")</f>
        <v/>
      </c>
      <c r="AN502" t="str">
        <f>IF(ISBLANK(JP!AP506),"","x")</f>
        <v/>
      </c>
      <c r="AO502" t="str">
        <f>IF(ISBLANK(JP!AR506),"","x")</f>
        <v/>
      </c>
      <c r="AP502" t="str">
        <f>IF(ISBLANK(JP!AS506),"","x")</f>
        <v/>
      </c>
      <c r="AQ502" t="str">
        <f>IF(ISBLANK(JP!AT506),"","x")</f>
        <v/>
      </c>
      <c r="AR502" t="str">
        <f>IF(ISBLANK(JP!AU506),"","x")</f>
        <v/>
      </c>
      <c r="AS502" t="str">
        <f>IF(ISBLANK(JP!AV506),"","x")</f>
        <v/>
      </c>
      <c r="AT502" t="str">
        <f>IF(ISBLANK(JP!AW506),"","x")</f>
        <v/>
      </c>
      <c r="AU502" t="str">
        <f>IF(ISBLANK(JP!AX506),"","x")</f>
        <v/>
      </c>
    </row>
    <row r="503" spans="2:47">
      <c r="B503" t="str">
        <f>IF(ISBLANK(JP!AZ507),"",JP!AZ507)</f>
        <v/>
      </c>
      <c r="C503" t="str">
        <f>IF(ISBLANK(JP!BA507),"",JP!BA507)</f>
        <v/>
      </c>
      <c r="D503" t="str">
        <f>IF(ISBLANK(JP!BC507),"",JP!BC507)</f>
        <v/>
      </c>
      <c r="E503" t="str">
        <f>IF(ISBLANK(JP!BB507),"",JP!BB507)</f>
        <v/>
      </c>
      <c r="F503" t="str">
        <f>IF(ISBLANK(JP!D507),"","x")</f>
        <v/>
      </c>
      <c r="G503" t="str">
        <f>IF(ISBLANK(JP!E507),"","x")</f>
        <v/>
      </c>
      <c r="H503" t="str">
        <f>IF(ISBLANK(JP!F507),"","x")</f>
        <v/>
      </c>
      <c r="I503" t="str">
        <f>IF(ISBLANK(JP!G507),"","x")</f>
        <v/>
      </c>
      <c r="J503" t="str">
        <f>IF(ISBLANK(JP!H507),"","x")</f>
        <v/>
      </c>
      <c r="K503" t="str">
        <f>IF(ISBLANK(JP!I507),"","x")</f>
        <v/>
      </c>
      <c r="L503" t="str">
        <f>IF(ISBLANK(JP!J507),"","x")</f>
        <v/>
      </c>
      <c r="M503" t="str">
        <f>IF(ISBLANK(JP!L507),"","x")</f>
        <v/>
      </c>
      <c r="N503" t="str">
        <f>IF(ISBLANK(JP!M507),"","x")</f>
        <v/>
      </c>
      <c r="O503" t="str">
        <f>IF(ISBLANK(JP!N507),"","x")</f>
        <v/>
      </c>
      <c r="P503" t="str">
        <f>IF(ISBLANK(JP!O507),"","x")</f>
        <v/>
      </c>
      <c r="Q503" t="str">
        <f>IF(ISBLANK(JP!P507),"","x")</f>
        <v/>
      </c>
      <c r="R503" t="str">
        <f>IF(ISBLANK(JP!Q507),"","x")</f>
        <v/>
      </c>
      <c r="S503" t="str">
        <f>IF(ISBLANK(JP!R507),"","x")</f>
        <v/>
      </c>
      <c r="T503" t="str">
        <f>IF(ISBLANK(JP!T507),"","x")</f>
        <v/>
      </c>
      <c r="U503" t="str">
        <f>IF(ISBLANK(JP!U507),"","x")</f>
        <v/>
      </c>
      <c r="V503" t="str">
        <f>IF(ISBLANK(JP!V507),"","x")</f>
        <v/>
      </c>
      <c r="W503" t="str">
        <f>IF(ISBLANK(JP!W507),"","x")</f>
        <v/>
      </c>
      <c r="X503" t="str">
        <f>IF(ISBLANK(JP!X507),"","x")</f>
        <v/>
      </c>
      <c r="Y503" t="str">
        <f>IF(ISBLANK(JP!Y507),"","x")</f>
        <v/>
      </c>
      <c r="Z503" t="str">
        <f>IF(ISBLANK(JP!Z507),"","x")</f>
        <v/>
      </c>
      <c r="AA503" t="str">
        <f>IF(ISBLANK(JP!AB507),"","x")</f>
        <v/>
      </c>
      <c r="AB503" t="str">
        <f>IF(ISBLANK(JP!AC507),"","x")</f>
        <v/>
      </c>
      <c r="AC503" t="str">
        <f>IF(ISBLANK(JP!AD507),"","x")</f>
        <v/>
      </c>
      <c r="AD503" t="str">
        <f>IF(ISBLANK(JP!AE507),"","x")</f>
        <v/>
      </c>
      <c r="AE503" t="str">
        <f>IF(ISBLANK(JP!AF507),"","x")</f>
        <v/>
      </c>
      <c r="AF503" t="str">
        <f>IF(ISBLANK(JP!AG507),"","x")</f>
        <v/>
      </c>
      <c r="AG503" t="str">
        <f>IF(ISBLANK(JP!AH507),"","x")</f>
        <v/>
      </c>
      <c r="AH503" t="str">
        <f>IF(ISBLANK(JP!AJ507),"","x")</f>
        <v/>
      </c>
      <c r="AI503" t="str">
        <f>IF(ISBLANK(JP!AK507),"","x")</f>
        <v/>
      </c>
      <c r="AJ503" t="str">
        <f>IF(ISBLANK(JP!AL507),"","x")</f>
        <v/>
      </c>
      <c r="AK503" t="str">
        <f>IF(ISBLANK(JP!AM507),"","x")</f>
        <v/>
      </c>
      <c r="AL503" t="str">
        <f>IF(ISBLANK(JP!AN507),"","x")</f>
        <v/>
      </c>
      <c r="AM503" t="str">
        <f>IF(ISBLANK(JP!AO507),"","x")</f>
        <v/>
      </c>
      <c r="AN503" t="str">
        <f>IF(ISBLANK(JP!AP507),"","x")</f>
        <v/>
      </c>
      <c r="AO503" t="str">
        <f>IF(ISBLANK(JP!AR507),"","x")</f>
        <v/>
      </c>
      <c r="AP503" t="str">
        <f>IF(ISBLANK(JP!AS507),"","x")</f>
        <v/>
      </c>
      <c r="AQ503" t="str">
        <f>IF(ISBLANK(JP!AT507),"","x")</f>
        <v/>
      </c>
      <c r="AR503" t="str">
        <f>IF(ISBLANK(JP!AU507),"","x")</f>
        <v/>
      </c>
      <c r="AS503" t="str">
        <f>IF(ISBLANK(JP!AV507),"","x")</f>
        <v/>
      </c>
      <c r="AT503" t="str">
        <f>IF(ISBLANK(JP!AW507),"","x")</f>
        <v/>
      </c>
      <c r="AU503" t="str">
        <f>IF(ISBLANK(JP!AX507),"","x")</f>
        <v/>
      </c>
    </row>
    <row r="504" spans="2:47">
      <c r="B504" t="str">
        <f>IF(ISBLANK(JP!AZ508),"",JP!AZ508)</f>
        <v/>
      </c>
      <c r="C504" t="str">
        <f>IF(ISBLANK(JP!BA508),"",JP!BA508)</f>
        <v/>
      </c>
      <c r="D504" t="str">
        <f>IF(ISBLANK(JP!BC508),"",JP!BC508)</f>
        <v/>
      </c>
      <c r="E504" t="str">
        <f>IF(ISBLANK(JP!BB508),"",JP!BB508)</f>
        <v/>
      </c>
      <c r="F504" t="str">
        <f>IF(ISBLANK(JP!D508),"","x")</f>
        <v/>
      </c>
      <c r="G504" t="str">
        <f>IF(ISBLANK(JP!E508),"","x")</f>
        <v/>
      </c>
      <c r="H504" t="str">
        <f>IF(ISBLANK(JP!F508),"","x")</f>
        <v/>
      </c>
      <c r="I504" t="str">
        <f>IF(ISBLANK(JP!G508),"","x")</f>
        <v/>
      </c>
      <c r="J504" t="str">
        <f>IF(ISBLANK(JP!H508),"","x")</f>
        <v/>
      </c>
      <c r="K504" t="str">
        <f>IF(ISBLANK(JP!I508),"","x")</f>
        <v/>
      </c>
      <c r="L504" t="str">
        <f>IF(ISBLANK(JP!J508),"","x")</f>
        <v/>
      </c>
      <c r="M504" t="str">
        <f>IF(ISBLANK(JP!L508),"","x")</f>
        <v/>
      </c>
      <c r="N504" t="str">
        <f>IF(ISBLANK(JP!M508),"","x")</f>
        <v/>
      </c>
      <c r="O504" t="str">
        <f>IF(ISBLANK(JP!N508),"","x")</f>
        <v/>
      </c>
      <c r="P504" t="str">
        <f>IF(ISBLANK(JP!O508),"","x")</f>
        <v/>
      </c>
      <c r="Q504" t="str">
        <f>IF(ISBLANK(JP!P508),"","x")</f>
        <v/>
      </c>
      <c r="R504" t="str">
        <f>IF(ISBLANK(JP!Q508),"","x")</f>
        <v/>
      </c>
      <c r="S504" t="str">
        <f>IF(ISBLANK(JP!R508),"","x")</f>
        <v/>
      </c>
      <c r="T504" t="str">
        <f>IF(ISBLANK(JP!T508),"","x")</f>
        <v/>
      </c>
      <c r="U504" t="str">
        <f>IF(ISBLANK(JP!U508),"","x")</f>
        <v/>
      </c>
      <c r="V504" t="str">
        <f>IF(ISBLANK(JP!V508),"","x")</f>
        <v/>
      </c>
      <c r="W504" t="str">
        <f>IF(ISBLANK(JP!W508),"","x")</f>
        <v/>
      </c>
      <c r="X504" t="str">
        <f>IF(ISBLANK(JP!X508),"","x")</f>
        <v/>
      </c>
      <c r="Y504" t="str">
        <f>IF(ISBLANK(JP!Y508),"","x")</f>
        <v/>
      </c>
      <c r="Z504" t="str">
        <f>IF(ISBLANK(JP!Z508),"","x")</f>
        <v/>
      </c>
      <c r="AA504" t="str">
        <f>IF(ISBLANK(JP!AB508),"","x")</f>
        <v/>
      </c>
      <c r="AB504" t="str">
        <f>IF(ISBLANK(JP!AC508),"","x")</f>
        <v/>
      </c>
      <c r="AC504" t="str">
        <f>IF(ISBLANK(JP!AD508),"","x")</f>
        <v/>
      </c>
      <c r="AD504" t="str">
        <f>IF(ISBLANK(JP!AE508),"","x")</f>
        <v/>
      </c>
      <c r="AE504" t="str">
        <f>IF(ISBLANK(JP!AF508),"","x")</f>
        <v/>
      </c>
      <c r="AF504" t="str">
        <f>IF(ISBLANK(JP!AG508),"","x")</f>
        <v/>
      </c>
      <c r="AG504" t="str">
        <f>IF(ISBLANK(JP!AH508),"","x")</f>
        <v/>
      </c>
      <c r="AH504" t="str">
        <f>IF(ISBLANK(JP!AJ508),"","x")</f>
        <v/>
      </c>
      <c r="AI504" t="str">
        <f>IF(ISBLANK(JP!AK508),"","x")</f>
        <v/>
      </c>
      <c r="AJ504" t="str">
        <f>IF(ISBLANK(JP!AL508),"","x")</f>
        <v/>
      </c>
      <c r="AK504" t="str">
        <f>IF(ISBLANK(JP!AM508),"","x")</f>
        <v/>
      </c>
      <c r="AL504" t="str">
        <f>IF(ISBLANK(JP!AN508),"","x")</f>
        <v/>
      </c>
      <c r="AM504" t="str">
        <f>IF(ISBLANK(JP!AO508),"","x")</f>
        <v/>
      </c>
      <c r="AN504" t="str">
        <f>IF(ISBLANK(JP!AP508),"","x")</f>
        <v/>
      </c>
      <c r="AO504" t="str">
        <f>IF(ISBLANK(JP!AR508),"","x")</f>
        <v/>
      </c>
      <c r="AP504" t="str">
        <f>IF(ISBLANK(JP!AS508),"","x")</f>
        <v/>
      </c>
      <c r="AQ504" t="str">
        <f>IF(ISBLANK(JP!AT508),"","x")</f>
        <v/>
      </c>
      <c r="AR504" t="str">
        <f>IF(ISBLANK(JP!AU508),"","x")</f>
        <v/>
      </c>
      <c r="AS504" t="str">
        <f>IF(ISBLANK(JP!AV508),"","x")</f>
        <v/>
      </c>
      <c r="AT504" t="str">
        <f>IF(ISBLANK(JP!AW508),"","x")</f>
        <v/>
      </c>
      <c r="AU504" t="str">
        <f>IF(ISBLANK(JP!AX508),"","x")</f>
        <v/>
      </c>
    </row>
    <row r="505" spans="2:47">
      <c r="B505" t="str">
        <f>IF(ISBLANK(JP!AZ509),"",JP!AZ509)</f>
        <v/>
      </c>
      <c r="C505" t="str">
        <f>IF(ISBLANK(JP!BA509),"",JP!BA509)</f>
        <v/>
      </c>
      <c r="D505" t="str">
        <f>IF(ISBLANK(JP!BC509),"",JP!BC509)</f>
        <v/>
      </c>
      <c r="E505" t="str">
        <f>IF(ISBLANK(JP!BB509),"",JP!BB509)</f>
        <v/>
      </c>
      <c r="F505" t="str">
        <f>IF(ISBLANK(JP!D509),"","x")</f>
        <v/>
      </c>
      <c r="G505" t="str">
        <f>IF(ISBLANK(JP!E509),"","x")</f>
        <v/>
      </c>
      <c r="H505" t="str">
        <f>IF(ISBLANK(JP!F509),"","x")</f>
        <v/>
      </c>
      <c r="I505" t="str">
        <f>IF(ISBLANK(JP!G509),"","x")</f>
        <v/>
      </c>
      <c r="J505" t="str">
        <f>IF(ISBLANK(JP!H509),"","x")</f>
        <v/>
      </c>
      <c r="K505" t="str">
        <f>IF(ISBLANK(JP!I509),"","x")</f>
        <v/>
      </c>
      <c r="L505" t="str">
        <f>IF(ISBLANK(JP!J509),"","x")</f>
        <v/>
      </c>
      <c r="M505" t="str">
        <f>IF(ISBLANK(JP!L509),"","x")</f>
        <v/>
      </c>
      <c r="N505" t="str">
        <f>IF(ISBLANK(JP!M509),"","x")</f>
        <v/>
      </c>
      <c r="O505" t="str">
        <f>IF(ISBLANK(JP!N509),"","x")</f>
        <v/>
      </c>
      <c r="P505" t="str">
        <f>IF(ISBLANK(JP!O509),"","x")</f>
        <v/>
      </c>
      <c r="Q505" t="str">
        <f>IF(ISBLANK(JP!P509),"","x")</f>
        <v/>
      </c>
      <c r="R505" t="str">
        <f>IF(ISBLANK(JP!Q509),"","x")</f>
        <v/>
      </c>
      <c r="S505" t="str">
        <f>IF(ISBLANK(JP!R509),"","x")</f>
        <v/>
      </c>
      <c r="T505" t="str">
        <f>IF(ISBLANK(JP!T509),"","x")</f>
        <v/>
      </c>
      <c r="U505" t="str">
        <f>IF(ISBLANK(JP!U509),"","x")</f>
        <v/>
      </c>
      <c r="V505" t="str">
        <f>IF(ISBLANK(JP!V509),"","x")</f>
        <v/>
      </c>
      <c r="W505" t="str">
        <f>IF(ISBLANK(JP!W509),"","x")</f>
        <v/>
      </c>
      <c r="X505" t="str">
        <f>IF(ISBLANK(JP!X509),"","x")</f>
        <v/>
      </c>
      <c r="Y505" t="str">
        <f>IF(ISBLANK(JP!Y509),"","x")</f>
        <v/>
      </c>
      <c r="Z505" t="str">
        <f>IF(ISBLANK(JP!Z509),"","x")</f>
        <v/>
      </c>
      <c r="AA505" t="str">
        <f>IF(ISBLANK(JP!AB509),"","x")</f>
        <v/>
      </c>
      <c r="AB505" t="str">
        <f>IF(ISBLANK(JP!AC509),"","x")</f>
        <v/>
      </c>
      <c r="AC505" t="str">
        <f>IF(ISBLANK(JP!AD509),"","x")</f>
        <v/>
      </c>
      <c r="AD505" t="str">
        <f>IF(ISBLANK(JP!AE509),"","x")</f>
        <v/>
      </c>
      <c r="AE505" t="str">
        <f>IF(ISBLANK(JP!AF509),"","x")</f>
        <v/>
      </c>
      <c r="AF505" t="str">
        <f>IF(ISBLANK(JP!AG509),"","x")</f>
        <v/>
      </c>
      <c r="AG505" t="str">
        <f>IF(ISBLANK(JP!AH509),"","x")</f>
        <v/>
      </c>
      <c r="AH505" t="str">
        <f>IF(ISBLANK(JP!AJ509),"","x")</f>
        <v/>
      </c>
      <c r="AI505" t="str">
        <f>IF(ISBLANK(JP!AK509),"","x")</f>
        <v/>
      </c>
      <c r="AJ505" t="str">
        <f>IF(ISBLANK(JP!AL509),"","x")</f>
        <v/>
      </c>
      <c r="AK505" t="str">
        <f>IF(ISBLANK(JP!AM509),"","x")</f>
        <v/>
      </c>
      <c r="AL505" t="str">
        <f>IF(ISBLANK(JP!AN509),"","x")</f>
        <v/>
      </c>
      <c r="AM505" t="str">
        <f>IF(ISBLANK(JP!AO509),"","x")</f>
        <v/>
      </c>
      <c r="AN505" t="str">
        <f>IF(ISBLANK(JP!AP509),"","x")</f>
        <v/>
      </c>
      <c r="AO505" t="str">
        <f>IF(ISBLANK(JP!AR509),"","x")</f>
        <v/>
      </c>
      <c r="AP505" t="str">
        <f>IF(ISBLANK(JP!AS509),"","x")</f>
        <v/>
      </c>
      <c r="AQ505" t="str">
        <f>IF(ISBLANK(JP!AT509),"","x")</f>
        <v/>
      </c>
      <c r="AR505" t="str">
        <f>IF(ISBLANK(JP!AU509),"","x")</f>
        <v/>
      </c>
      <c r="AS505" t="str">
        <f>IF(ISBLANK(JP!AV509),"","x")</f>
        <v/>
      </c>
      <c r="AT505" t="str">
        <f>IF(ISBLANK(JP!AW509),"","x")</f>
        <v/>
      </c>
      <c r="AU505" t="str">
        <f>IF(ISBLANK(JP!AX509),"","x")</f>
        <v/>
      </c>
    </row>
    <row r="506" spans="2:47">
      <c r="B506" t="str">
        <f>IF(ISBLANK(JP!AZ510),"",JP!AZ510)</f>
        <v/>
      </c>
      <c r="C506" t="str">
        <f>IF(ISBLANK(JP!BA510),"",JP!BA510)</f>
        <v/>
      </c>
      <c r="D506" t="str">
        <f>IF(ISBLANK(JP!BC510),"",JP!BC510)</f>
        <v/>
      </c>
      <c r="E506" t="str">
        <f>IF(ISBLANK(JP!BB510),"",JP!BB510)</f>
        <v/>
      </c>
      <c r="F506" t="str">
        <f>IF(ISBLANK(JP!D510),"","x")</f>
        <v/>
      </c>
      <c r="G506" t="str">
        <f>IF(ISBLANK(JP!E510),"","x")</f>
        <v/>
      </c>
      <c r="H506" t="str">
        <f>IF(ISBLANK(JP!F510),"","x")</f>
        <v/>
      </c>
      <c r="I506" t="str">
        <f>IF(ISBLANK(JP!G510),"","x")</f>
        <v/>
      </c>
      <c r="J506" t="str">
        <f>IF(ISBLANK(JP!H510),"","x")</f>
        <v/>
      </c>
      <c r="K506" t="str">
        <f>IF(ISBLANK(JP!I510),"","x")</f>
        <v/>
      </c>
      <c r="L506" t="str">
        <f>IF(ISBLANK(JP!J510),"","x")</f>
        <v/>
      </c>
      <c r="M506" t="str">
        <f>IF(ISBLANK(JP!L510),"","x")</f>
        <v/>
      </c>
      <c r="N506" t="str">
        <f>IF(ISBLANK(JP!M510),"","x")</f>
        <v/>
      </c>
      <c r="O506" t="str">
        <f>IF(ISBLANK(JP!N510),"","x")</f>
        <v/>
      </c>
      <c r="P506" t="str">
        <f>IF(ISBLANK(JP!O510),"","x")</f>
        <v/>
      </c>
      <c r="Q506" t="str">
        <f>IF(ISBLANK(JP!P510),"","x")</f>
        <v/>
      </c>
      <c r="R506" t="str">
        <f>IF(ISBLANK(JP!Q510),"","x")</f>
        <v/>
      </c>
      <c r="S506" t="str">
        <f>IF(ISBLANK(JP!R510),"","x")</f>
        <v/>
      </c>
      <c r="T506" t="str">
        <f>IF(ISBLANK(JP!T510),"","x")</f>
        <v/>
      </c>
      <c r="U506" t="str">
        <f>IF(ISBLANK(JP!U510),"","x")</f>
        <v/>
      </c>
      <c r="V506" t="str">
        <f>IF(ISBLANK(JP!V510),"","x")</f>
        <v/>
      </c>
      <c r="W506" t="str">
        <f>IF(ISBLANK(JP!W510),"","x")</f>
        <v/>
      </c>
      <c r="X506" t="str">
        <f>IF(ISBLANK(JP!X510),"","x")</f>
        <v/>
      </c>
      <c r="Y506" t="str">
        <f>IF(ISBLANK(JP!Y510),"","x")</f>
        <v/>
      </c>
      <c r="Z506" t="str">
        <f>IF(ISBLANK(JP!Z510),"","x")</f>
        <v/>
      </c>
      <c r="AA506" t="str">
        <f>IF(ISBLANK(JP!AB510),"","x")</f>
        <v/>
      </c>
      <c r="AB506" t="str">
        <f>IF(ISBLANK(JP!AC510),"","x")</f>
        <v/>
      </c>
      <c r="AC506" t="str">
        <f>IF(ISBLANK(JP!AD510),"","x")</f>
        <v/>
      </c>
      <c r="AD506" t="str">
        <f>IF(ISBLANK(JP!AE510),"","x")</f>
        <v/>
      </c>
      <c r="AE506" t="str">
        <f>IF(ISBLANK(JP!AF510),"","x")</f>
        <v/>
      </c>
      <c r="AF506" t="str">
        <f>IF(ISBLANK(JP!AG510),"","x")</f>
        <v/>
      </c>
      <c r="AG506" t="str">
        <f>IF(ISBLANK(JP!AH510),"","x")</f>
        <v/>
      </c>
      <c r="AH506" t="str">
        <f>IF(ISBLANK(JP!AJ510),"","x")</f>
        <v/>
      </c>
      <c r="AI506" t="str">
        <f>IF(ISBLANK(JP!AK510),"","x")</f>
        <v/>
      </c>
      <c r="AJ506" t="str">
        <f>IF(ISBLANK(JP!AL510),"","x")</f>
        <v/>
      </c>
      <c r="AK506" t="str">
        <f>IF(ISBLANK(JP!AM510),"","x")</f>
        <v/>
      </c>
      <c r="AL506" t="str">
        <f>IF(ISBLANK(JP!AN510),"","x")</f>
        <v/>
      </c>
      <c r="AM506" t="str">
        <f>IF(ISBLANK(JP!AO510),"","x")</f>
        <v/>
      </c>
      <c r="AN506" t="str">
        <f>IF(ISBLANK(JP!AP510),"","x")</f>
        <v/>
      </c>
      <c r="AO506" t="str">
        <f>IF(ISBLANK(JP!AR510),"","x")</f>
        <v/>
      </c>
      <c r="AP506" t="str">
        <f>IF(ISBLANK(JP!AS510),"","x")</f>
        <v/>
      </c>
      <c r="AQ506" t="str">
        <f>IF(ISBLANK(JP!AT510),"","x")</f>
        <v/>
      </c>
      <c r="AR506" t="str">
        <f>IF(ISBLANK(JP!AU510),"","x")</f>
        <v/>
      </c>
      <c r="AS506" t="str">
        <f>IF(ISBLANK(JP!AV510),"","x")</f>
        <v/>
      </c>
      <c r="AT506" t="str">
        <f>IF(ISBLANK(JP!AW510),"","x")</f>
        <v/>
      </c>
      <c r="AU506" t="str">
        <f>IF(ISBLANK(JP!AX510),"","x")</f>
        <v/>
      </c>
    </row>
    <row r="507" spans="2:47">
      <c r="B507" t="str">
        <f>IF(ISBLANK(JP!AZ511),"",JP!AZ511)</f>
        <v/>
      </c>
      <c r="C507" t="str">
        <f>IF(ISBLANK(JP!BA511),"",JP!BA511)</f>
        <v/>
      </c>
      <c r="D507" t="str">
        <f>IF(ISBLANK(JP!BC511),"",JP!BC511)</f>
        <v/>
      </c>
      <c r="E507" t="str">
        <f>IF(ISBLANK(JP!BB511),"",JP!BB511)</f>
        <v/>
      </c>
      <c r="F507" t="str">
        <f>IF(ISBLANK(JP!D511),"","x")</f>
        <v/>
      </c>
      <c r="G507" t="str">
        <f>IF(ISBLANK(JP!E511),"","x")</f>
        <v/>
      </c>
      <c r="H507" t="str">
        <f>IF(ISBLANK(JP!F511),"","x")</f>
        <v/>
      </c>
      <c r="I507" t="str">
        <f>IF(ISBLANK(JP!G511),"","x")</f>
        <v/>
      </c>
      <c r="J507" t="str">
        <f>IF(ISBLANK(JP!H511),"","x")</f>
        <v/>
      </c>
      <c r="K507" t="str">
        <f>IF(ISBLANK(JP!I511),"","x")</f>
        <v/>
      </c>
      <c r="L507" t="str">
        <f>IF(ISBLANK(JP!J511),"","x")</f>
        <v/>
      </c>
      <c r="M507" t="str">
        <f>IF(ISBLANK(JP!L511),"","x")</f>
        <v/>
      </c>
      <c r="N507" t="str">
        <f>IF(ISBLANK(JP!M511),"","x")</f>
        <v/>
      </c>
      <c r="O507" t="str">
        <f>IF(ISBLANK(JP!N511),"","x")</f>
        <v/>
      </c>
      <c r="P507" t="str">
        <f>IF(ISBLANK(JP!O511),"","x")</f>
        <v/>
      </c>
      <c r="Q507" t="str">
        <f>IF(ISBLANK(JP!P511),"","x")</f>
        <v/>
      </c>
      <c r="R507" t="str">
        <f>IF(ISBLANK(JP!Q511),"","x")</f>
        <v/>
      </c>
      <c r="S507" t="str">
        <f>IF(ISBLANK(JP!R511),"","x")</f>
        <v/>
      </c>
      <c r="T507" t="str">
        <f>IF(ISBLANK(JP!T511),"","x")</f>
        <v/>
      </c>
      <c r="U507" t="str">
        <f>IF(ISBLANK(JP!U511),"","x")</f>
        <v/>
      </c>
      <c r="V507" t="str">
        <f>IF(ISBLANK(JP!V511),"","x")</f>
        <v/>
      </c>
      <c r="W507" t="str">
        <f>IF(ISBLANK(JP!W511),"","x")</f>
        <v/>
      </c>
      <c r="X507" t="str">
        <f>IF(ISBLANK(JP!X511),"","x")</f>
        <v/>
      </c>
      <c r="Y507" t="str">
        <f>IF(ISBLANK(JP!Y511),"","x")</f>
        <v/>
      </c>
      <c r="Z507" t="str">
        <f>IF(ISBLANK(JP!Z511),"","x")</f>
        <v/>
      </c>
      <c r="AA507" t="str">
        <f>IF(ISBLANK(JP!AB511),"","x")</f>
        <v/>
      </c>
      <c r="AB507" t="str">
        <f>IF(ISBLANK(JP!AC511),"","x")</f>
        <v/>
      </c>
      <c r="AC507" t="str">
        <f>IF(ISBLANK(JP!AD511),"","x")</f>
        <v/>
      </c>
      <c r="AD507" t="str">
        <f>IF(ISBLANK(JP!AE511),"","x")</f>
        <v/>
      </c>
      <c r="AE507" t="str">
        <f>IF(ISBLANK(JP!AF511),"","x")</f>
        <v/>
      </c>
      <c r="AF507" t="str">
        <f>IF(ISBLANK(JP!AG511),"","x")</f>
        <v/>
      </c>
      <c r="AG507" t="str">
        <f>IF(ISBLANK(JP!AH511),"","x")</f>
        <v/>
      </c>
      <c r="AH507" t="str">
        <f>IF(ISBLANK(JP!AJ511),"","x")</f>
        <v/>
      </c>
      <c r="AI507" t="str">
        <f>IF(ISBLANK(JP!AK511),"","x")</f>
        <v/>
      </c>
      <c r="AJ507" t="str">
        <f>IF(ISBLANK(JP!AL511),"","x")</f>
        <v/>
      </c>
      <c r="AK507" t="str">
        <f>IF(ISBLANK(JP!AM511),"","x")</f>
        <v/>
      </c>
      <c r="AL507" t="str">
        <f>IF(ISBLANK(JP!AN511),"","x")</f>
        <v/>
      </c>
      <c r="AM507" t="str">
        <f>IF(ISBLANK(JP!AO511),"","x")</f>
        <v/>
      </c>
      <c r="AN507" t="str">
        <f>IF(ISBLANK(JP!AP511),"","x")</f>
        <v/>
      </c>
      <c r="AO507" t="str">
        <f>IF(ISBLANK(JP!AR511),"","x")</f>
        <v/>
      </c>
      <c r="AP507" t="str">
        <f>IF(ISBLANK(JP!AS511),"","x")</f>
        <v/>
      </c>
      <c r="AQ507" t="str">
        <f>IF(ISBLANK(JP!AT511),"","x")</f>
        <v/>
      </c>
      <c r="AR507" t="str">
        <f>IF(ISBLANK(JP!AU511),"","x")</f>
        <v/>
      </c>
      <c r="AS507" t="str">
        <f>IF(ISBLANK(JP!AV511),"","x")</f>
        <v/>
      </c>
      <c r="AT507" t="str">
        <f>IF(ISBLANK(JP!AW511),"","x")</f>
        <v/>
      </c>
      <c r="AU507" t="str">
        <f>IF(ISBLANK(JP!AX511),"","x")</f>
        <v/>
      </c>
    </row>
    <row r="508" spans="2:47">
      <c r="B508" t="str">
        <f>IF(ISBLANK(JP!AZ512),"",JP!AZ512)</f>
        <v/>
      </c>
      <c r="C508" t="str">
        <f>IF(ISBLANK(JP!BA512),"",JP!BA512)</f>
        <v/>
      </c>
      <c r="D508" t="str">
        <f>IF(ISBLANK(JP!BC512),"",JP!BC512)</f>
        <v/>
      </c>
      <c r="E508" t="str">
        <f>IF(ISBLANK(JP!BB512),"",JP!BB512)</f>
        <v/>
      </c>
      <c r="F508" t="str">
        <f>IF(ISBLANK(JP!D512),"","x")</f>
        <v/>
      </c>
      <c r="G508" t="str">
        <f>IF(ISBLANK(JP!E512),"","x")</f>
        <v/>
      </c>
      <c r="H508" t="str">
        <f>IF(ISBLANK(JP!F512),"","x")</f>
        <v/>
      </c>
      <c r="I508" t="str">
        <f>IF(ISBLANK(JP!G512),"","x")</f>
        <v/>
      </c>
      <c r="J508" t="str">
        <f>IF(ISBLANK(JP!H512),"","x")</f>
        <v/>
      </c>
      <c r="K508" t="str">
        <f>IF(ISBLANK(JP!I512),"","x")</f>
        <v/>
      </c>
      <c r="L508" t="str">
        <f>IF(ISBLANK(JP!J512),"","x")</f>
        <v/>
      </c>
      <c r="M508" t="str">
        <f>IF(ISBLANK(JP!L512),"","x")</f>
        <v/>
      </c>
      <c r="N508" t="str">
        <f>IF(ISBLANK(JP!M512),"","x")</f>
        <v/>
      </c>
      <c r="O508" t="str">
        <f>IF(ISBLANK(JP!N512),"","x")</f>
        <v/>
      </c>
      <c r="P508" t="str">
        <f>IF(ISBLANK(JP!O512),"","x")</f>
        <v/>
      </c>
      <c r="Q508" t="str">
        <f>IF(ISBLANK(JP!P512),"","x")</f>
        <v/>
      </c>
      <c r="R508" t="str">
        <f>IF(ISBLANK(JP!Q512),"","x")</f>
        <v/>
      </c>
      <c r="S508" t="str">
        <f>IF(ISBLANK(JP!R512),"","x")</f>
        <v/>
      </c>
      <c r="T508" t="str">
        <f>IF(ISBLANK(JP!T512),"","x")</f>
        <v/>
      </c>
      <c r="U508" t="str">
        <f>IF(ISBLANK(JP!U512),"","x")</f>
        <v/>
      </c>
      <c r="V508" t="str">
        <f>IF(ISBLANK(JP!V512),"","x")</f>
        <v/>
      </c>
      <c r="W508" t="str">
        <f>IF(ISBLANK(JP!W512),"","x")</f>
        <v/>
      </c>
      <c r="X508" t="str">
        <f>IF(ISBLANK(JP!X512),"","x")</f>
        <v/>
      </c>
      <c r="Y508" t="str">
        <f>IF(ISBLANK(JP!Y512),"","x")</f>
        <v/>
      </c>
      <c r="Z508" t="str">
        <f>IF(ISBLANK(JP!Z512),"","x")</f>
        <v/>
      </c>
      <c r="AA508" t="str">
        <f>IF(ISBLANK(JP!AB512),"","x")</f>
        <v/>
      </c>
      <c r="AB508" t="str">
        <f>IF(ISBLANK(JP!AC512),"","x")</f>
        <v/>
      </c>
      <c r="AC508" t="str">
        <f>IF(ISBLANK(JP!AD512),"","x")</f>
        <v/>
      </c>
      <c r="AD508" t="str">
        <f>IF(ISBLANK(JP!AE512),"","x")</f>
        <v/>
      </c>
      <c r="AE508" t="str">
        <f>IF(ISBLANK(JP!AF512),"","x")</f>
        <v/>
      </c>
      <c r="AF508" t="str">
        <f>IF(ISBLANK(JP!AG512),"","x")</f>
        <v/>
      </c>
      <c r="AG508" t="str">
        <f>IF(ISBLANK(JP!AH512),"","x")</f>
        <v/>
      </c>
      <c r="AH508" t="str">
        <f>IF(ISBLANK(JP!AJ512),"","x")</f>
        <v/>
      </c>
      <c r="AI508" t="str">
        <f>IF(ISBLANK(JP!AK512),"","x")</f>
        <v/>
      </c>
      <c r="AJ508" t="str">
        <f>IF(ISBLANK(JP!AL512),"","x")</f>
        <v/>
      </c>
      <c r="AK508" t="str">
        <f>IF(ISBLANK(JP!AM512),"","x")</f>
        <v/>
      </c>
      <c r="AL508" t="str">
        <f>IF(ISBLANK(JP!AN512),"","x")</f>
        <v/>
      </c>
      <c r="AM508" t="str">
        <f>IF(ISBLANK(JP!AO512),"","x")</f>
        <v/>
      </c>
      <c r="AN508" t="str">
        <f>IF(ISBLANK(JP!AP512),"","x")</f>
        <v/>
      </c>
      <c r="AO508" t="str">
        <f>IF(ISBLANK(JP!AR512),"","x")</f>
        <v/>
      </c>
      <c r="AP508" t="str">
        <f>IF(ISBLANK(JP!AS512),"","x")</f>
        <v/>
      </c>
      <c r="AQ508" t="str">
        <f>IF(ISBLANK(JP!AT512),"","x")</f>
        <v/>
      </c>
      <c r="AR508" t="str">
        <f>IF(ISBLANK(JP!AU512),"","x")</f>
        <v/>
      </c>
      <c r="AS508" t="str">
        <f>IF(ISBLANK(JP!AV512),"","x")</f>
        <v/>
      </c>
      <c r="AT508" t="str">
        <f>IF(ISBLANK(JP!AW512),"","x")</f>
        <v/>
      </c>
      <c r="AU508" t="str">
        <f>IF(ISBLANK(JP!AX512),"","x")</f>
        <v/>
      </c>
    </row>
    <row r="509" spans="2:47">
      <c r="B509" t="str">
        <f>IF(ISBLANK(JP!AZ513),"",JP!AZ513)</f>
        <v/>
      </c>
      <c r="C509" t="str">
        <f>IF(ISBLANK(JP!BA513),"",JP!BA513)</f>
        <v/>
      </c>
      <c r="D509" t="str">
        <f>IF(ISBLANK(JP!BC513),"",JP!BC513)</f>
        <v/>
      </c>
      <c r="E509" t="str">
        <f>IF(ISBLANK(JP!BB513),"",JP!BB513)</f>
        <v/>
      </c>
      <c r="F509" t="str">
        <f>IF(ISBLANK(JP!D513),"","x")</f>
        <v/>
      </c>
      <c r="G509" t="str">
        <f>IF(ISBLANK(JP!E513),"","x")</f>
        <v/>
      </c>
      <c r="H509" t="str">
        <f>IF(ISBLANK(JP!F513),"","x")</f>
        <v/>
      </c>
      <c r="I509" t="str">
        <f>IF(ISBLANK(JP!G513),"","x")</f>
        <v/>
      </c>
      <c r="J509" t="str">
        <f>IF(ISBLANK(JP!H513),"","x")</f>
        <v/>
      </c>
      <c r="K509" t="str">
        <f>IF(ISBLANK(JP!I513),"","x")</f>
        <v/>
      </c>
      <c r="L509" t="str">
        <f>IF(ISBLANK(JP!J513),"","x")</f>
        <v/>
      </c>
      <c r="M509" t="str">
        <f>IF(ISBLANK(JP!L513),"","x")</f>
        <v/>
      </c>
      <c r="N509" t="str">
        <f>IF(ISBLANK(JP!M513),"","x")</f>
        <v/>
      </c>
      <c r="O509" t="str">
        <f>IF(ISBLANK(JP!N513),"","x")</f>
        <v/>
      </c>
      <c r="P509" t="str">
        <f>IF(ISBLANK(JP!O513),"","x")</f>
        <v/>
      </c>
      <c r="Q509" t="str">
        <f>IF(ISBLANK(JP!P513),"","x")</f>
        <v/>
      </c>
      <c r="R509" t="str">
        <f>IF(ISBLANK(JP!Q513),"","x")</f>
        <v/>
      </c>
      <c r="S509" t="str">
        <f>IF(ISBLANK(JP!R513),"","x")</f>
        <v/>
      </c>
      <c r="T509" t="str">
        <f>IF(ISBLANK(JP!T513),"","x")</f>
        <v/>
      </c>
      <c r="U509" t="str">
        <f>IF(ISBLANK(JP!U513),"","x")</f>
        <v/>
      </c>
      <c r="V509" t="str">
        <f>IF(ISBLANK(JP!V513),"","x")</f>
        <v/>
      </c>
      <c r="W509" t="str">
        <f>IF(ISBLANK(JP!W513),"","x")</f>
        <v/>
      </c>
      <c r="X509" t="str">
        <f>IF(ISBLANK(JP!X513),"","x")</f>
        <v/>
      </c>
      <c r="Y509" t="str">
        <f>IF(ISBLANK(JP!Y513),"","x")</f>
        <v/>
      </c>
      <c r="Z509" t="str">
        <f>IF(ISBLANK(JP!Z513),"","x")</f>
        <v/>
      </c>
      <c r="AA509" t="str">
        <f>IF(ISBLANK(JP!AB513),"","x")</f>
        <v/>
      </c>
      <c r="AB509" t="str">
        <f>IF(ISBLANK(JP!AC513),"","x")</f>
        <v/>
      </c>
      <c r="AC509" t="str">
        <f>IF(ISBLANK(JP!AD513),"","x")</f>
        <v/>
      </c>
      <c r="AD509" t="str">
        <f>IF(ISBLANK(JP!AE513),"","x")</f>
        <v/>
      </c>
      <c r="AE509" t="str">
        <f>IF(ISBLANK(JP!AF513),"","x")</f>
        <v/>
      </c>
      <c r="AF509" t="str">
        <f>IF(ISBLANK(JP!AG513),"","x")</f>
        <v/>
      </c>
      <c r="AG509" t="str">
        <f>IF(ISBLANK(JP!AH513),"","x")</f>
        <v/>
      </c>
      <c r="AH509" t="str">
        <f>IF(ISBLANK(JP!AJ513),"","x")</f>
        <v/>
      </c>
      <c r="AI509" t="str">
        <f>IF(ISBLANK(JP!AK513),"","x")</f>
        <v/>
      </c>
      <c r="AJ509" t="str">
        <f>IF(ISBLANK(JP!AL513),"","x")</f>
        <v/>
      </c>
      <c r="AK509" t="str">
        <f>IF(ISBLANK(JP!AM513),"","x")</f>
        <v/>
      </c>
      <c r="AL509" t="str">
        <f>IF(ISBLANK(JP!AN513),"","x")</f>
        <v/>
      </c>
      <c r="AM509" t="str">
        <f>IF(ISBLANK(JP!AO513),"","x")</f>
        <v/>
      </c>
      <c r="AN509" t="str">
        <f>IF(ISBLANK(JP!AP513),"","x")</f>
        <v/>
      </c>
      <c r="AO509" t="str">
        <f>IF(ISBLANK(JP!AR513),"","x")</f>
        <v/>
      </c>
      <c r="AP509" t="str">
        <f>IF(ISBLANK(JP!AS513),"","x")</f>
        <v/>
      </c>
      <c r="AQ509" t="str">
        <f>IF(ISBLANK(JP!AT513),"","x")</f>
        <v/>
      </c>
      <c r="AR509" t="str">
        <f>IF(ISBLANK(JP!AU513),"","x")</f>
        <v/>
      </c>
      <c r="AS509" t="str">
        <f>IF(ISBLANK(JP!AV513),"","x")</f>
        <v/>
      </c>
      <c r="AT509" t="str">
        <f>IF(ISBLANK(JP!AW513),"","x")</f>
        <v/>
      </c>
      <c r="AU509" t="str">
        <f>IF(ISBLANK(JP!AX513),"","x")</f>
        <v/>
      </c>
    </row>
    <row r="510" spans="2:47">
      <c r="B510" t="str">
        <f>IF(ISBLANK(JP!AZ514),"",JP!AZ514)</f>
        <v/>
      </c>
      <c r="C510" t="str">
        <f>IF(ISBLANK(JP!BA514),"",JP!BA514)</f>
        <v/>
      </c>
      <c r="D510" t="str">
        <f>IF(ISBLANK(JP!BC514),"",JP!BC514)</f>
        <v/>
      </c>
      <c r="E510" t="str">
        <f>IF(ISBLANK(JP!BB514),"",JP!BB514)</f>
        <v/>
      </c>
      <c r="F510" t="str">
        <f>IF(ISBLANK(JP!D514),"","x")</f>
        <v/>
      </c>
      <c r="G510" t="str">
        <f>IF(ISBLANK(JP!E514),"","x")</f>
        <v/>
      </c>
      <c r="H510" t="str">
        <f>IF(ISBLANK(JP!F514),"","x")</f>
        <v/>
      </c>
      <c r="I510" t="str">
        <f>IF(ISBLANK(JP!G514),"","x")</f>
        <v/>
      </c>
      <c r="J510" t="str">
        <f>IF(ISBLANK(JP!H514),"","x")</f>
        <v/>
      </c>
      <c r="K510" t="str">
        <f>IF(ISBLANK(JP!I514),"","x")</f>
        <v/>
      </c>
      <c r="L510" t="str">
        <f>IF(ISBLANK(JP!J514),"","x")</f>
        <v/>
      </c>
      <c r="M510" t="str">
        <f>IF(ISBLANK(JP!L514),"","x")</f>
        <v/>
      </c>
      <c r="N510" t="str">
        <f>IF(ISBLANK(JP!M514),"","x")</f>
        <v/>
      </c>
      <c r="O510" t="str">
        <f>IF(ISBLANK(JP!N514),"","x")</f>
        <v/>
      </c>
      <c r="P510" t="str">
        <f>IF(ISBLANK(JP!O514),"","x")</f>
        <v/>
      </c>
      <c r="Q510" t="str">
        <f>IF(ISBLANK(JP!P514),"","x")</f>
        <v/>
      </c>
      <c r="R510" t="str">
        <f>IF(ISBLANK(JP!Q514),"","x")</f>
        <v/>
      </c>
      <c r="S510" t="str">
        <f>IF(ISBLANK(JP!R514),"","x")</f>
        <v/>
      </c>
      <c r="T510" t="str">
        <f>IF(ISBLANK(JP!T514),"","x")</f>
        <v/>
      </c>
      <c r="U510" t="str">
        <f>IF(ISBLANK(JP!U514),"","x")</f>
        <v/>
      </c>
      <c r="V510" t="str">
        <f>IF(ISBLANK(JP!V514),"","x")</f>
        <v/>
      </c>
      <c r="W510" t="str">
        <f>IF(ISBLANK(JP!W514),"","x")</f>
        <v/>
      </c>
      <c r="X510" t="str">
        <f>IF(ISBLANK(JP!X514),"","x")</f>
        <v/>
      </c>
      <c r="Y510" t="str">
        <f>IF(ISBLANK(JP!Y514),"","x")</f>
        <v/>
      </c>
      <c r="Z510" t="str">
        <f>IF(ISBLANK(JP!Z514),"","x")</f>
        <v/>
      </c>
      <c r="AA510" t="str">
        <f>IF(ISBLANK(JP!AB514),"","x")</f>
        <v/>
      </c>
      <c r="AB510" t="str">
        <f>IF(ISBLANK(JP!AC514),"","x")</f>
        <v/>
      </c>
      <c r="AC510" t="str">
        <f>IF(ISBLANK(JP!AD514),"","x")</f>
        <v/>
      </c>
      <c r="AD510" t="str">
        <f>IF(ISBLANK(JP!AE514),"","x")</f>
        <v/>
      </c>
      <c r="AE510" t="str">
        <f>IF(ISBLANK(JP!AF514),"","x")</f>
        <v/>
      </c>
      <c r="AF510" t="str">
        <f>IF(ISBLANK(JP!AG514),"","x")</f>
        <v/>
      </c>
      <c r="AG510" t="str">
        <f>IF(ISBLANK(JP!AH514),"","x")</f>
        <v/>
      </c>
      <c r="AH510" t="str">
        <f>IF(ISBLANK(JP!AJ514),"","x")</f>
        <v/>
      </c>
      <c r="AI510" t="str">
        <f>IF(ISBLANK(JP!AK514),"","x")</f>
        <v/>
      </c>
      <c r="AJ510" t="str">
        <f>IF(ISBLANK(JP!AL514),"","x")</f>
        <v/>
      </c>
      <c r="AK510" t="str">
        <f>IF(ISBLANK(JP!AM514),"","x")</f>
        <v/>
      </c>
      <c r="AL510" t="str">
        <f>IF(ISBLANK(JP!AN514),"","x")</f>
        <v/>
      </c>
      <c r="AM510" t="str">
        <f>IF(ISBLANK(JP!AO514),"","x")</f>
        <v/>
      </c>
      <c r="AN510" t="str">
        <f>IF(ISBLANK(JP!AP514),"","x")</f>
        <v/>
      </c>
      <c r="AO510" t="str">
        <f>IF(ISBLANK(JP!AR514),"","x")</f>
        <v/>
      </c>
      <c r="AP510" t="str">
        <f>IF(ISBLANK(JP!AS514),"","x")</f>
        <v/>
      </c>
      <c r="AQ510" t="str">
        <f>IF(ISBLANK(JP!AT514),"","x")</f>
        <v/>
      </c>
      <c r="AR510" t="str">
        <f>IF(ISBLANK(JP!AU514),"","x")</f>
        <v/>
      </c>
      <c r="AS510" t="str">
        <f>IF(ISBLANK(JP!AV514),"","x")</f>
        <v/>
      </c>
      <c r="AT510" t="str">
        <f>IF(ISBLANK(JP!AW514),"","x")</f>
        <v/>
      </c>
      <c r="AU510" t="str">
        <f>IF(ISBLANK(JP!AX514),"","x")</f>
        <v/>
      </c>
    </row>
    <row r="511" spans="2:47">
      <c r="B511" t="str">
        <f>IF(ISBLANK(JP!AZ515),"",JP!AZ515)</f>
        <v/>
      </c>
      <c r="C511" t="str">
        <f>IF(ISBLANK(JP!BA515),"",JP!BA515)</f>
        <v/>
      </c>
      <c r="D511" t="str">
        <f>IF(ISBLANK(JP!BC515),"",JP!BC515)</f>
        <v/>
      </c>
      <c r="E511" t="str">
        <f>IF(ISBLANK(JP!BB515),"",JP!BB515)</f>
        <v/>
      </c>
      <c r="F511" t="str">
        <f>IF(ISBLANK(JP!D515),"","x")</f>
        <v/>
      </c>
      <c r="G511" t="str">
        <f>IF(ISBLANK(JP!E515),"","x")</f>
        <v/>
      </c>
      <c r="H511" t="str">
        <f>IF(ISBLANK(JP!F515),"","x")</f>
        <v/>
      </c>
      <c r="I511" t="str">
        <f>IF(ISBLANK(JP!G515),"","x")</f>
        <v/>
      </c>
      <c r="J511" t="str">
        <f>IF(ISBLANK(JP!H515),"","x")</f>
        <v/>
      </c>
      <c r="K511" t="str">
        <f>IF(ISBLANK(JP!I515),"","x")</f>
        <v/>
      </c>
      <c r="L511" t="str">
        <f>IF(ISBLANK(JP!J515),"","x")</f>
        <v/>
      </c>
      <c r="M511" t="str">
        <f>IF(ISBLANK(JP!L515),"","x")</f>
        <v/>
      </c>
      <c r="N511" t="str">
        <f>IF(ISBLANK(JP!M515),"","x")</f>
        <v/>
      </c>
      <c r="O511" t="str">
        <f>IF(ISBLANK(JP!N515),"","x")</f>
        <v/>
      </c>
      <c r="P511" t="str">
        <f>IF(ISBLANK(JP!O515),"","x")</f>
        <v/>
      </c>
      <c r="Q511" t="str">
        <f>IF(ISBLANK(JP!P515),"","x")</f>
        <v/>
      </c>
      <c r="R511" t="str">
        <f>IF(ISBLANK(JP!Q515),"","x")</f>
        <v/>
      </c>
      <c r="S511" t="str">
        <f>IF(ISBLANK(JP!R515),"","x")</f>
        <v/>
      </c>
      <c r="T511" t="str">
        <f>IF(ISBLANK(JP!T515),"","x")</f>
        <v/>
      </c>
      <c r="U511" t="str">
        <f>IF(ISBLANK(JP!U515),"","x")</f>
        <v/>
      </c>
      <c r="V511" t="str">
        <f>IF(ISBLANK(JP!V515),"","x")</f>
        <v/>
      </c>
      <c r="W511" t="str">
        <f>IF(ISBLANK(JP!W515),"","x")</f>
        <v/>
      </c>
      <c r="X511" t="str">
        <f>IF(ISBLANK(JP!X515),"","x")</f>
        <v/>
      </c>
      <c r="Y511" t="str">
        <f>IF(ISBLANK(JP!Y515),"","x")</f>
        <v/>
      </c>
      <c r="Z511" t="str">
        <f>IF(ISBLANK(JP!Z515),"","x")</f>
        <v/>
      </c>
      <c r="AA511" t="str">
        <f>IF(ISBLANK(JP!AB515),"","x")</f>
        <v/>
      </c>
      <c r="AB511" t="str">
        <f>IF(ISBLANK(JP!AC515),"","x")</f>
        <v/>
      </c>
      <c r="AC511" t="str">
        <f>IF(ISBLANK(JP!AD515),"","x")</f>
        <v/>
      </c>
      <c r="AD511" t="str">
        <f>IF(ISBLANK(JP!AE515),"","x")</f>
        <v/>
      </c>
      <c r="AE511" t="str">
        <f>IF(ISBLANK(JP!AF515),"","x")</f>
        <v/>
      </c>
      <c r="AF511" t="str">
        <f>IF(ISBLANK(JP!AG515),"","x")</f>
        <v/>
      </c>
      <c r="AG511" t="str">
        <f>IF(ISBLANK(JP!AH515),"","x")</f>
        <v/>
      </c>
      <c r="AH511" t="str">
        <f>IF(ISBLANK(JP!AJ515),"","x")</f>
        <v/>
      </c>
      <c r="AI511" t="str">
        <f>IF(ISBLANK(JP!AK515),"","x")</f>
        <v/>
      </c>
      <c r="AJ511" t="str">
        <f>IF(ISBLANK(JP!AL515),"","x")</f>
        <v/>
      </c>
      <c r="AK511" t="str">
        <f>IF(ISBLANK(JP!AM515),"","x")</f>
        <v/>
      </c>
      <c r="AL511" t="str">
        <f>IF(ISBLANK(JP!AN515),"","x")</f>
        <v/>
      </c>
      <c r="AM511" t="str">
        <f>IF(ISBLANK(JP!AO515),"","x")</f>
        <v/>
      </c>
      <c r="AN511" t="str">
        <f>IF(ISBLANK(JP!AP515),"","x")</f>
        <v/>
      </c>
      <c r="AO511" t="str">
        <f>IF(ISBLANK(JP!AR515),"","x")</f>
        <v/>
      </c>
      <c r="AP511" t="str">
        <f>IF(ISBLANK(JP!AS515),"","x")</f>
        <v/>
      </c>
      <c r="AQ511" t="str">
        <f>IF(ISBLANK(JP!AT515),"","x")</f>
        <v/>
      </c>
      <c r="AR511" t="str">
        <f>IF(ISBLANK(JP!AU515),"","x")</f>
        <v/>
      </c>
      <c r="AS511" t="str">
        <f>IF(ISBLANK(JP!AV515),"","x")</f>
        <v/>
      </c>
      <c r="AT511" t="str">
        <f>IF(ISBLANK(JP!AW515),"","x")</f>
        <v/>
      </c>
      <c r="AU511" t="str">
        <f>IF(ISBLANK(JP!AX515),"","x")</f>
        <v/>
      </c>
    </row>
    <row r="512" spans="2:47">
      <c r="B512" t="str">
        <f>IF(ISBLANK(JP!AZ516),"",JP!AZ516)</f>
        <v/>
      </c>
      <c r="C512" t="str">
        <f>IF(ISBLANK(JP!BA516),"",JP!BA516)</f>
        <v/>
      </c>
      <c r="D512" t="str">
        <f>IF(ISBLANK(JP!BC516),"",JP!BC516)</f>
        <v/>
      </c>
      <c r="E512" t="str">
        <f>IF(ISBLANK(JP!BB516),"",JP!BB516)</f>
        <v/>
      </c>
      <c r="F512" t="str">
        <f>IF(ISBLANK(JP!D516),"","x")</f>
        <v/>
      </c>
      <c r="G512" t="str">
        <f>IF(ISBLANK(JP!E516),"","x")</f>
        <v/>
      </c>
      <c r="H512" t="str">
        <f>IF(ISBLANK(JP!F516),"","x")</f>
        <v/>
      </c>
      <c r="I512" t="str">
        <f>IF(ISBLANK(JP!G516),"","x")</f>
        <v/>
      </c>
      <c r="J512" t="str">
        <f>IF(ISBLANK(JP!H516),"","x")</f>
        <v/>
      </c>
      <c r="K512" t="str">
        <f>IF(ISBLANK(JP!I516),"","x")</f>
        <v/>
      </c>
      <c r="L512" t="str">
        <f>IF(ISBLANK(JP!J516),"","x")</f>
        <v/>
      </c>
      <c r="M512" t="str">
        <f>IF(ISBLANK(JP!L516),"","x")</f>
        <v/>
      </c>
      <c r="N512" t="str">
        <f>IF(ISBLANK(JP!M516),"","x")</f>
        <v/>
      </c>
      <c r="O512" t="str">
        <f>IF(ISBLANK(JP!N516),"","x")</f>
        <v/>
      </c>
      <c r="P512" t="str">
        <f>IF(ISBLANK(JP!O516),"","x")</f>
        <v/>
      </c>
      <c r="Q512" t="str">
        <f>IF(ISBLANK(JP!P516),"","x")</f>
        <v/>
      </c>
      <c r="R512" t="str">
        <f>IF(ISBLANK(JP!Q516),"","x")</f>
        <v/>
      </c>
      <c r="S512" t="str">
        <f>IF(ISBLANK(JP!R516),"","x")</f>
        <v/>
      </c>
      <c r="T512" t="str">
        <f>IF(ISBLANK(JP!T516),"","x")</f>
        <v/>
      </c>
      <c r="U512" t="str">
        <f>IF(ISBLANK(JP!U516),"","x")</f>
        <v/>
      </c>
      <c r="V512" t="str">
        <f>IF(ISBLANK(JP!V516),"","x")</f>
        <v/>
      </c>
      <c r="W512" t="str">
        <f>IF(ISBLANK(JP!W516),"","x")</f>
        <v/>
      </c>
      <c r="X512" t="str">
        <f>IF(ISBLANK(JP!X516),"","x")</f>
        <v/>
      </c>
      <c r="Y512" t="str">
        <f>IF(ISBLANK(JP!Y516),"","x")</f>
        <v/>
      </c>
      <c r="Z512" t="str">
        <f>IF(ISBLANK(JP!Z516),"","x")</f>
        <v/>
      </c>
      <c r="AA512" t="str">
        <f>IF(ISBLANK(JP!AB516),"","x")</f>
        <v/>
      </c>
      <c r="AB512" t="str">
        <f>IF(ISBLANK(JP!AC516),"","x")</f>
        <v/>
      </c>
      <c r="AC512" t="str">
        <f>IF(ISBLANK(JP!AD516),"","x")</f>
        <v/>
      </c>
      <c r="AD512" t="str">
        <f>IF(ISBLANK(JP!AE516),"","x")</f>
        <v/>
      </c>
      <c r="AE512" t="str">
        <f>IF(ISBLANK(JP!AF516),"","x")</f>
        <v/>
      </c>
      <c r="AF512" t="str">
        <f>IF(ISBLANK(JP!AG516),"","x")</f>
        <v/>
      </c>
      <c r="AG512" t="str">
        <f>IF(ISBLANK(JP!AH516),"","x")</f>
        <v/>
      </c>
      <c r="AH512" t="str">
        <f>IF(ISBLANK(JP!AJ516),"","x")</f>
        <v/>
      </c>
      <c r="AI512" t="str">
        <f>IF(ISBLANK(JP!AK516),"","x")</f>
        <v/>
      </c>
      <c r="AJ512" t="str">
        <f>IF(ISBLANK(JP!AL516),"","x")</f>
        <v/>
      </c>
      <c r="AK512" t="str">
        <f>IF(ISBLANK(JP!AM516),"","x")</f>
        <v/>
      </c>
      <c r="AL512" t="str">
        <f>IF(ISBLANK(JP!AN516),"","x")</f>
        <v/>
      </c>
      <c r="AM512" t="str">
        <f>IF(ISBLANK(JP!AO516),"","x")</f>
        <v/>
      </c>
      <c r="AN512" t="str">
        <f>IF(ISBLANK(JP!AP516),"","x")</f>
        <v/>
      </c>
      <c r="AO512" t="str">
        <f>IF(ISBLANK(JP!AR516),"","x")</f>
        <v/>
      </c>
      <c r="AP512" t="str">
        <f>IF(ISBLANK(JP!AS516),"","x")</f>
        <v/>
      </c>
      <c r="AQ512" t="str">
        <f>IF(ISBLANK(JP!AT516),"","x")</f>
        <v/>
      </c>
      <c r="AR512" t="str">
        <f>IF(ISBLANK(JP!AU516),"","x")</f>
        <v/>
      </c>
      <c r="AS512" t="str">
        <f>IF(ISBLANK(JP!AV516),"","x")</f>
        <v/>
      </c>
      <c r="AT512" t="str">
        <f>IF(ISBLANK(JP!AW516),"","x")</f>
        <v/>
      </c>
      <c r="AU512" t="str">
        <f>IF(ISBLANK(JP!AX516),"","x")</f>
        <v/>
      </c>
    </row>
    <row r="513" spans="2:47">
      <c r="B513" t="str">
        <f>IF(ISBLANK(JP!AZ517),"",JP!AZ517)</f>
        <v/>
      </c>
      <c r="C513" t="str">
        <f>IF(ISBLANK(JP!BA517),"",JP!BA517)</f>
        <v/>
      </c>
      <c r="D513" t="str">
        <f>IF(ISBLANK(JP!BC517),"",JP!BC517)</f>
        <v/>
      </c>
      <c r="E513" t="str">
        <f>IF(ISBLANK(JP!BB517),"",JP!BB517)</f>
        <v/>
      </c>
      <c r="F513" t="str">
        <f>IF(ISBLANK(JP!D517),"","x")</f>
        <v/>
      </c>
      <c r="G513" t="str">
        <f>IF(ISBLANK(JP!E517),"","x")</f>
        <v/>
      </c>
      <c r="H513" t="str">
        <f>IF(ISBLANK(JP!F517),"","x")</f>
        <v/>
      </c>
      <c r="I513" t="str">
        <f>IF(ISBLANK(JP!G517),"","x")</f>
        <v/>
      </c>
      <c r="J513" t="str">
        <f>IF(ISBLANK(JP!H517),"","x")</f>
        <v/>
      </c>
      <c r="K513" t="str">
        <f>IF(ISBLANK(JP!I517),"","x")</f>
        <v/>
      </c>
      <c r="L513" t="str">
        <f>IF(ISBLANK(JP!J517),"","x")</f>
        <v/>
      </c>
      <c r="M513" t="str">
        <f>IF(ISBLANK(JP!L517),"","x")</f>
        <v/>
      </c>
      <c r="N513" t="str">
        <f>IF(ISBLANK(JP!M517),"","x")</f>
        <v/>
      </c>
      <c r="O513" t="str">
        <f>IF(ISBLANK(JP!N517),"","x")</f>
        <v/>
      </c>
      <c r="P513" t="str">
        <f>IF(ISBLANK(JP!O517),"","x")</f>
        <v/>
      </c>
      <c r="Q513" t="str">
        <f>IF(ISBLANK(JP!P517),"","x")</f>
        <v/>
      </c>
      <c r="R513" t="str">
        <f>IF(ISBLANK(JP!Q517),"","x")</f>
        <v/>
      </c>
      <c r="S513" t="str">
        <f>IF(ISBLANK(JP!R517),"","x")</f>
        <v/>
      </c>
      <c r="T513" t="str">
        <f>IF(ISBLANK(JP!T517),"","x")</f>
        <v/>
      </c>
      <c r="U513" t="str">
        <f>IF(ISBLANK(JP!U517),"","x")</f>
        <v/>
      </c>
      <c r="V513" t="str">
        <f>IF(ISBLANK(JP!V517),"","x")</f>
        <v/>
      </c>
      <c r="W513" t="str">
        <f>IF(ISBLANK(JP!W517),"","x")</f>
        <v/>
      </c>
      <c r="X513" t="str">
        <f>IF(ISBLANK(JP!X517),"","x")</f>
        <v/>
      </c>
      <c r="Y513" t="str">
        <f>IF(ISBLANK(JP!Y517),"","x")</f>
        <v/>
      </c>
      <c r="Z513" t="str">
        <f>IF(ISBLANK(JP!Z517),"","x")</f>
        <v/>
      </c>
      <c r="AA513" t="str">
        <f>IF(ISBLANK(JP!AB517),"","x")</f>
        <v/>
      </c>
      <c r="AB513" t="str">
        <f>IF(ISBLANK(JP!AC517),"","x")</f>
        <v/>
      </c>
      <c r="AC513" t="str">
        <f>IF(ISBLANK(JP!AD517),"","x")</f>
        <v/>
      </c>
      <c r="AD513" t="str">
        <f>IF(ISBLANK(JP!AE517),"","x")</f>
        <v/>
      </c>
      <c r="AE513" t="str">
        <f>IF(ISBLANK(JP!AF517),"","x")</f>
        <v/>
      </c>
      <c r="AF513" t="str">
        <f>IF(ISBLANK(JP!AG517),"","x")</f>
        <v/>
      </c>
      <c r="AG513" t="str">
        <f>IF(ISBLANK(JP!AH517),"","x")</f>
        <v/>
      </c>
      <c r="AH513" t="str">
        <f>IF(ISBLANK(JP!AJ517),"","x")</f>
        <v/>
      </c>
      <c r="AI513" t="str">
        <f>IF(ISBLANK(JP!AK517),"","x")</f>
        <v/>
      </c>
      <c r="AJ513" t="str">
        <f>IF(ISBLANK(JP!AL517),"","x")</f>
        <v/>
      </c>
      <c r="AK513" t="str">
        <f>IF(ISBLANK(JP!AM517),"","x")</f>
        <v/>
      </c>
      <c r="AL513" t="str">
        <f>IF(ISBLANK(JP!AN517),"","x")</f>
        <v/>
      </c>
      <c r="AM513" t="str">
        <f>IF(ISBLANK(JP!AO517),"","x")</f>
        <v/>
      </c>
      <c r="AN513" t="str">
        <f>IF(ISBLANK(JP!AP517),"","x")</f>
        <v/>
      </c>
      <c r="AO513" t="str">
        <f>IF(ISBLANK(JP!AR517),"","x")</f>
        <v/>
      </c>
      <c r="AP513" t="str">
        <f>IF(ISBLANK(JP!AS517),"","x")</f>
        <v/>
      </c>
      <c r="AQ513" t="str">
        <f>IF(ISBLANK(JP!AT517),"","x")</f>
        <v/>
      </c>
      <c r="AR513" t="str">
        <f>IF(ISBLANK(JP!AU517),"","x")</f>
        <v/>
      </c>
      <c r="AS513" t="str">
        <f>IF(ISBLANK(JP!AV517),"","x")</f>
        <v/>
      </c>
      <c r="AT513" t="str">
        <f>IF(ISBLANK(JP!AW517),"","x")</f>
        <v/>
      </c>
      <c r="AU513" t="str">
        <f>IF(ISBLANK(JP!AX517),"","x")</f>
        <v/>
      </c>
    </row>
    <row r="514" spans="2:47">
      <c r="B514" t="str">
        <f>IF(ISBLANK(JP!AZ518),"",JP!AZ518)</f>
        <v/>
      </c>
      <c r="C514" t="str">
        <f>IF(ISBLANK(JP!BA518),"",JP!BA518)</f>
        <v/>
      </c>
      <c r="D514" t="str">
        <f>IF(ISBLANK(JP!BC518),"",JP!BC518)</f>
        <v/>
      </c>
      <c r="E514" t="str">
        <f>IF(ISBLANK(JP!BB518),"",JP!BB518)</f>
        <v/>
      </c>
      <c r="F514" t="str">
        <f>IF(ISBLANK(JP!D518),"","x")</f>
        <v/>
      </c>
      <c r="G514" t="str">
        <f>IF(ISBLANK(JP!E518),"","x")</f>
        <v/>
      </c>
      <c r="H514" t="str">
        <f>IF(ISBLANK(JP!F518),"","x")</f>
        <v/>
      </c>
      <c r="I514" t="str">
        <f>IF(ISBLANK(JP!G518),"","x")</f>
        <v/>
      </c>
      <c r="J514" t="str">
        <f>IF(ISBLANK(JP!H518),"","x")</f>
        <v/>
      </c>
      <c r="K514" t="str">
        <f>IF(ISBLANK(JP!I518),"","x")</f>
        <v/>
      </c>
      <c r="L514" t="str">
        <f>IF(ISBLANK(JP!J518),"","x")</f>
        <v/>
      </c>
      <c r="M514" t="str">
        <f>IF(ISBLANK(JP!L518),"","x")</f>
        <v/>
      </c>
      <c r="N514" t="str">
        <f>IF(ISBLANK(JP!M518),"","x")</f>
        <v/>
      </c>
      <c r="O514" t="str">
        <f>IF(ISBLANK(JP!N518),"","x")</f>
        <v/>
      </c>
      <c r="P514" t="str">
        <f>IF(ISBLANK(JP!O518),"","x")</f>
        <v/>
      </c>
      <c r="Q514" t="str">
        <f>IF(ISBLANK(JP!P518),"","x")</f>
        <v/>
      </c>
      <c r="R514" t="str">
        <f>IF(ISBLANK(JP!Q518),"","x")</f>
        <v/>
      </c>
      <c r="S514" t="str">
        <f>IF(ISBLANK(JP!R518),"","x")</f>
        <v/>
      </c>
      <c r="T514" t="str">
        <f>IF(ISBLANK(JP!T518),"","x")</f>
        <v/>
      </c>
      <c r="U514" t="str">
        <f>IF(ISBLANK(JP!U518),"","x")</f>
        <v/>
      </c>
      <c r="V514" t="str">
        <f>IF(ISBLANK(JP!V518),"","x")</f>
        <v/>
      </c>
      <c r="W514" t="str">
        <f>IF(ISBLANK(JP!W518),"","x")</f>
        <v/>
      </c>
      <c r="X514" t="str">
        <f>IF(ISBLANK(JP!X518),"","x")</f>
        <v/>
      </c>
      <c r="Y514" t="str">
        <f>IF(ISBLANK(JP!Y518),"","x")</f>
        <v/>
      </c>
      <c r="Z514" t="str">
        <f>IF(ISBLANK(JP!Z518),"","x")</f>
        <v/>
      </c>
      <c r="AA514" t="str">
        <f>IF(ISBLANK(JP!AB518),"","x")</f>
        <v/>
      </c>
      <c r="AB514" t="str">
        <f>IF(ISBLANK(JP!AC518),"","x")</f>
        <v/>
      </c>
      <c r="AC514" t="str">
        <f>IF(ISBLANK(JP!AD518),"","x")</f>
        <v/>
      </c>
      <c r="AD514" t="str">
        <f>IF(ISBLANK(JP!AE518),"","x")</f>
        <v/>
      </c>
      <c r="AE514" t="str">
        <f>IF(ISBLANK(JP!AF518),"","x")</f>
        <v/>
      </c>
      <c r="AF514" t="str">
        <f>IF(ISBLANK(JP!AG518),"","x")</f>
        <v/>
      </c>
      <c r="AG514" t="str">
        <f>IF(ISBLANK(JP!AH518),"","x")</f>
        <v/>
      </c>
      <c r="AH514" t="str">
        <f>IF(ISBLANK(JP!AJ518),"","x")</f>
        <v/>
      </c>
      <c r="AI514" t="str">
        <f>IF(ISBLANK(JP!AK518),"","x")</f>
        <v/>
      </c>
      <c r="AJ514" t="str">
        <f>IF(ISBLANK(JP!AL518),"","x")</f>
        <v/>
      </c>
      <c r="AK514" t="str">
        <f>IF(ISBLANK(JP!AM518),"","x")</f>
        <v/>
      </c>
      <c r="AL514" t="str">
        <f>IF(ISBLANK(JP!AN518),"","x")</f>
        <v/>
      </c>
      <c r="AM514" t="str">
        <f>IF(ISBLANK(JP!AO518),"","x")</f>
        <v/>
      </c>
      <c r="AN514" t="str">
        <f>IF(ISBLANK(JP!AP518),"","x")</f>
        <v/>
      </c>
      <c r="AO514" t="str">
        <f>IF(ISBLANK(JP!AR518),"","x")</f>
        <v/>
      </c>
      <c r="AP514" t="str">
        <f>IF(ISBLANK(JP!AS518),"","x")</f>
        <v/>
      </c>
      <c r="AQ514" t="str">
        <f>IF(ISBLANK(JP!AT518),"","x")</f>
        <v/>
      </c>
      <c r="AR514" t="str">
        <f>IF(ISBLANK(JP!AU518),"","x")</f>
        <v/>
      </c>
      <c r="AS514" t="str">
        <f>IF(ISBLANK(JP!AV518),"","x")</f>
        <v/>
      </c>
      <c r="AT514" t="str">
        <f>IF(ISBLANK(JP!AW518),"","x")</f>
        <v/>
      </c>
      <c r="AU514" t="str">
        <f>IF(ISBLANK(JP!AX518),"","x")</f>
        <v/>
      </c>
    </row>
    <row r="515" spans="2:47">
      <c r="B515" t="str">
        <f>IF(ISBLANK(JP!AZ519),"",JP!AZ519)</f>
        <v/>
      </c>
      <c r="C515" t="str">
        <f>IF(ISBLANK(JP!BA519),"",JP!BA519)</f>
        <v/>
      </c>
      <c r="D515" t="str">
        <f>IF(ISBLANK(JP!BC519),"",JP!BC519)</f>
        <v/>
      </c>
      <c r="E515" t="str">
        <f>IF(ISBLANK(JP!BB519),"",JP!BB519)</f>
        <v/>
      </c>
      <c r="F515" t="str">
        <f>IF(ISBLANK(JP!D519),"","x")</f>
        <v/>
      </c>
      <c r="G515" t="str">
        <f>IF(ISBLANK(JP!E519),"","x")</f>
        <v/>
      </c>
      <c r="H515" t="str">
        <f>IF(ISBLANK(JP!F519),"","x")</f>
        <v/>
      </c>
      <c r="I515" t="str">
        <f>IF(ISBLANK(JP!G519),"","x")</f>
        <v/>
      </c>
      <c r="J515" t="str">
        <f>IF(ISBLANK(JP!H519),"","x")</f>
        <v/>
      </c>
      <c r="K515" t="str">
        <f>IF(ISBLANK(JP!I519),"","x")</f>
        <v/>
      </c>
      <c r="L515" t="str">
        <f>IF(ISBLANK(JP!J519),"","x")</f>
        <v/>
      </c>
      <c r="M515" t="str">
        <f>IF(ISBLANK(JP!L519),"","x")</f>
        <v/>
      </c>
      <c r="N515" t="str">
        <f>IF(ISBLANK(JP!M519),"","x")</f>
        <v/>
      </c>
      <c r="O515" t="str">
        <f>IF(ISBLANK(JP!N519),"","x")</f>
        <v/>
      </c>
      <c r="P515" t="str">
        <f>IF(ISBLANK(JP!O519),"","x")</f>
        <v/>
      </c>
      <c r="Q515" t="str">
        <f>IF(ISBLANK(JP!P519),"","x")</f>
        <v/>
      </c>
      <c r="R515" t="str">
        <f>IF(ISBLANK(JP!Q519),"","x")</f>
        <v/>
      </c>
      <c r="S515" t="str">
        <f>IF(ISBLANK(JP!R519),"","x")</f>
        <v/>
      </c>
      <c r="T515" t="str">
        <f>IF(ISBLANK(JP!T519),"","x")</f>
        <v/>
      </c>
      <c r="U515" t="str">
        <f>IF(ISBLANK(JP!U519),"","x")</f>
        <v/>
      </c>
      <c r="V515" t="str">
        <f>IF(ISBLANK(JP!V519),"","x")</f>
        <v/>
      </c>
      <c r="W515" t="str">
        <f>IF(ISBLANK(JP!W519),"","x")</f>
        <v/>
      </c>
      <c r="X515" t="str">
        <f>IF(ISBLANK(JP!X519),"","x")</f>
        <v/>
      </c>
      <c r="Y515" t="str">
        <f>IF(ISBLANK(JP!Y519),"","x")</f>
        <v/>
      </c>
      <c r="Z515" t="str">
        <f>IF(ISBLANK(JP!Z519),"","x")</f>
        <v/>
      </c>
      <c r="AA515" t="str">
        <f>IF(ISBLANK(JP!AB519),"","x")</f>
        <v/>
      </c>
      <c r="AB515" t="str">
        <f>IF(ISBLANK(JP!AC519),"","x")</f>
        <v/>
      </c>
      <c r="AC515" t="str">
        <f>IF(ISBLANK(JP!AD519),"","x")</f>
        <v/>
      </c>
      <c r="AD515" t="str">
        <f>IF(ISBLANK(JP!AE519),"","x")</f>
        <v/>
      </c>
      <c r="AE515" t="str">
        <f>IF(ISBLANK(JP!AF519),"","x")</f>
        <v/>
      </c>
      <c r="AF515" t="str">
        <f>IF(ISBLANK(JP!AG519),"","x")</f>
        <v/>
      </c>
      <c r="AG515" t="str">
        <f>IF(ISBLANK(JP!AH519),"","x")</f>
        <v/>
      </c>
      <c r="AH515" t="str">
        <f>IF(ISBLANK(JP!AJ519),"","x")</f>
        <v/>
      </c>
      <c r="AI515" t="str">
        <f>IF(ISBLANK(JP!AK519),"","x")</f>
        <v/>
      </c>
      <c r="AJ515" t="str">
        <f>IF(ISBLANK(JP!AL519),"","x")</f>
        <v/>
      </c>
      <c r="AK515" t="str">
        <f>IF(ISBLANK(JP!AM519),"","x")</f>
        <v/>
      </c>
      <c r="AL515" t="str">
        <f>IF(ISBLANK(JP!AN519),"","x")</f>
        <v/>
      </c>
      <c r="AM515" t="str">
        <f>IF(ISBLANK(JP!AO519),"","x")</f>
        <v/>
      </c>
      <c r="AN515" t="str">
        <f>IF(ISBLANK(JP!AP519),"","x")</f>
        <v/>
      </c>
      <c r="AO515" t="str">
        <f>IF(ISBLANK(JP!AR519),"","x")</f>
        <v/>
      </c>
      <c r="AP515" t="str">
        <f>IF(ISBLANK(JP!AS519),"","x")</f>
        <v/>
      </c>
      <c r="AQ515" t="str">
        <f>IF(ISBLANK(JP!AT519),"","x")</f>
        <v/>
      </c>
      <c r="AR515" t="str">
        <f>IF(ISBLANK(JP!AU519),"","x")</f>
        <v/>
      </c>
      <c r="AS515" t="str">
        <f>IF(ISBLANK(JP!AV519),"","x")</f>
        <v/>
      </c>
      <c r="AT515" t="str">
        <f>IF(ISBLANK(JP!AW519),"","x")</f>
        <v/>
      </c>
      <c r="AU515" t="str">
        <f>IF(ISBLANK(JP!AX519),"","x")</f>
        <v/>
      </c>
    </row>
    <row r="516" spans="2:47">
      <c r="B516" t="str">
        <f>IF(ISBLANK(JP!AZ520),"",JP!AZ520)</f>
        <v/>
      </c>
      <c r="C516" t="str">
        <f>IF(ISBLANK(JP!BA520),"",JP!BA520)</f>
        <v/>
      </c>
      <c r="D516" t="str">
        <f>IF(ISBLANK(JP!BC520),"",JP!BC520)</f>
        <v/>
      </c>
      <c r="E516" t="str">
        <f>IF(ISBLANK(JP!BB520),"",JP!BB520)</f>
        <v/>
      </c>
      <c r="F516" t="str">
        <f>IF(ISBLANK(JP!D520),"","x")</f>
        <v/>
      </c>
      <c r="G516" t="str">
        <f>IF(ISBLANK(JP!E520),"","x")</f>
        <v/>
      </c>
      <c r="H516" t="str">
        <f>IF(ISBLANK(JP!F520),"","x")</f>
        <v/>
      </c>
      <c r="I516" t="str">
        <f>IF(ISBLANK(JP!G520),"","x")</f>
        <v/>
      </c>
      <c r="J516" t="str">
        <f>IF(ISBLANK(JP!H520),"","x")</f>
        <v/>
      </c>
      <c r="K516" t="str">
        <f>IF(ISBLANK(JP!I520),"","x")</f>
        <v/>
      </c>
      <c r="L516" t="str">
        <f>IF(ISBLANK(JP!J520),"","x")</f>
        <v/>
      </c>
      <c r="M516" t="str">
        <f>IF(ISBLANK(JP!L520),"","x")</f>
        <v/>
      </c>
      <c r="N516" t="str">
        <f>IF(ISBLANK(JP!M520),"","x")</f>
        <v/>
      </c>
      <c r="O516" t="str">
        <f>IF(ISBLANK(JP!N520),"","x")</f>
        <v/>
      </c>
      <c r="P516" t="str">
        <f>IF(ISBLANK(JP!O520),"","x")</f>
        <v/>
      </c>
      <c r="Q516" t="str">
        <f>IF(ISBLANK(JP!P520),"","x")</f>
        <v/>
      </c>
      <c r="R516" t="str">
        <f>IF(ISBLANK(JP!Q520),"","x")</f>
        <v/>
      </c>
      <c r="S516" t="str">
        <f>IF(ISBLANK(JP!R520),"","x")</f>
        <v/>
      </c>
      <c r="T516" t="str">
        <f>IF(ISBLANK(JP!T520),"","x")</f>
        <v/>
      </c>
      <c r="U516" t="str">
        <f>IF(ISBLANK(JP!U520),"","x")</f>
        <v/>
      </c>
      <c r="V516" t="str">
        <f>IF(ISBLANK(JP!V520),"","x")</f>
        <v/>
      </c>
      <c r="W516" t="str">
        <f>IF(ISBLANK(JP!W520),"","x")</f>
        <v/>
      </c>
      <c r="X516" t="str">
        <f>IF(ISBLANK(JP!X520),"","x")</f>
        <v/>
      </c>
      <c r="Y516" t="str">
        <f>IF(ISBLANK(JP!Y520),"","x")</f>
        <v/>
      </c>
      <c r="Z516" t="str">
        <f>IF(ISBLANK(JP!Z520),"","x")</f>
        <v/>
      </c>
      <c r="AA516" t="str">
        <f>IF(ISBLANK(JP!AB520),"","x")</f>
        <v/>
      </c>
      <c r="AB516" t="str">
        <f>IF(ISBLANK(JP!AC520),"","x")</f>
        <v/>
      </c>
      <c r="AC516" t="str">
        <f>IF(ISBLANK(JP!AD520),"","x")</f>
        <v/>
      </c>
      <c r="AD516" t="str">
        <f>IF(ISBLANK(JP!AE520),"","x")</f>
        <v/>
      </c>
      <c r="AE516" t="str">
        <f>IF(ISBLANK(JP!AF520),"","x")</f>
        <v/>
      </c>
      <c r="AF516" t="str">
        <f>IF(ISBLANK(JP!AG520),"","x")</f>
        <v/>
      </c>
      <c r="AG516" t="str">
        <f>IF(ISBLANK(JP!AH520),"","x")</f>
        <v/>
      </c>
      <c r="AH516" t="str">
        <f>IF(ISBLANK(JP!AJ520),"","x")</f>
        <v/>
      </c>
      <c r="AI516" t="str">
        <f>IF(ISBLANK(JP!AK520),"","x")</f>
        <v/>
      </c>
      <c r="AJ516" t="str">
        <f>IF(ISBLANK(JP!AL520),"","x")</f>
        <v/>
      </c>
      <c r="AK516" t="str">
        <f>IF(ISBLANK(JP!AM520),"","x")</f>
        <v/>
      </c>
      <c r="AL516" t="str">
        <f>IF(ISBLANK(JP!AN520),"","x")</f>
        <v/>
      </c>
      <c r="AM516" t="str">
        <f>IF(ISBLANK(JP!AO520),"","x")</f>
        <v/>
      </c>
      <c r="AN516" t="str">
        <f>IF(ISBLANK(JP!AP520),"","x")</f>
        <v/>
      </c>
      <c r="AO516" t="str">
        <f>IF(ISBLANK(JP!AR520),"","x")</f>
        <v/>
      </c>
      <c r="AP516" t="str">
        <f>IF(ISBLANK(JP!AS520),"","x")</f>
        <v/>
      </c>
      <c r="AQ516" t="str">
        <f>IF(ISBLANK(JP!AT520),"","x")</f>
        <v/>
      </c>
      <c r="AR516" t="str">
        <f>IF(ISBLANK(JP!AU520),"","x")</f>
        <v/>
      </c>
      <c r="AS516" t="str">
        <f>IF(ISBLANK(JP!AV520),"","x")</f>
        <v/>
      </c>
      <c r="AT516" t="str">
        <f>IF(ISBLANK(JP!AW520),"","x")</f>
        <v/>
      </c>
      <c r="AU516" t="str">
        <f>IF(ISBLANK(JP!AX520),"","x")</f>
        <v/>
      </c>
    </row>
    <row r="517" spans="2:47">
      <c r="B517" t="str">
        <f>IF(ISBLANK(JP!AZ521),"",JP!AZ521)</f>
        <v/>
      </c>
      <c r="C517" t="str">
        <f>IF(ISBLANK(JP!BA521),"",JP!BA521)</f>
        <v/>
      </c>
      <c r="D517" t="str">
        <f>IF(ISBLANK(JP!BC521),"",JP!BC521)</f>
        <v/>
      </c>
      <c r="E517" t="str">
        <f>IF(ISBLANK(JP!BB521),"",JP!BB521)</f>
        <v/>
      </c>
      <c r="F517" t="str">
        <f>IF(ISBLANK(JP!D521),"","x")</f>
        <v/>
      </c>
      <c r="G517" t="str">
        <f>IF(ISBLANK(JP!E521),"","x")</f>
        <v/>
      </c>
      <c r="H517" t="str">
        <f>IF(ISBLANK(JP!F521),"","x")</f>
        <v/>
      </c>
      <c r="I517" t="str">
        <f>IF(ISBLANK(JP!G521),"","x")</f>
        <v/>
      </c>
      <c r="J517" t="str">
        <f>IF(ISBLANK(JP!H521),"","x")</f>
        <v/>
      </c>
      <c r="K517" t="str">
        <f>IF(ISBLANK(JP!I521),"","x")</f>
        <v/>
      </c>
      <c r="L517" t="str">
        <f>IF(ISBLANK(JP!J521),"","x")</f>
        <v/>
      </c>
      <c r="M517" t="str">
        <f>IF(ISBLANK(JP!L521),"","x")</f>
        <v/>
      </c>
      <c r="N517" t="str">
        <f>IF(ISBLANK(JP!M521),"","x")</f>
        <v/>
      </c>
      <c r="O517" t="str">
        <f>IF(ISBLANK(JP!N521),"","x")</f>
        <v/>
      </c>
      <c r="P517" t="str">
        <f>IF(ISBLANK(JP!O521),"","x")</f>
        <v/>
      </c>
      <c r="Q517" t="str">
        <f>IF(ISBLANK(JP!P521),"","x")</f>
        <v/>
      </c>
      <c r="R517" t="str">
        <f>IF(ISBLANK(JP!Q521),"","x")</f>
        <v/>
      </c>
      <c r="S517" t="str">
        <f>IF(ISBLANK(JP!R521),"","x")</f>
        <v/>
      </c>
      <c r="T517" t="str">
        <f>IF(ISBLANK(JP!T521),"","x")</f>
        <v/>
      </c>
      <c r="U517" t="str">
        <f>IF(ISBLANK(JP!U521),"","x")</f>
        <v/>
      </c>
      <c r="V517" t="str">
        <f>IF(ISBLANK(JP!V521),"","x")</f>
        <v/>
      </c>
      <c r="W517" t="str">
        <f>IF(ISBLANK(JP!W521),"","x")</f>
        <v/>
      </c>
      <c r="X517" t="str">
        <f>IF(ISBLANK(JP!X521),"","x")</f>
        <v/>
      </c>
      <c r="Y517" t="str">
        <f>IF(ISBLANK(JP!Y521),"","x")</f>
        <v/>
      </c>
      <c r="Z517" t="str">
        <f>IF(ISBLANK(JP!Z521),"","x")</f>
        <v/>
      </c>
      <c r="AA517" t="str">
        <f>IF(ISBLANK(JP!AB521),"","x")</f>
        <v/>
      </c>
      <c r="AB517" t="str">
        <f>IF(ISBLANK(JP!AC521),"","x")</f>
        <v/>
      </c>
      <c r="AC517" t="str">
        <f>IF(ISBLANK(JP!AD521),"","x")</f>
        <v/>
      </c>
      <c r="AD517" t="str">
        <f>IF(ISBLANK(JP!AE521),"","x")</f>
        <v/>
      </c>
      <c r="AE517" t="str">
        <f>IF(ISBLANK(JP!AF521),"","x")</f>
        <v/>
      </c>
      <c r="AF517" t="str">
        <f>IF(ISBLANK(JP!AG521),"","x")</f>
        <v/>
      </c>
      <c r="AG517" t="str">
        <f>IF(ISBLANK(JP!AH521),"","x")</f>
        <v/>
      </c>
      <c r="AH517" t="str">
        <f>IF(ISBLANK(JP!AJ521),"","x")</f>
        <v/>
      </c>
      <c r="AI517" t="str">
        <f>IF(ISBLANK(JP!AK521),"","x")</f>
        <v/>
      </c>
      <c r="AJ517" t="str">
        <f>IF(ISBLANK(JP!AL521),"","x")</f>
        <v/>
      </c>
      <c r="AK517" t="str">
        <f>IF(ISBLANK(JP!AM521),"","x")</f>
        <v/>
      </c>
      <c r="AL517" t="str">
        <f>IF(ISBLANK(JP!AN521),"","x")</f>
        <v/>
      </c>
      <c r="AM517" t="str">
        <f>IF(ISBLANK(JP!AO521),"","x")</f>
        <v/>
      </c>
      <c r="AN517" t="str">
        <f>IF(ISBLANK(JP!AP521),"","x")</f>
        <v/>
      </c>
      <c r="AO517" t="str">
        <f>IF(ISBLANK(JP!AR521),"","x")</f>
        <v/>
      </c>
      <c r="AP517" t="str">
        <f>IF(ISBLANK(JP!AS521),"","x")</f>
        <v/>
      </c>
      <c r="AQ517" t="str">
        <f>IF(ISBLANK(JP!AT521),"","x")</f>
        <v/>
      </c>
      <c r="AR517" t="str">
        <f>IF(ISBLANK(JP!AU521),"","x")</f>
        <v/>
      </c>
      <c r="AS517" t="str">
        <f>IF(ISBLANK(JP!AV521),"","x")</f>
        <v/>
      </c>
      <c r="AT517" t="str">
        <f>IF(ISBLANK(JP!AW521),"","x")</f>
        <v/>
      </c>
      <c r="AU517" t="str">
        <f>IF(ISBLANK(JP!AX521),"","x")</f>
        <v/>
      </c>
    </row>
    <row r="518" spans="2:47">
      <c r="B518" t="str">
        <f>IF(ISBLANK(JP!AZ522),"",JP!AZ522)</f>
        <v/>
      </c>
      <c r="C518" t="str">
        <f>IF(ISBLANK(JP!BA522),"",JP!BA522)</f>
        <v/>
      </c>
      <c r="D518" t="str">
        <f>IF(ISBLANK(JP!BC522),"",JP!BC522)</f>
        <v/>
      </c>
      <c r="E518" t="str">
        <f>IF(ISBLANK(JP!BB522),"",JP!BB522)</f>
        <v/>
      </c>
      <c r="F518" t="str">
        <f>IF(ISBLANK(JP!D522),"","x")</f>
        <v/>
      </c>
      <c r="G518" t="str">
        <f>IF(ISBLANK(JP!E522),"","x")</f>
        <v/>
      </c>
      <c r="H518" t="str">
        <f>IF(ISBLANK(JP!F522),"","x")</f>
        <v/>
      </c>
      <c r="I518" t="str">
        <f>IF(ISBLANK(JP!G522),"","x")</f>
        <v/>
      </c>
      <c r="J518" t="str">
        <f>IF(ISBLANK(JP!H522),"","x")</f>
        <v/>
      </c>
      <c r="K518" t="str">
        <f>IF(ISBLANK(JP!I522),"","x")</f>
        <v/>
      </c>
      <c r="L518" t="str">
        <f>IF(ISBLANK(JP!J522),"","x")</f>
        <v/>
      </c>
      <c r="M518" t="str">
        <f>IF(ISBLANK(JP!L522),"","x")</f>
        <v/>
      </c>
      <c r="N518" t="str">
        <f>IF(ISBLANK(JP!M522),"","x")</f>
        <v/>
      </c>
      <c r="O518" t="str">
        <f>IF(ISBLANK(JP!N522),"","x")</f>
        <v/>
      </c>
      <c r="P518" t="str">
        <f>IF(ISBLANK(JP!O522),"","x")</f>
        <v/>
      </c>
      <c r="Q518" t="str">
        <f>IF(ISBLANK(JP!P522),"","x")</f>
        <v/>
      </c>
      <c r="R518" t="str">
        <f>IF(ISBLANK(JP!Q522),"","x")</f>
        <v/>
      </c>
      <c r="S518" t="str">
        <f>IF(ISBLANK(JP!R522),"","x")</f>
        <v/>
      </c>
      <c r="T518" t="str">
        <f>IF(ISBLANK(JP!T522),"","x")</f>
        <v/>
      </c>
      <c r="U518" t="str">
        <f>IF(ISBLANK(JP!U522),"","x")</f>
        <v/>
      </c>
      <c r="V518" t="str">
        <f>IF(ISBLANK(JP!V522),"","x")</f>
        <v/>
      </c>
      <c r="W518" t="str">
        <f>IF(ISBLANK(JP!W522),"","x")</f>
        <v/>
      </c>
      <c r="X518" t="str">
        <f>IF(ISBLANK(JP!X522),"","x")</f>
        <v/>
      </c>
      <c r="Y518" t="str">
        <f>IF(ISBLANK(JP!Y522),"","x")</f>
        <v/>
      </c>
      <c r="Z518" t="str">
        <f>IF(ISBLANK(JP!Z522),"","x")</f>
        <v/>
      </c>
      <c r="AA518" t="str">
        <f>IF(ISBLANK(JP!AB522),"","x")</f>
        <v/>
      </c>
      <c r="AB518" t="str">
        <f>IF(ISBLANK(JP!AC522),"","x")</f>
        <v/>
      </c>
      <c r="AC518" t="str">
        <f>IF(ISBLANK(JP!AD522),"","x")</f>
        <v/>
      </c>
      <c r="AD518" t="str">
        <f>IF(ISBLANK(JP!AE522),"","x")</f>
        <v/>
      </c>
      <c r="AE518" t="str">
        <f>IF(ISBLANK(JP!AF522),"","x")</f>
        <v/>
      </c>
      <c r="AF518" t="str">
        <f>IF(ISBLANK(JP!AG522),"","x")</f>
        <v/>
      </c>
      <c r="AG518" t="str">
        <f>IF(ISBLANK(JP!AH522),"","x")</f>
        <v/>
      </c>
      <c r="AH518" t="str">
        <f>IF(ISBLANK(JP!AJ522),"","x")</f>
        <v/>
      </c>
      <c r="AI518" t="str">
        <f>IF(ISBLANK(JP!AK522),"","x")</f>
        <v/>
      </c>
      <c r="AJ518" t="str">
        <f>IF(ISBLANK(JP!AL522),"","x")</f>
        <v/>
      </c>
      <c r="AK518" t="str">
        <f>IF(ISBLANK(JP!AM522),"","x")</f>
        <v/>
      </c>
      <c r="AL518" t="str">
        <f>IF(ISBLANK(JP!AN522),"","x")</f>
        <v/>
      </c>
      <c r="AM518" t="str">
        <f>IF(ISBLANK(JP!AO522),"","x")</f>
        <v/>
      </c>
      <c r="AN518" t="str">
        <f>IF(ISBLANK(JP!AP522),"","x")</f>
        <v/>
      </c>
      <c r="AO518" t="str">
        <f>IF(ISBLANK(JP!AR522),"","x")</f>
        <v/>
      </c>
      <c r="AP518" t="str">
        <f>IF(ISBLANK(JP!AS522),"","x")</f>
        <v/>
      </c>
      <c r="AQ518" t="str">
        <f>IF(ISBLANK(JP!AT522),"","x")</f>
        <v/>
      </c>
      <c r="AR518" t="str">
        <f>IF(ISBLANK(JP!AU522),"","x")</f>
        <v/>
      </c>
      <c r="AS518" t="str">
        <f>IF(ISBLANK(JP!AV522),"","x")</f>
        <v/>
      </c>
      <c r="AT518" t="str">
        <f>IF(ISBLANK(JP!AW522),"","x")</f>
        <v/>
      </c>
      <c r="AU518" t="str">
        <f>IF(ISBLANK(JP!AX522),"","x")</f>
        <v/>
      </c>
    </row>
    <row r="519" spans="2:47">
      <c r="B519" t="str">
        <f>IF(ISBLANK(JP!AZ523),"",JP!AZ523)</f>
        <v/>
      </c>
      <c r="C519" t="str">
        <f>IF(ISBLANK(JP!BA523),"",JP!BA523)</f>
        <v/>
      </c>
      <c r="D519" t="str">
        <f>IF(ISBLANK(JP!BC523),"",JP!BC523)</f>
        <v/>
      </c>
      <c r="E519" t="str">
        <f>IF(ISBLANK(JP!BB523),"",JP!BB523)</f>
        <v/>
      </c>
      <c r="F519" t="str">
        <f>IF(ISBLANK(JP!D523),"","x")</f>
        <v/>
      </c>
      <c r="G519" t="str">
        <f>IF(ISBLANK(JP!E523),"","x")</f>
        <v/>
      </c>
      <c r="H519" t="str">
        <f>IF(ISBLANK(JP!F523),"","x")</f>
        <v/>
      </c>
      <c r="I519" t="str">
        <f>IF(ISBLANK(JP!G523),"","x")</f>
        <v/>
      </c>
      <c r="J519" t="str">
        <f>IF(ISBLANK(JP!H523),"","x")</f>
        <v/>
      </c>
      <c r="K519" t="str">
        <f>IF(ISBLANK(JP!I523),"","x")</f>
        <v/>
      </c>
      <c r="L519" t="str">
        <f>IF(ISBLANK(JP!J523),"","x")</f>
        <v/>
      </c>
      <c r="M519" t="str">
        <f>IF(ISBLANK(JP!L523),"","x")</f>
        <v/>
      </c>
      <c r="N519" t="str">
        <f>IF(ISBLANK(JP!M523),"","x")</f>
        <v/>
      </c>
      <c r="O519" t="str">
        <f>IF(ISBLANK(JP!N523),"","x")</f>
        <v/>
      </c>
      <c r="P519" t="str">
        <f>IF(ISBLANK(JP!O523),"","x")</f>
        <v/>
      </c>
      <c r="Q519" t="str">
        <f>IF(ISBLANK(JP!P523),"","x")</f>
        <v/>
      </c>
      <c r="R519" t="str">
        <f>IF(ISBLANK(JP!Q523),"","x")</f>
        <v/>
      </c>
      <c r="S519" t="str">
        <f>IF(ISBLANK(JP!R523),"","x")</f>
        <v/>
      </c>
      <c r="T519" t="str">
        <f>IF(ISBLANK(JP!T523),"","x")</f>
        <v/>
      </c>
      <c r="U519" t="str">
        <f>IF(ISBLANK(JP!U523),"","x")</f>
        <v/>
      </c>
      <c r="V519" t="str">
        <f>IF(ISBLANK(JP!V523),"","x")</f>
        <v/>
      </c>
      <c r="W519" t="str">
        <f>IF(ISBLANK(JP!W523),"","x")</f>
        <v/>
      </c>
      <c r="X519" t="str">
        <f>IF(ISBLANK(JP!X523),"","x")</f>
        <v/>
      </c>
      <c r="Y519" t="str">
        <f>IF(ISBLANK(JP!Y523),"","x")</f>
        <v/>
      </c>
      <c r="Z519" t="str">
        <f>IF(ISBLANK(JP!Z523),"","x")</f>
        <v/>
      </c>
      <c r="AA519" t="str">
        <f>IF(ISBLANK(JP!AB523),"","x")</f>
        <v/>
      </c>
      <c r="AB519" t="str">
        <f>IF(ISBLANK(JP!AC523),"","x")</f>
        <v/>
      </c>
      <c r="AC519" t="str">
        <f>IF(ISBLANK(JP!AD523),"","x")</f>
        <v/>
      </c>
      <c r="AD519" t="str">
        <f>IF(ISBLANK(JP!AE523),"","x")</f>
        <v/>
      </c>
      <c r="AE519" t="str">
        <f>IF(ISBLANK(JP!AF523),"","x")</f>
        <v/>
      </c>
      <c r="AF519" t="str">
        <f>IF(ISBLANK(JP!AG523),"","x")</f>
        <v/>
      </c>
      <c r="AG519" t="str">
        <f>IF(ISBLANK(JP!AH523),"","x")</f>
        <v/>
      </c>
      <c r="AH519" t="str">
        <f>IF(ISBLANK(JP!AJ523),"","x")</f>
        <v/>
      </c>
      <c r="AI519" t="str">
        <f>IF(ISBLANK(JP!AK523),"","x")</f>
        <v/>
      </c>
      <c r="AJ519" t="str">
        <f>IF(ISBLANK(JP!AL523),"","x")</f>
        <v/>
      </c>
      <c r="AK519" t="str">
        <f>IF(ISBLANK(JP!AM523),"","x")</f>
        <v/>
      </c>
      <c r="AL519" t="str">
        <f>IF(ISBLANK(JP!AN523),"","x")</f>
        <v/>
      </c>
      <c r="AM519" t="str">
        <f>IF(ISBLANK(JP!AO523),"","x")</f>
        <v/>
      </c>
      <c r="AN519" t="str">
        <f>IF(ISBLANK(JP!AP523),"","x")</f>
        <v/>
      </c>
      <c r="AO519" t="str">
        <f>IF(ISBLANK(JP!AR523),"","x")</f>
        <v/>
      </c>
      <c r="AP519" t="str">
        <f>IF(ISBLANK(JP!AS523),"","x")</f>
        <v/>
      </c>
      <c r="AQ519" t="str">
        <f>IF(ISBLANK(JP!AT523),"","x")</f>
        <v/>
      </c>
      <c r="AR519" t="str">
        <f>IF(ISBLANK(JP!AU523),"","x")</f>
        <v/>
      </c>
      <c r="AS519" t="str">
        <f>IF(ISBLANK(JP!AV523),"","x")</f>
        <v/>
      </c>
      <c r="AT519" t="str">
        <f>IF(ISBLANK(JP!AW523),"","x")</f>
        <v/>
      </c>
      <c r="AU519" t="str">
        <f>IF(ISBLANK(JP!AX523),"","x")</f>
        <v/>
      </c>
    </row>
    <row r="520" spans="2:47">
      <c r="B520" t="str">
        <f>IF(ISBLANK(JP!AZ524),"",JP!AZ524)</f>
        <v/>
      </c>
      <c r="C520" t="str">
        <f>IF(ISBLANK(JP!BA524),"",JP!BA524)</f>
        <v/>
      </c>
      <c r="D520" t="str">
        <f>IF(ISBLANK(JP!BC524),"",JP!BC524)</f>
        <v/>
      </c>
      <c r="E520" t="str">
        <f>IF(ISBLANK(JP!BB524),"",JP!BB524)</f>
        <v/>
      </c>
      <c r="F520" t="str">
        <f>IF(ISBLANK(JP!D524),"","x")</f>
        <v/>
      </c>
      <c r="G520" t="str">
        <f>IF(ISBLANK(JP!E524),"","x")</f>
        <v/>
      </c>
      <c r="H520" t="str">
        <f>IF(ISBLANK(JP!F524),"","x")</f>
        <v/>
      </c>
      <c r="I520" t="str">
        <f>IF(ISBLANK(JP!G524),"","x")</f>
        <v/>
      </c>
      <c r="J520" t="str">
        <f>IF(ISBLANK(JP!H524),"","x")</f>
        <v/>
      </c>
      <c r="K520" t="str">
        <f>IF(ISBLANK(JP!I524),"","x")</f>
        <v/>
      </c>
      <c r="L520" t="str">
        <f>IF(ISBLANK(JP!J524),"","x")</f>
        <v/>
      </c>
      <c r="M520" t="str">
        <f>IF(ISBLANK(JP!L524),"","x")</f>
        <v/>
      </c>
      <c r="N520" t="str">
        <f>IF(ISBLANK(JP!M524),"","x")</f>
        <v/>
      </c>
      <c r="O520" t="str">
        <f>IF(ISBLANK(JP!N524),"","x")</f>
        <v/>
      </c>
      <c r="P520" t="str">
        <f>IF(ISBLANK(JP!O524),"","x")</f>
        <v/>
      </c>
      <c r="Q520" t="str">
        <f>IF(ISBLANK(JP!P524),"","x")</f>
        <v/>
      </c>
      <c r="R520" t="str">
        <f>IF(ISBLANK(JP!Q524),"","x")</f>
        <v/>
      </c>
      <c r="S520" t="str">
        <f>IF(ISBLANK(JP!R524),"","x")</f>
        <v/>
      </c>
      <c r="T520" t="str">
        <f>IF(ISBLANK(JP!T524),"","x")</f>
        <v/>
      </c>
      <c r="U520" t="str">
        <f>IF(ISBLANK(JP!U524),"","x")</f>
        <v/>
      </c>
      <c r="V520" t="str">
        <f>IF(ISBLANK(JP!V524),"","x")</f>
        <v/>
      </c>
      <c r="W520" t="str">
        <f>IF(ISBLANK(JP!W524),"","x")</f>
        <v/>
      </c>
      <c r="X520" t="str">
        <f>IF(ISBLANK(JP!X524),"","x")</f>
        <v/>
      </c>
      <c r="Y520" t="str">
        <f>IF(ISBLANK(JP!Y524),"","x")</f>
        <v/>
      </c>
      <c r="Z520" t="str">
        <f>IF(ISBLANK(JP!Z524),"","x")</f>
        <v/>
      </c>
      <c r="AA520" t="str">
        <f>IF(ISBLANK(JP!AB524),"","x")</f>
        <v/>
      </c>
      <c r="AB520" t="str">
        <f>IF(ISBLANK(JP!AC524),"","x")</f>
        <v/>
      </c>
      <c r="AC520" t="str">
        <f>IF(ISBLANK(JP!AD524),"","x")</f>
        <v/>
      </c>
      <c r="AD520" t="str">
        <f>IF(ISBLANK(JP!AE524),"","x")</f>
        <v/>
      </c>
      <c r="AE520" t="str">
        <f>IF(ISBLANK(JP!AF524),"","x")</f>
        <v/>
      </c>
      <c r="AF520" t="str">
        <f>IF(ISBLANK(JP!AG524),"","x")</f>
        <v/>
      </c>
      <c r="AG520" t="str">
        <f>IF(ISBLANK(JP!AH524),"","x")</f>
        <v/>
      </c>
      <c r="AH520" t="str">
        <f>IF(ISBLANK(JP!AJ524),"","x")</f>
        <v/>
      </c>
      <c r="AI520" t="str">
        <f>IF(ISBLANK(JP!AK524),"","x")</f>
        <v/>
      </c>
      <c r="AJ520" t="str">
        <f>IF(ISBLANK(JP!AL524),"","x")</f>
        <v/>
      </c>
      <c r="AK520" t="str">
        <f>IF(ISBLANK(JP!AM524),"","x")</f>
        <v/>
      </c>
      <c r="AL520" t="str">
        <f>IF(ISBLANK(JP!AN524),"","x")</f>
        <v/>
      </c>
      <c r="AM520" t="str">
        <f>IF(ISBLANK(JP!AO524),"","x")</f>
        <v/>
      </c>
      <c r="AN520" t="str">
        <f>IF(ISBLANK(JP!AP524),"","x")</f>
        <v/>
      </c>
      <c r="AO520" t="str">
        <f>IF(ISBLANK(JP!AR524),"","x")</f>
        <v/>
      </c>
      <c r="AP520" t="str">
        <f>IF(ISBLANK(JP!AS524),"","x")</f>
        <v/>
      </c>
      <c r="AQ520" t="str">
        <f>IF(ISBLANK(JP!AT524),"","x")</f>
        <v/>
      </c>
      <c r="AR520" t="str">
        <f>IF(ISBLANK(JP!AU524),"","x")</f>
        <v/>
      </c>
      <c r="AS520" t="str">
        <f>IF(ISBLANK(JP!AV524),"","x")</f>
        <v/>
      </c>
      <c r="AT520" t="str">
        <f>IF(ISBLANK(JP!AW524),"","x")</f>
        <v/>
      </c>
      <c r="AU520" t="str">
        <f>IF(ISBLANK(JP!AX524),"","x")</f>
        <v/>
      </c>
    </row>
    <row r="521" spans="2:47">
      <c r="B521" t="str">
        <f>IF(ISBLANK(JP!AZ525),"",JP!AZ525)</f>
        <v/>
      </c>
      <c r="C521" t="str">
        <f>IF(ISBLANK(JP!BA525),"",JP!BA525)</f>
        <v/>
      </c>
      <c r="D521" t="str">
        <f>IF(ISBLANK(JP!BC525),"",JP!BC525)</f>
        <v/>
      </c>
      <c r="E521" t="str">
        <f>IF(ISBLANK(JP!BB525),"",JP!BB525)</f>
        <v/>
      </c>
      <c r="F521" t="str">
        <f>IF(ISBLANK(JP!D525),"","x")</f>
        <v/>
      </c>
      <c r="G521" t="str">
        <f>IF(ISBLANK(JP!E525),"","x")</f>
        <v/>
      </c>
      <c r="H521" t="str">
        <f>IF(ISBLANK(JP!F525),"","x")</f>
        <v/>
      </c>
      <c r="I521" t="str">
        <f>IF(ISBLANK(JP!G525),"","x")</f>
        <v/>
      </c>
      <c r="J521" t="str">
        <f>IF(ISBLANK(JP!H525),"","x")</f>
        <v/>
      </c>
      <c r="K521" t="str">
        <f>IF(ISBLANK(JP!I525),"","x")</f>
        <v/>
      </c>
      <c r="L521" t="str">
        <f>IF(ISBLANK(JP!J525),"","x")</f>
        <v/>
      </c>
      <c r="M521" t="str">
        <f>IF(ISBLANK(JP!L525),"","x")</f>
        <v/>
      </c>
      <c r="N521" t="str">
        <f>IF(ISBLANK(JP!M525),"","x")</f>
        <v/>
      </c>
      <c r="O521" t="str">
        <f>IF(ISBLANK(JP!N525),"","x")</f>
        <v/>
      </c>
      <c r="P521" t="str">
        <f>IF(ISBLANK(JP!O525),"","x")</f>
        <v/>
      </c>
      <c r="Q521" t="str">
        <f>IF(ISBLANK(JP!P525),"","x")</f>
        <v/>
      </c>
      <c r="R521" t="str">
        <f>IF(ISBLANK(JP!Q525),"","x")</f>
        <v/>
      </c>
      <c r="S521" t="str">
        <f>IF(ISBLANK(JP!R525),"","x")</f>
        <v/>
      </c>
      <c r="T521" t="str">
        <f>IF(ISBLANK(JP!T525),"","x")</f>
        <v/>
      </c>
      <c r="U521" t="str">
        <f>IF(ISBLANK(JP!U525),"","x")</f>
        <v/>
      </c>
      <c r="V521" t="str">
        <f>IF(ISBLANK(JP!V525),"","x")</f>
        <v/>
      </c>
      <c r="W521" t="str">
        <f>IF(ISBLANK(JP!W525),"","x")</f>
        <v/>
      </c>
      <c r="X521" t="str">
        <f>IF(ISBLANK(JP!X525),"","x")</f>
        <v/>
      </c>
      <c r="Y521" t="str">
        <f>IF(ISBLANK(JP!Y525),"","x")</f>
        <v/>
      </c>
      <c r="Z521" t="str">
        <f>IF(ISBLANK(JP!Z525),"","x")</f>
        <v/>
      </c>
      <c r="AA521" t="str">
        <f>IF(ISBLANK(JP!AB525),"","x")</f>
        <v/>
      </c>
      <c r="AB521" t="str">
        <f>IF(ISBLANK(JP!AC525),"","x")</f>
        <v/>
      </c>
      <c r="AC521" t="str">
        <f>IF(ISBLANK(JP!AD525),"","x")</f>
        <v/>
      </c>
      <c r="AD521" t="str">
        <f>IF(ISBLANK(JP!AE525),"","x")</f>
        <v/>
      </c>
      <c r="AE521" t="str">
        <f>IF(ISBLANK(JP!AF525),"","x")</f>
        <v/>
      </c>
      <c r="AF521" t="str">
        <f>IF(ISBLANK(JP!AG525),"","x")</f>
        <v/>
      </c>
      <c r="AG521" t="str">
        <f>IF(ISBLANK(JP!AH525),"","x")</f>
        <v/>
      </c>
      <c r="AH521" t="str">
        <f>IF(ISBLANK(JP!AJ525),"","x")</f>
        <v/>
      </c>
      <c r="AI521" t="str">
        <f>IF(ISBLANK(JP!AK525),"","x")</f>
        <v/>
      </c>
      <c r="AJ521" t="str">
        <f>IF(ISBLANK(JP!AL525),"","x")</f>
        <v/>
      </c>
      <c r="AK521" t="str">
        <f>IF(ISBLANK(JP!AM525),"","x")</f>
        <v/>
      </c>
      <c r="AL521" t="str">
        <f>IF(ISBLANK(JP!AN525),"","x")</f>
        <v/>
      </c>
      <c r="AM521" t="str">
        <f>IF(ISBLANK(JP!AO525),"","x")</f>
        <v/>
      </c>
      <c r="AN521" t="str">
        <f>IF(ISBLANK(JP!AP525),"","x")</f>
        <v/>
      </c>
      <c r="AO521" t="str">
        <f>IF(ISBLANK(JP!AR525),"","x")</f>
        <v/>
      </c>
      <c r="AP521" t="str">
        <f>IF(ISBLANK(JP!AS525),"","x")</f>
        <v/>
      </c>
      <c r="AQ521" t="str">
        <f>IF(ISBLANK(JP!AT525),"","x")</f>
        <v/>
      </c>
      <c r="AR521" t="str">
        <f>IF(ISBLANK(JP!AU525),"","x")</f>
        <v/>
      </c>
      <c r="AS521" t="str">
        <f>IF(ISBLANK(JP!AV525),"","x")</f>
        <v/>
      </c>
      <c r="AT521" t="str">
        <f>IF(ISBLANK(JP!AW525),"","x")</f>
        <v/>
      </c>
      <c r="AU521" t="str">
        <f>IF(ISBLANK(JP!AX525),"","x")</f>
        <v/>
      </c>
    </row>
    <row r="522" spans="2:47">
      <c r="B522" t="str">
        <f>IF(ISBLANK(JP!AZ526),"",JP!AZ526)</f>
        <v/>
      </c>
      <c r="C522" t="str">
        <f>IF(ISBLANK(JP!BA526),"",JP!BA526)</f>
        <v/>
      </c>
      <c r="D522" t="str">
        <f>IF(ISBLANK(JP!BC526),"",JP!BC526)</f>
        <v/>
      </c>
      <c r="E522" t="str">
        <f>IF(ISBLANK(JP!BB526),"",JP!BB526)</f>
        <v/>
      </c>
      <c r="F522" t="str">
        <f>IF(ISBLANK(JP!D526),"","x")</f>
        <v/>
      </c>
      <c r="G522" t="str">
        <f>IF(ISBLANK(JP!E526),"","x")</f>
        <v/>
      </c>
      <c r="H522" t="str">
        <f>IF(ISBLANK(JP!F526),"","x")</f>
        <v/>
      </c>
      <c r="I522" t="str">
        <f>IF(ISBLANK(JP!G526),"","x")</f>
        <v/>
      </c>
      <c r="J522" t="str">
        <f>IF(ISBLANK(JP!H526),"","x")</f>
        <v/>
      </c>
      <c r="K522" t="str">
        <f>IF(ISBLANK(JP!I526),"","x")</f>
        <v/>
      </c>
      <c r="L522" t="str">
        <f>IF(ISBLANK(JP!J526),"","x")</f>
        <v/>
      </c>
      <c r="M522" t="str">
        <f>IF(ISBLANK(JP!L526),"","x")</f>
        <v/>
      </c>
      <c r="N522" t="str">
        <f>IF(ISBLANK(JP!M526),"","x")</f>
        <v/>
      </c>
      <c r="O522" t="str">
        <f>IF(ISBLANK(JP!N526),"","x")</f>
        <v/>
      </c>
      <c r="P522" t="str">
        <f>IF(ISBLANK(JP!O526),"","x")</f>
        <v/>
      </c>
      <c r="Q522" t="str">
        <f>IF(ISBLANK(JP!P526),"","x")</f>
        <v/>
      </c>
      <c r="R522" t="str">
        <f>IF(ISBLANK(JP!Q526),"","x")</f>
        <v/>
      </c>
      <c r="S522" t="str">
        <f>IF(ISBLANK(JP!R526),"","x")</f>
        <v/>
      </c>
      <c r="T522" t="str">
        <f>IF(ISBLANK(JP!T526),"","x")</f>
        <v/>
      </c>
      <c r="U522" t="str">
        <f>IF(ISBLANK(JP!U526),"","x")</f>
        <v/>
      </c>
      <c r="V522" t="str">
        <f>IF(ISBLANK(JP!V526),"","x")</f>
        <v/>
      </c>
      <c r="W522" t="str">
        <f>IF(ISBLANK(JP!W526),"","x")</f>
        <v/>
      </c>
      <c r="X522" t="str">
        <f>IF(ISBLANK(JP!X526),"","x")</f>
        <v/>
      </c>
      <c r="Y522" t="str">
        <f>IF(ISBLANK(JP!Y526),"","x")</f>
        <v/>
      </c>
      <c r="Z522" t="str">
        <f>IF(ISBLANK(JP!Z526),"","x")</f>
        <v/>
      </c>
      <c r="AA522" t="str">
        <f>IF(ISBLANK(JP!AB526),"","x")</f>
        <v/>
      </c>
      <c r="AB522" t="str">
        <f>IF(ISBLANK(JP!AC526),"","x")</f>
        <v/>
      </c>
      <c r="AC522" t="str">
        <f>IF(ISBLANK(JP!AD526),"","x")</f>
        <v/>
      </c>
      <c r="AD522" t="str">
        <f>IF(ISBLANK(JP!AE526),"","x")</f>
        <v/>
      </c>
      <c r="AE522" t="str">
        <f>IF(ISBLANK(JP!AF526),"","x")</f>
        <v/>
      </c>
      <c r="AF522" t="str">
        <f>IF(ISBLANK(JP!AG526),"","x")</f>
        <v/>
      </c>
      <c r="AG522" t="str">
        <f>IF(ISBLANK(JP!AH526),"","x")</f>
        <v/>
      </c>
      <c r="AH522" t="str">
        <f>IF(ISBLANK(JP!AJ526),"","x")</f>
        <v/>
      </c>
      <c r="AI522" t="str">
        <f>IF(ISBLANK(JP!AK526),"","x")</f>
        <v/>
      </c>
      <c r="AJ522" t="str">
        <f>IF(ISBLANK(JP!AL526),"","x")</f>
        <v/>
      </c>
      <c r="AK522" t="str">
        <f>IF(ISBLANK(JP!AM526),"","x")</f>
        <v/>
      </c>
      <c r="AL522" t="str">
        <f>IF(ISBLANK(JP!AN526),"","x")</f>
        <v/>
      </c>
      <c r="AM522" t="str">
        <f>IF(ISBLANK(JP!AO526),"","x")</f>
        <v/>
      </c>
      <c r="AN522" t="str">
        <f>IF(ISBLANK(JP!AP526),"","x")</f>
        <v/>
      </c>
      <c r="AO522" t="str">
        <f>IF(ISBLANK(JP!AR526),"","x")</f>
        <v/>
      </c>
      <c r="AP522" t="str">
        <f>IF(ISBLANK(JP!AS526),"","x")</f>
        <v/>
      </c>
      <c r="AQ522" t="str">
        <f>IF(ISBLANK(JP!AT526),"","x")</f>
        <v/>
      </c>
      <c r="AR522" t="str">
        <f>IF(ISBLANK(JP!AU526),"","x")</f>
        <v/>
      </c>
      <c r="AS522" t="str">
        <f>IF(ISBLANK(JP!AV526),"","x")</f>
        <v/>
      </c>
      <c r="AT522" t="str">
        <f>IF(ISBLANK(JP!AW526),"","x")</f>
        <v/>
      </c>
      <c r="AU522" t="str">
        <f>IF(ISBLANK(JP!AX526),"","x")</f>
        <v/>
      </c>
    </row>
    <row r="523" spans="2:47">
      <c r="B523" t="str">
        <f>IF(ISBLANK(JP!AZ527),"",JP!AZ527)</f>
        <v/>
      </c>
      <c r="C523" t="str">
        <f>IF(ISBLANK(JP!BA527),"",JP!BA527)</f>
        <v/>
      </c>
      <c r="D523" t="str">
        <f>IF(ISBLANK(JP!BC527),"",JP!BC527)</f>
        <v/>
      </c>
      <c r="E523" t="str">
        <f>IF(ISBLANK(JP!BB527),"",JP!BB527)</f>
        <v/>
      </c>
      <c r="F523" t="str">
        <f>IF(ISBLANK(JP!D527),"","x")</f>
        <v/>
      </c>
      <c r="G523" t="str">
        <f>IF(ISBLANK(JP!E527),"","x")</f>
        <v/>
      </c>
      <c r="H523" t="str">
        <f>IF(ISBLANK(JP!F527),"","x")</f>
        <v/>
      </c>
      <c r="I523" t="str">
        <f>IF(ISBLANK(JP!G527),"","x")</f>
        <v/>
      </c>
      <c r="J523" t="str">
        <f>IF(ISBLANK(JP!H527),"","x")</f>
        <v/>
      </c>
      <c r="K523" t="str">
        <f>IF(ISBLANK(JP!I527),"","x")</f>
        <v/>
      </c>
      <c r="L523" t="str">
        <f>IF(ISBLANK(JP!J527),"","x")</f>
        <v/>
      </c>
      <c r="M523" t="str">
        <f>IF(ISBLANK(JP!L527),"","x")</f>
        <v/>
      </c>
      <c r="N523" t="str">
        <f>IF(ISBLANK(JP!M527),"","x")</f>
        <v/>
      </c>
      <c r="O523" t="str">
        <f>IF(ISBLANK(JP!N527),"","x")</f>
        <v/>
      </c>
      <c r="P523" t="str">
        <f>IF(ISBLANK(JP!O527),"","x")</f>
        <v/>
      </c>
      <c r="Q523" t="str">
        <f>IF(ISBLANK(JP!P527),"","x")</f>
        <v/>
      </c>
      <c r="R523" t="str">
        <f>IF(ISBLANK(JP!Q527),"","x")</f>
        <v/>
      </c>
      <c r="S523" t="str">
        <f>IF(ISBLANK(JP!R527),"","x")</f>
        <v/>
      </c>
      <c r="T523" t="str">
        <f>IF(ISBLANK(JP!T527),"","x")</f>
        <v/>
      </c>
      <c r="U523" t="str">
        <f>IF(ISBLANK(JP!U527),"","x")</f>
        <v/>
      </c>
      <c r="V523" t="str">
        <f>IF(ISBLANK(JP!V527),"","x")</f>
        <v/>
      </c>
      <c r="W523" t="str">
        <f>IF(ISBLANK(JP!W527),"","x")</f>
        <v/>
      </c>
      <c r="X523" t="str">
        <f>IF(ISBLANK(JP!X527),"","x")</f>
        <v/>
      </c>
      <c r="Y523" t="str">
        <f>IF(ISBLANK(JP!Y527),"","x")</f>
        <v/>
      </c>
      <c r="Z523" t="str">
        <f>IF(ISBLANK(JP!Z527),"","x")</f>
        <v/>
      </c>
      <c r="AA523" t="str">
        <f>IF(ISBLANK(JP!AB527),"","x")</f>
        <v/>
      </c>
      <c r="AB523" t="str">
        <f>IF(ISBLANK(JP!AC527),"","x")</f>
        <v/>
      </c>
      <c r="AC523" t="str">
        <f>IF(ISBLANK(JP!AD527),"","x")</f>
        <v/>
      </c>
      <c r="AD523" t="str">
        <f>IF(ISBLANK(JP!AE527),"","x")</f>
        <v/>
      </c>
      <c r="AE523" t="str">
        <f>IF(ISBLANK(JP!AF527),"","x")</f>
        <v/>
      </c>
      <c r="AF523" t="str">
        <f>IF(ISBLANK(JP!AG527),"","x")</f>
        <v/>
      </c>
      <c r="AG523" t="str">
        <f>IF(ISBLANK(JP!AH527),"","x")</f>
        <v/>
      </c>
      <c r="AH523" t="str">
        <f>IF(ISBLANK(JP!AJ527),"","x")</f>
        <v/>
      </c>
      <c r="AI523" t="str">
        <f>IF(ISBLANK(JP!AK527),"","x")</f>
        <v/>
      </c>
      <c r="AJ523" t="str">
        <f>IF(ISBLANK(JP!AL527),"","x")</f>
        <v/>
      </c>
      <c r="AK523" t="str">
        <f>IF(ISBLANK(JP!AM527),"","x")</f>
        <v/>
      </c>
      <c r="AL523" t="str">
        <f>IF(ISBLANK(JP!AN527),"","x")</f>
        <v/>
      </c>
      <c r="AM523" t="str">
        <f>IF(ISBLANK(JP!AO527),"","x")</f>
        <v/>
      </c>
      <c r="AN523" t="str">
        <f>IF(ISBLANK(JP!AP527),"","x")</f>
        <v/>
      </c>
      <c r="AO523" t="str">
        <f>IF(ISBLANK(JP!AR527),"","x")</f>
        <v/>
      </c>
      <c r="AP523" t="str">
        <f>IF(ISBLANK(JP!AS527),"","x")</f>
        <v/>
      </c>
      <c r="AQ523" t="str">
        <f>IF(ISBLANK(JP!AT527),"","x")</f>
        <v/>
      </c>
      <c r="AR523" t="str">
        <f>IF(ISBLANK(JP!AU527),"","x")</f>
        <v/>
      </c>
      <c r="AS523" t="str">
        <f>IF(ISBLANK(JP!AV527),"","x")</f>
        <v/>
      </c>
      <c r="AT523" t="str">
        <f>IF(ISBLANK(JP!AW527),"","x")</f>
        <v/>
      </c>
      <c r="AU523" t="str">
        <f>IF(ISBLANK(JP!AX527),"","x")</f>
        <v/>
      </c>
    </row>
    <row r="524" spans="2:47">
      <c r="B524" t="str">
        <f>IF(ISBLANK(JP!AZ528),"",JP!AZ528)</f>
        <v/>
      </c>
      <c r="C524" t="str">
        <f>IF(ISBLANK(JP!BA528),"",JP!BA528)</f>
        <v/>
      </c>
      <c r="D524" t="str">
        <f>IF(ISBLANK(JP!BC528),"",JP!BC528)</f>
        <v/>
      </c>
      <c r="E524" t="str">
        <f>IF(ISBLANK(JP!BB528),"",JP!BB528)</f>
        <v/>
      </c>
      <c r="F524" t="str">
        <f>IF(ISBLANK(JP!D528),"","x")</f>
        <v/>
      </c>
      <c r="G524" t="str">
        <f>IF(ISBLANK(JP!E528),"","x")</f>
        <v/>
      </c>
      <c r="H524" t="str">
        <f>IF(ISBLANK(JP!F528),"","x")</f>
        <v/>
      </c>
      <c r="I524" t="str">
        <f>IF(ISBLANK(JP!G528),"","x")</f>
        <v/>
      </c>
      <c r="J524" t="str">
        <f>IF(ISBLANK(JP!H528),"","x")</f>
        <v/>
      </c>
      <c r="K524" t="str">
        <f>IF(ISBLANK(JP!I528),"","x")</f>
        <v/>
      </c>
      <c r="L524" t="str">
        <f>IF(ISBLANK(JP!J528),"","x")</f>
        <v/>
      </c>
      <c r="M524" t="str">
        <f>IF(ISBLANK(JP!L528),"","x")</f>
        <v/>
      </c>
      <c r="N524" t="str">
        <f>IF(ISBLANK(JP!M528),"","x")</f>
        <v/>
      </c>
      <c r="O524" t="str">
        <f>IF(ISBLANK(JP!N528),"","x")</f>
        <v/>
      </c>
      <c r="P524" t="str">
        <f>IF(ISBLANK(JP!O528),"","x")</f>
        <v/>
      </c>
      <c r="Q524" t="str">
        <f>IF(ISBLANK(JP!P528),"","x")</f>
        <v/>
      </c>
      <c r="R524" t="str">
        <f>IF(ISBLANK(JP!Q528),"","x")</f>
        <v/>
      </c>
      <c r="S524" t="str">
        <f>IF(ISBLANK(JP!R528),"","x")</f>
        <v/>
      </c>
      <c r="T524" t="str">
        <f>IF(ISBLANK(JP!T528),"","x")</f>
        <v/>
      </c>
      <c r="U524" t="str">
        <f>IF(ISBLANK(JP!U528),"","x")</f>
        <v/>
      </c>
      <c r="V524" t="str">
        <f>IF(ISBLANK(JP!V528),"","x")</f>
        <v/>
      </c>
      <c r="W524" t="str">
        <f>IF(ISBLANK(JP!W528),"","x")</f>
        <v/>
      </c>
      <c r="X524" t="str">
        <f>IF(ISBLANK(JP!X528),"","x")</f>
        <v/>
      </c>
      <c r="Y524" t="str">
        <f>IF(ISBLANK(JP!Y528),"","x")</f>
        <v/>
      </c>
      <c r="Z524" t="str">
        <f>IF(ISBLANK(JP!Z528),"","x")</f>
        <v/>
      </c>
      <c r="AA524" t="str">
        <f>IF(ISBLANK(JP!AB528),"","x")</f>
        <v/>
      </c>
      <c r="AB524" t="str">
        <f>IF(ISBLANK(JP!AC528),"","x")</f>
        <v/>
      </c>
      <c r="AC524" t="str">
        <f>IF(ISBLANK(JP!AD528),"","x")</f>
        <v/>
      </c>
      <c r="AD524" t="str">
        <f>IF(ISBLANK(JP!AE528),"","x")</f>
        <v/>
      </c>
      <c r="AE524" t="str">
        <f>IF(ISBLANK(JP!AF528),"","x")</f>
        <v/>
      </c>
      <c r="AF524" t="str">
        <f>IF(ISBLANK(JP!AG528),"","x")</f>
        <v/>
      </c>
      <c r="AG524" t="str">
        <f>IF(ISBLANK(JP!AH528),"","x")</f>
        <v/>
      </c>
      <c r="AH524" t="str">
        <f>IF(ISBLANK(JP!AJ528),"","x")</f>
        <v/>
      </c>
      <c r="AI524" t="str">
        <f>IF(ISBLANK(JP!AK528),"","x")</f>
        <v/>
      </c>
      <c r="AJ524" t="str">
        <f>IF(ISBLANK(JP!AL528),"","x")</f>
        <v/>
      </c>
      <c r="AK524" t="str">
        <f>IF(ISBLANK(JP!AM528),"","x")</f>
        <v/>
      </c>
      <c r="AL524" t="str">
        <f>IF(ISBLANK(JP!AN528),"","x")</f>
        <v/>
      </c>
      <c r="AM524" t="str">
        <f>IF(ISBLANK(JP!AO528),"","x")</f>
        <v/>
      </c>
      <c r="AN524" t="str">
        <f>IF(ISBLANK(JP!AP528),"","x")</f>
        <v/>
      </c>
      <c r="AO524" t="str">
        <f>IF(ISBLANK(JP!AR528),"","x")</f>
        <v/>
      </c>
      <c r="AP524" t="str">
        <f>IF(ISBLANK(JP!AS528),"","x")</f>
        <v/>
      </c>
      <c r="AQ524" t="str">
        <f>IF(ISBLANK(JP!AT528),"","x")</f>
        <v/>
      </c>
      <c r="AR524" t="str">
        <f>IF(ISBLANK(JP!AU528),"","x")</f>
        <v/>
      </c>
      <c r="AS524" t="str">
        <f>IF(ISBLANK(JP!AV528),"","x")</f>
        <v/>
      </c>
      <c r="AT524" t="str">
        <f>IF(ISBLANK(JP!AW528),"","x")</f>
        <v/>
      </c>
      <c r="AU524" t="str">
        <f>IF(ISBLANK(JP!AX528),"","x")</f>
        <v/>
      </c>
    </row>
    <row r="525" spans="2:47">
      <c r="B525" t="str">
        <f>IF(ISBLANK(JP!AZ529),"",JP!AZ529)</f>
        <v/>
      </c>
      <c r="C525" t="str">
        <f>IF(ISBLANK(JP!BA529),"",JP!BA529)</f>
        <v/>
      </c>
      <c r="D525" t="str">
        <f>IF(ISBLANK(JP!BC529),"",JP!BC529)</f>
        <v/>
      </c>
      <c r="E525" t="str">
        <f>IF(ISBLANK(JP!BB529),"",JP!BB529)</f>
        <v/>
      </c>
      <c r="F525" t="str">
        <f>IF(ISBLANK(JP!D529),"","x")</f>
        <v/>
      </c>
      <c r="G525" t="str">
        <f>IF(ISBLANK(JP!E529),"","x")</f>
        <v/>
      </c>
      <c r="H525" t="str">
        <f>IF(ISBLANK(JP!F529),"","x")</f>
        <v/>
      </c>
      <c r="I525" t="str">
        <f>IF(ISBLANK(JP!G529),"","x")</f>
        <v/>
      </c>
      <c r="J525" t="str">
        <f>IF(ISBLANK(JP!H529),"","x")</f>
        <v/>
      </c>
      <c r="K525" t="str">
        <f>IF(ISBLANK(JP!I529),"","x")</f>
        <v/>
      </c>
      <c r="L525" t="str">
        <f>IF(ISBLANK(JP!J529),"","x")</f>
        <v/>
      </c>
      <c r="M525" t="str">
        <f>IF(ISBLANK(JP!L529),"","x")</f>
        <v/>
      </c>
      <c r="N525" t="str">
        <f>IF(ISBLANK(JP!M529),"","x")</f>
        <v/>
      </c>
      <c r="O525" t="str">
        <f>IF(ISBLANK(JP!N529),"","x")</f>
        <v/>
      </c>
      <c r="P525" t="str">
        <f>IF(ISBLANK(JP!O529),"","x")</f>
        <v/>
      </c>
      <c r="Q525" t="str">
        <f>IF(ISBLANK(JP!P529),"","x")</f>
        <v/>
      </c>
      <c r="R525" t="str">
        <f>IF(ISBLANK(JP!Q529),"","x")</f>
        <v/>
      </c>
      <c r="S525" t="str">
        <f>IF(ISBLANK(JP!R529),"","x")</f>
        <v/>
      </c>
      <c r="T525" t="str">
        <f>IF(ISBLANK(JP!T529),"","x")</f>
        <v/>
      </c>
      <c r="U525" t="str">
        <f>IF(ISBLANK(JP!U529),"","x")</f>
        <v/>
      </c>
      <c r="V525" t="str">
        <f>IF(ISBLANK(JP!V529),"","x")</f>
        <v/>
      </c>
      <c r="W525" t="str">
        <f>IF(ISBLANK(JP!W529),"","x")</f>
        <v/>
      </c>
      <c r="X525" t="str">
        <f>IF(ISBLANK(JP!X529),"","x")</f>
        <v/>
      </c>
      <c r="Y525" t="str">
        <f>IF(ISBLANK(JP!Y529),"","x")</f>
        <v/>
      </c>
      <c r="Z525" t="str">
        <f>IF(ISBLANK(JP!Z529),"","x")</f>
        <v/>
      </c>
      <c r="AA525" t="str">
        <f>IF(ISBLANK(JP!AB529),"","x")</f>
        <v/>
      </c>
      <c r="AB525" t="str">
        <f>IF(ISBLANK(JP!AC529),"","x")</f>
        <v/>
      </c>
      <c r="AC525" t="str">
        <f>IF(ISBLANK(JP!AD529),"","x")</f>
        <v/>
      </c>
      <c r="AD525" t="str">
        <f>IF(ISBLANK(JP!AE529),"","x")</f>
        <v/>
      </c>
      <c r="AE525" t="str">
        <f>IF(ISBLANK(JP!AF529),"","x")</f>
        <v/>
      </c>
      <c r="AF525" t="str">
        <f>IF(ISBLANK(JP!AG529),"","x")</f>
        <v/>
      </c>
      <c r="AG525" t="str">
        <f>IF(ISBLANK(JP!AH529),"","x")</f>
        <v/>
      </c>
      <c r="AH525" t="str">
        <f>IF(ISBLANK(JP!AJ529),"","x")</f>
        <v/>
      </c>
      <c r="AI525" t="str">
        <f>IF(ISBLANK(JP!AK529),"","x")</f>
        <v/>
      </c>
      <c r="AJ525" t="str">
        <f>IF(ISBLANK(JP!AL529),"","x")</f>
        <v/>
      </c>
      <c r="AK525" t="str">
        <f>IF(ISBLANK(JP!AM529),"","x")</f>
        <v/>
      </c>
      <c r="AL525" t="str">
        <f>IF(ISBLANK(JP!AN529),"","x")</f>
        <v/>
      </c>
      <c r="AM525" t="str">
        <f>IF(ISBLANK(JP!AO529),"","x")</f>
        <v/>
      </c>
      <c r="AN525" t="str">
        <f>IF(ISBLANK(JP!AP529),"","x")</f>
        <v/>
      </c>
      <c r="AO525" t="str">
        <f>IF(ISBLANK(JP!AR529),"","x")</f>
        <v/>
      </c>
      <c r="AP525" t="str">
        <f>IF(ISBLANK(JP!AS529),"","x")</f>
        <v/>
      </c>
      <c r="AQ525" t="str">
        <f>IF(ISBLANK(JP!AT529),"","x")</f>
        <v/>
      </c>
      <c r="AR525" t="str">
        <f>IF(ISBLANK(JP!AU529),"","x")</f>
        <v/>
      </c>
      <c r="AS525" t="str">
        <f>IF(ISBLANK(JP!AV529),"","x")</f>
        <v/>
      </c>
      <c r="AT525" t="str">
        <f>IF(ISBLANK(JP!AW529),"","x")</f>
        <v/>
      </c>
      <c r="AU525" t="str">
        <f>IF(ISBLANK(JP!AX529),"","x")</f>
        <v/>
      </c>
    </row>
    <row r="526" spans="2:47">
      <c r="B526" t="str">
        <f>IF(ISBLANK(JP!AZ530),"",JP!AZ530)</f>
        <v/>
      </c>
      <c r="C526" t="str">
        <f>IF(ISBLANK(JP!BA530),"",JP!BA530)</f>
        <v/>
      </c>
      <c r="D526" t="str">
        <f>IF(ISBLANK(JP!BC530),"",JP!BC530)</f>
        <v/>
      </c>
      <c r="E526" t="str">
        <f>IF(ISBLANK(JP!BB530),"",JP!BB530)</f>
        <v/>
      </c>
      <c r="F526" t="str">
        <f>IF(ISBLANK(JP!D530),"","x")</f>
        <v/>
      </c>
      <c r="G526" t="str">
        <f>IF(ISBLANK(JP!E530),"","x")</f>
        <v/>
      </c>
      <c r="H526" t="str">
        <f>IF(ISBLANK(JP!F530),"","x")</f>
        <v/>
      </c>
      <c r="I526" t="str">
        <f>IF(ISBLANK(JP!G530),"","x")</f>
        <v/>
      </c>
      <c r="J526" t="str">
        <f>IF(ISBLANK(JP!H530),"","x")</f>
        <v/>
      </c>
      <c r="K526" t="str">
        <f>IF(ISBLANK(JP!I530),"","x")</f>
        <v/>
      </c>
      <c r="L526" t="str">
        <f>IF(ISBLANK(JP!J530),"","x")</f>
        <v/>
      </c>
      <c r="M526" t="str">
        <f>IF(ISBLANK(JP!L530),"","x")</f>
        <v/>
      </c>
      <c r="N526" t="str">
        <f>IF(ISBLANK(JP!M530),"","x")</f>
        <v/>
      </c>
      <c r="O526" t="str">
        <f>IF(ISBLANK(JP!N530),"","x")</f>
        <v/>
      </c>
      <c r="P526" t="str">
        <f>IF(ISBLANK(JP!O530),"","x")</f>
        <v/>
      </c>
      <c r="Q526" t="str">
        <f>IF(ISBLANK(JP!P530),"","x")</f>
        <v/>
      </c>
      <c r="R526" t="str">
        <f>IF(ISBLANK(JP!Q530),"","x")</f>
        <v/>
      </c>
      <c r="S526" t="str">
        <f>IF(ISBLANK(JP!R530),"","x")</f>
        <v/>
      </c>
      <c r="T526" t="str">
        <f>IF(ISBLANK(JP!T530),"","x")</f>
        <v/>
      </c>
      <c r="U526" t="str">
        <f>IF(ISBLANK(JP!U530),"","x")</f>
        <v/>
      </c>
      <c r="V526" t="str">
        <f>IF(ISBLANK(JP!V530),"","x")</f>
        <v/>
      </c>
      <c r="W526" t="str">
        <f>IF(ISBLANK(JP!W530),"","x")</f>
        <v/>
      </c>
      <c r="X526" t="str">
        <f>IF(ISBLANK(JP!X530),"","x")</f>
        <v/>
      </c>
      <c r="Y526" t="str">
        <f>IF(ISBLANK(JP!Y530),"","x")</f>
        <v/>
      </c>
      <c r="Z526" t="str">
        <f>IF(ISBLANK(JP!Z530),"","x")</f>
        <v/>
      </c>
      <c r="AA526" t="str">
        <f>IF(ISBLANK(JP!AB530),"","x")</f>
        <v/>
      </c>
      <c r="AB526" t="str">
        <f>IF(ISBLANK(JP!AC530),"","x")</f>
        <v/>
      </c>
      <c r="AC526" t="str">
        <f>IF(ISBLANK(JP!AD530),"","x")</f>
        <v/>
      </c>
      <c r="AD526" t="str">
        <f>IF(ISBLANK(JP!AE530),"","x")</f>
        <v/>
      </c>
      <c r="AE526" t="str">
        <f>IF(ISBLANK(JP!AF530),"","x")</f>
        <v/>
      </c>
      <c r="AF526" t="str">
        <f>IF(ISBLANK(JP!AG530),"","x")</f>
        <v/>
      </c>
      <c r="AG526" t="str">
        <f>IF(ISBLANK(JP!AH530),"","x")</f>
        <v/>
      </c>
      <c r="AH526" t="str">
        <f>IF(ISBLANK(JP!AJ530),"","x")</f>
        <v/>
      </c>
      <c r="AI526" t="str">
        <f>IF(ISBLANK(JP!AK530),"","x")</f>
        <v/>
      </c>
      <c r="AJ526" t="str">
        <f>IF(ISBLANK(JP!AL530),"","x")</f>
        <v/>
      </c>
      <c r="AK526" t="str">
        <f>IF(ISBLANK(JP!AM530),"","x")</f>
        <v/>
      </c>
      <c r="AL526" t="str">
        <f>IF(ISBLANK(JP!AN530),"","x")</f>
        <v/>
      </c>
      <c r="AM526" t="str">
        <f>IF(ISBLANK(JP!AO530),"","x")</f>
        <v/>
      </c>
      <c r="AN526" t="str">
        <f>IF(ISBLANK(JP!AP530),"","x")</f>
        <v/>
      </c>
      <c r="AO526" t="str">
        <f>IF(ISBLANK(JP!AR530),"","x")</f>
        <v/>
      </c>
      <c r="AP526" t="str">
        <f>IF(ISBLANK(JP!AS530),"","x")</f>
        <v/>
      </c>
      <c r="AQ526" t="str">
        <f>IF(ISBLANK(JP!AT530),"","x")</f>
        <v/>
      </c>
      <c r="AR526" t="str">
        <f>IF(ISBLANK(JP!AU530),"","x")</f>
        <v/>
      </c>
      <c r="AS526" t="str">
        <f>IF(ISBLANK(JP!AV530),"","x")</f>
        <v/>
      </c>
      <c r="AT526" t="str">
        <f>IF(ISBLANK(JP!AW530),"","x")</f>
        <v/>
      </c>
      <c r="AU526" t="str">
        <f>IF(ISBLANK(JP!AX530),"","x")</f>
        <v/>
      </c>
    </row>
    <row r="527" spans="2:47">
      <c r="B527" t="str">
        <f>IF(ISBLANK(JP!AZ531),"",JP!AZ531)</f>
        <v/>
      </c>
      <c r="C527" t="str">
        <f>IF(ISBLANK(JP!BA531),"",JP!BA531)</f>
        <v/>
      </c>
      <c r="D527" t="str">
        <f>IF(ISBLANK(JP!BC531),"",JP!BC531)</f>
        <v/>
      </c>
      <c r="E527" t="str">
        <f>IF(ISBLANK(JP!BB531),"",JP!BB531)</f>
        <v/>
      </c>
      <c r="F527" t="str">
        <f>IF(ISBLANK(JP!D531),"","x")</f>
        <v/>
      </c>
      <c r="G527" t="str">
        <f>IF(ISBLANK(JP!E531),"","x")</f>
        <v/>
      </c>
      <c r="H527" t="str">
        <f>IF(ISBLANK(JP!F531),"","x")</f>
        <v/>
      </c>
      <c r="I527" t="str">
        <f>IF(ISBLANK(JP!G531),"","x")</f>
        <v/>
      </c>
      <c r="J527" t="str">
        <f>IF(ISBLANK(JP!H531),"","x")</f>
        <v/>
      </c>
      <c r="K527" t="str">
        <f>IF(ISBLANK(JP!I531),"","x")</f>
        <v/>
      </c>
      <c r="L527" t="str">
        <f>IF(ISBLANK(JP!J531),"","x")</f>
        <v/>
      </c>
      <c r="M527" t="str">
        <f>IF(ISBLANK(JP!L531),"","x")</f>
        <v/>
      </c>
      <c r="N527" t="str">
        <f>IF(ISBLANK(JP!M531),"","x")</f>
        <v/>
      </c>
      <c r="O527" t="str">
        <f>IF(ISBLANK(JP!N531),"","x")</f>
        <v/>
      </c>
      <c r="P527" t="str">
        <f>IF(ISBLANK(JP!O531),"","x")</f>
        <v/>
      </c>
      <c r="Q527" t="str">
        <f>IF(ISBLANK(JP!P531),"","x")</f>
        <v/>
      </c>
      <c r="R527" t="str">
        <f>IF(ISBLANK(JP!Q531),"","x")</f>
        <v/>
      </c>
      <c r="S527" t="str">
        <f>IF(ISBLANK(JP!R531),"","x")</f>
        <v/>
      </c>
      <c r="T527" t="str">
        <f>IF(ISBLANK(JP!T531),"","x")</f>
        <v/>
      </c>
      <c r="U527" t="str">
        <f>IF(ISBLANK(JP!U531),"","x")</f>
        <v/>
      </c>
      <c r="V527" t="str">
        <f>IF(ISBLANK(JP!V531),"","x")</f>
        <v/>
      </c>
      <c r="W527" t="str">
        <f>IF(ISBLANK(JP!W531),"","x")</f>
        <v/>
      </c>
      <c r="X527" t="str">
        <f>IF(ISBLANK(JP!X531),"","x")</f>
        <v/>
      </c>
      <c r="Y527" t="str">
        <f>IF(ISBLANK(JP!Y531),"","x")</f>
        <v/>
      </c>
      <c r="Z527" t="str">
        <f>IF(ISBLANK(JP!Z531),"","x")</f>
        <v/>
      </c>
      <c r="AA527" t="str">
        <f>IF(ISBLANK(JP!AB531),"","x")</f>
        <v/>
      </c>
      <c r="AB527" t="str">
        <f>IF(ISBLANK(JP!AC531),"","x")</f>
        <v/>
      </c>
      <c r="AC527" t="str">
        <f>IF(ISBLANK(JP!AD531),"","x")</f>
        <v/>
      </c>
      <c r="AD527" t="str">
        <f>IF(ISBLANK(JP!AE531),"","x")</f>
        <v/>
      </c>
      <c r="AE527" t="str">
        <f>IF(ISBLANK(JP!AF531),"","x")</f>
        <v/>
      </c>
      <c r="AF527" t="str">
        <f>IF(ISBLANK(JP!AG531),"","x")</f>
        <v/>
      </c>
      <c r="AG527" t="str">
        <f>IF(ISBLANK(JP!AH531),"","x")</f>
        <v/>
      </c>
      <c r="AH527" t="str">
        <f>IF(ISBLANK(JP!AJ531),"","x")</f>
        <v/>
      </c>
      <c r="AI527" t="str">
        <f>IF(ISBLANK(JP!AK531),"","x")</f>
        <v/>
      </c>
      <c r="AJ527" t="str">
        <f>IF(ISBLANK(JP!AL531),"","x")</f>
        <v/>
      </c>
      <c r="AK527" t="str">
        <f>IF(ISBLANK(JP!AM531),"","x")</f>
        <v/>
      </c>
      <c r="AL527" t="str">
        <f>IF(ISBLANK(JP!AN531),"","x")</f>
        <v/>
      </c>
      <c r="AM527" t="str">
        <f>IF(ISBLANK(JP!AO531),"","x")</f>
        <v/>
      </c>
      <c r="AN527" t="str">
        <f>IF(ISBLANK(JP!AP531),"","x")</f>
        <v/>
      </c>
      <c r="AO527" t="str">
        <f>IF(ISBLANK(JP!AR531),"","x")</f>
        <v/>
      </c>
      <c r="AP527" t="str">
        <f>IF(ISBLANK(JP!AS531),"","x")</f>
        <v/>
      </c>
      <c r="AQ527" t="str">
        <f>IF(ISBLANK(JP!AT531),"","x")</f>
        <v/>
      </c>
      <c r="AR527" t="str">
        <f>IF(ISBLANK(JP!AU531),"","x")</f>
        <v/>
      </c>
      <c r="AS527" t="str">
        <f>IF(ISBLANK(JP!AV531),"","x")</f>
        <v/>
      </c>
      <c r="AT527" t="str">
        <f>IF(ISBLANK(JP!AW531),"","x")</f>
        <v/>
      </c>
      <c r="AU527" t="str">
        <f>IF(ISBLANK(JP!AX531),"","x")</f>
        <v/>
      </c>
    </row>
    <row r="528" spans="2:47">
      <c r="B528" t="str">
        <f>IF(ISBLANK(JP!AZ532),"",JP!AZ532)</f>
        <v/>
      </c>
      <c r="C528" t="str">
        <f>IF(ISBLANK(JP!BA532),"",JP!BA532)</f>
        <v/>
      </c>
      <c r="D528" t="str">
        <f>IF(ISBLANK(JP!BC532),"",JP!BC532)</f>
        <v/>
      </c>
      <c r="E528" t="str">
        <f>IF(ISBLANK(JP!BB532),"",JP!BB532)</f>
        <v/>
      </c>
      <c r="F528" t="str">
        <f>IF(ISBLANK(JP!D532),"","x")</f>
        <v/>
      </c>
      <c r="G528" t="str">
        <f>IF(ISBLANK(JP!E532),"","x")</f>
        <v/>
      </c>
      <c r="H528" t="str">
        <f>IF(ISBLANK(JP!F532),"","x")</f>
        <v/>
      </c>
      <c r="I528" t="str">
        <f>IF(ISBLANK(JP!G532),"","x")</f>
        <v/>
      </c>
      <c r="J528" t="str">
        <f>IF(ISBLANK(JP!H532),"","x")</f>
        <v/>
      </c>
      <c r="K528" t="str">
        <f>IF(ISBLANK(JP!I532),"","x")</f>
        <v/>
      </c>
      <c r="L528" t="str">
        <f>IF(ISBLANK(JP!J532),"","x")</f>
        <v/>
      </c>
      <c r="M528" t="str">
        <f>IF(ISBLANK(JP!L532),"","x")</f>
        <v/>
      </c>
      <c r="N528" t="str">
        <f>IF(ISBLANK(JP!M532),"","x")</f>
        <v/>
      </c>
      <c r="O528" t="str">
        <f>IF(ISBLANK(JP!N532),"","x")</f>
        <v/>
      </c>
      <c r="P528" t="str">
        <f>IF(ISBLANK(JP!O532),"","x")</f>
        <v/>
      </c>
      <c r="Q528" t="str">
        <f>IF(ISBLANK(JP!P532),"","x")</f>
        <v/>
      </c>
      <c r="R528" t="str">
        <f>IF(ISBLANK(JP!Q532),"","x")</f>
        <v/>
      </c>
      <c r="S528" t="str">
        <f>IF(ISBLANK(JP!R532),"","x")</f>
        <v/>
      </c>
      <c r="T528" t="str">
        <f>IF(ISBLANK(JP!T532),"","x")</f>
        <v/>
      </c>
      <c r="U528" t="str">
        <f>IF(ISBLANK(JP!U532),"","x")</f>
        <v/>
      </c>
      <c r="V528" t="str">
        <f>IF(ISBLANK(JP!V532),"","x")</f>
        <v/>
      </c>
      <c r="W528" t="str">
        <f>IF(ISBLANK(JP!W532),"","x")</f>
        <v/>
      </c>
      <c r="X528" t="str">
        <f>IF(ISBLANK(JP!X532),"","x")</f>
        <v/>
      </c>
      <c r="Y528" t="str">
        <f>IF(ISBLANK(JP!Y532),"","x")</f>
        <v/>
      </c>
      <c r="Z528" t="str">
        <f>IF(ISBLANK(JP!Z532),"","x")</f>
        <v/>
      </c>
      <c r="AA528" t="str">
        <f>IF(ISBLANK(JP!AB532),"","x")</f>
        <v/>
      </c>
      <c r="AB528" t="str">
        <f>IF(ISBLANK(JP!AC532),"","x")</f>
        <v/>
      </c>
      <c r="AC528" t="str">
        <f>IF(ISBLANK(JP!AD532),"","x")</f>
        <v/>
      </c>
      <c r="AD528" t="str">
        <f>IF(ISBLANK(JP!AE532),"","x")</f>
        <v/>
      </c>
      <c r="AE528" t="str">
        <f>IF(ISBLANK(JP!AF532),"","x")</f>
        <v/>
      </c>
      <c r="AF528" t="str">
        <f>IF(ISBLANK(JP!AG532),"","x")</f>
        <v/>
      </c>
      <c r="AG528" t="str">
        <f>IF(ISBLANK(JP!AH532),"","x")</f>
        <v/>
      </c>
      <c r="AH528" t="str">
        <f>IF(ISBLANK(JP!AJ532),"","x")</f>
        <v/>
      </c>
      <c r="AI528" t="str">
        <f>IF(ISBLANK(JP!AK532),"","x")</f>
        <v/>
      </c>
      <c r="AJ528" t="str">
        <f>IF(ISBLANK(JP!AL532),"","x")</f>
        <v/>
      </c>
      <c r="AK528" t="str">
        <f>IF(ISBLANK(JP!AM532),"","x")</f>
        <v/>
      </c>
      <c r="AL528" t="str">
        <f>IF(ISBLANK(JP!AN532),"","x")</f>
        <v/>
      </c>
      <c r="AM528" t="str">
        <f>IF(ISBLANK(JP!AO532),"","x")</f>
        <v/>
      </c>
      <c r="AN528" t="str">
        <f>IF(ISBLANK(JP!AP532),"","x")</f>
        <v/>
      </c>
      <c r="AO528" t="str">
        <f>IF(ISBLANK(JP!AR532),"","x")</f>
        <v/>
      </c>
      <c r="AP528" t="str">
        <f>IF(ISBLANK(JP!AS532),"","x")</f>
        <v/>
      </c>
      <c r="AQ528" t="str">
        <f>IF(ISBLANK(JP!AT532),"","x")</f>
        <v/>
      </c>
      <c r="AR528" t="str">
        <f>IF(ISBLANK(JP!AU532),"","x")</f>
        <v/>
      </c>
      <c r="AS528" t="str">
        <f>IF(ISBLANK(JP!AV532),"","x")</f>
        <v/>
      </c>
      <c r="AT528" t="str">
        <f>IF(ISBLANK(JP!AW532),"","x")</f>
        <v/>
      </c>
      <c r="AU528" t="str">
        <f>IF(ISBLANK(JP!AX532),"","x")</f>
        <v/>
      </c>
    </row>
    <row r="529" spans="2:47">
      <c r="B529" t="str">
        <f>IF(ISBLANK(JP!AZ533),"",JP!AZ533)</f>
        <v/>
      </c>
      <c r="C529" t="str">
        <f>IF(ISBLANK(JP!BA533),"",JP!BA533)</f>
        <v/>
      </c>
      <c r="D529" t="str">
        <f>IF(ISBLANK(JP!BC533),"",JP!BC533)</f>
        <v/>
      </c>
      <c r="E529" t="str">
        <f>IF(ISBLANK(JP!BB533),"",JP!BB533)</f>
        <v/>
      </c>
      <c r="F529" t="str">
        <f>IF(ISBLANK(JP!D533),"","x")</f>
        <v/>
      </c>
      <c r="G529" t="str">
        <f>IF(ISBLANK(JP!E533),"","x")</f>
        <v/>
      </c>
      <c r="H529" t="str">
        <f>IF(ISBLANK(JP!F533),"","x")</f>
        <v/>
      </c>
      <c r="I529" t="str">
        <f>IF(ISBLANK(JP!G533),"","x")</f>
        <v/>
      </c>
      <c r="J529" t="str">
        <f>IF(ISBLANK(JP!H533),"","x")</f>
        <v/>
      </c>
      <c r="K529" t="str">
        <f>IF(ISBLANK(JP!I533),"","x")</f>
        <v/>
      </c>
      <c r="L529" t="str">
        <f>IF(ISBLANK(JP!J533),"","x")</f>
        <v/>
      </c>
      <c r="M529" t="str">
        <f>IF(ISBLANK(JP!L533),"","x")</f>
        <v/>
      </c>
      <c r="N529" t="str">
        <f>IF(ISBLANK(JP!M533),"","x")</f>
        <v/>
      </c>
      <c r="O529" t="str">
        <f>IF(ISBLANK(JP!N533),"","x")</f>
        <v/>
      </c>
      <c r="P529" t="str">
        <f>IF(ISBLANK(JP!O533),"","x")</f>
        <v/>
      </c>
      <c r="Q529" t="str">
        <f>IF(ISBLANK(JP!P533),"","x")</f>
        <v/>
      </c>
      <c r="R529" t="str">
        <f>IF(ISBLANK(JP!Q533),"","x")</f>
        <v/>
      </c>
      <c r="S529" t="str">
        <f>IF(ISBLANK(JP!R533),"","x")</f>
        <v/>
      </c>
      <c r="T529" t="str">
        <f>IF(ISBLANK(JP!T533),"","x")</f>
        <v/>
      </c>
      <c r="U529" t="str">
        <f>IF(ISBLANK(JP!U533),"","x")</f>
        <v/>
      </c>
      <c r="V529" t="str">
        <f>IF(ISBLANK(JP!V533),"","x")</f>
        <v/>
      </c>
      <c r="W529" t="str">
        <f>IF(ISBLANK(JP!W533),"","x")</f>
        <v/>
      </c>
      <c r="X529" t="str">
        <f>IF(ISBLANK(JP!X533),"","x")</f>
        <v/>
      </c>
      <c r="Y529" t="str">
        <f>IF(ISBLANK(JP!Y533),"","x")</f>
        <v/>
      </c>
      <c r="Z529" t="str">
        <f>IF(ISBLANK(JP!Z533),"","x")</f>
        <v/>
      </c>
      <c r="AA529" t="str">
        <f>IF(ISBLANK(JP!AB533),"","x")</f>
        <v/>
      </c>
      <c r="AB529" t="str">
        <f>IF(ISBLANK(JP!AC533),"","x")</f>
        <v/>
      </c>
      <c r="AC529" t="str">
        <f>IF(ISBLANK(JP!AD533),"","x")</f>
        <v/>
      </c>
      <c r="AD529" t="str">
        <f>IF(ISBLANK(JP!AE533),"","x")</f>
        <v/>
      </c>
      <c r="AE529" t="str">
        <f>IF(ISBLANK(JP!AF533),"","x")</f>
        <v/>
      </c>
      <c r="AF529" t="str">
        <f>IF(ISBLANK(JP!AG533),"","x")</f>
        <v/>
      </c>
      <c r="AG529" t="str">
        <f>IF(ISBLANK(JP!AH533),"","x")</f>
        <v/>
      </c>
      <c r="AH529" t="str">
        <f>IF(ISBLANK(JP!AJ533),"","x")</f>
        <v/>
      </c>
      <c r="AI529" t="str">
        <f>IF(ISBLANK(JP!AK533),"","x")</f>
        <v/>
      </c>
      <c r="AJ529" t="str">
        <f>IF(ISBLANK(JP!AL533),"","x")</f>
        <v/>
      </c>
      <c r="AK529" t="str">
        <f>IF(ISBLANK(JP!AM533),"","x")</f>
        <v/>
      </c>
      <c r="AL529" t="str">
        <f>IF(ISBLANK(JP!AN533),"","x")</f>
        <v/>
      </c>
      <c r="AM529" t="str">
        <f>IF(ISBLANK(JP!AO533),"","x")</f>
        <v/>
      </c>
      <c r="AN529" t="str">
        <f>IF(ISBLANK(JP!AP533),"","x")</f>
        <v/>
      </c>
      <c r="AO529" t="str">
        <f>IF(ISBLANK(JP!AR533),"","x")</f>
        <v/>
      </c>
      <c r="AP529" t="str">
        <f>IF(ISBLANK(JP!AS533),"","x")</f>
        <v/>
      </c>
      <c r="AQ529" t="str">
        <f>IF(ISBLANK(JP!AT533),"","x")</f>
        <v/>
      </c>
      <c r="AR529" t="str">
        <f>IF(ISBLANK(JP!AU533),"","x")</f>
        <v/>
      </c>
      <c r="AS529" t="str">
        <f>IF(ISBLANK(JP!AV533),"","x")</f>
        <v/>
      </c>
      <c r="AT529" t="str">
        <f>IF(ISBLANK(JP!AW533),"","x")</f>
        <v/>
      </c>
      <c r="AU529" t="str">
        <f>IF(ISBLANK(JP!AX533),"","x")</f>
        <v/>
      </c>
    </row>
    <row r="530" spans="2:47">
      <c r="B530" t="str">
        <f>IF(ISBLANK(JP!AZ534),"",JP!AZ534)</f>
        <v/>
      </c>
      <c r="C530" t="str">
        <f>IF(ISBLANK(JP!BA534),"",JP!BA534)</f>
        <v/>
      </c>
      <c r="D530" t="str">
        <f>IF(ISBLANK(JP!BC534),"",JP!BC534)</f>
        <v/>
      </c>
      <c r="E530" t="str">
        <f>IF(ISBLANK(JP!BB534),"",JP!BB534)</f>
        <v/>
      </c>
      <c r="F530" t="str">
        <f>IF(ISBLANK(JP!D534),"","x")</f>
        <v/>
      </c>
      <c r="G530" t="str">
        <f>IF(ISBLANK(JP!E534),"","x")</f>
        <v/>
      </c>
      <c r="H530" t="str">
        <f>IF(ISBLANK(JP!F534),"","x")</f>
        <v/>
      </c>
      <c r="I530" t="str">
        <f>IF(ISBLANK(JP!G534),"","x")</f>
        <v/>
      </c>
      <c r="J530" t="str">
        <f>IF(ISBLANK(JP!H534),"","x")</f>
        <v/>
      </c>
      <c r="K530" t="str">
        <f>IF(ISBLANK(JP!I534),"","x")</f>
        <v/>
      </c>
      <c r="L530" t="str">
        <f>IF(ISBLANK(JP!J534),"","x")</f>
        <v/>
      </c>
      <c r="M530" t="str">
        <f>IF(ISBLANK(JP!L534),"","x")</f>
        <v/>
      </c>
      <c r="N530" t="str">
        <f>IF(ISBLANK(JP!M534),"","x")</f>
        <v/>
      </c>
      <c r="O530" t="str">
        <f>IF(ISBLANK(JP!N534),"","x")</f>
        <v/>
      </c>
      <c r="P530" t="str">
        <f>IF(ISBLANK(JP!O534),"","x")</f>
        <v/>
      </c>
      <c r="Q530" t="str">
        <f>IF(ISBLANK(JP!P534),"","x")</f>
        <v/>
      </c>
      <c r="R530" t="str">
        <f>IF(ISBLANK(JP!Q534),"","x")</f>
        <v/>
      </c>
      <c r="S530" t="str">
        <f>IF(ISBLANK(JP!R534),"","x")</f>
        <v/>
      </c>
      <c r="T530" t="str">
        <f>IF(ISBLANK(JP!T534),"","x")</f>
        <v/>
      </c>
      <c r="U530" t="str">
        <f>IF(ISBLANK(JP!U534),"","x")</f>
        <v/>
      </c>
      <c r="V530" t="str">
        <f>IF(ISBLANK(JP!V534),"","x")</f>
        <v/>
      </c>
      <c r="W530" t="str">
        <f>IF(ISBLANK(JP!W534),"","x")</f>
        <v/>
      </c>
      <c r="X530" t="str">
        <f>IF(ISBLANK(JP!X534),"","x")</f>
        <v/>
      </c>
      <c r="Y530" t="str">
        <f>IF(ISBLANK(JP!Y534),"","x")</f>
        <v/>
      </c>
      <c r="Z530" t="str">
        <f>IF(ISBLANK(JP!Z534),"","x")</f>
        <v/>
      </c>
      <c r="AA530" t="str">
        <f>IF(ISBLANK(JP!AB534),"","x")</f>
        <v/>
      </c>
      <c r="AB530" t="str">
        <f>IF(ISBLANK(JP!AC534),"","x")</f>
        <v/>
      </c>
      <c r="AC530" t="str">
        <f>IF(ISBLANK(JP!AD534),"","x")</f>
        <v/>
      </c>
      <c r="AD530" t="str">
        <f>IF(ISBLANK(JP!AE534),"","x")</f>
        <v/>
      </c>
      <c r="AE530" t="str">
        <f>IF(ISBLANK(JP!AF534),"","x")</f>
        <v/>
      </c>
      <c r="AF530" t="str">
        <f>IF(ISBLANK(JP!AG534),"","x")</f>
        <v/>
      </c>
      <c r="AG530" t="str">
        <f>IF(ISBLANK(JP!AH534),"","x")</f>
        <v/>
      </c>
      <c r="AH530" t="str">
        <f>IF(ISBLANK(JP!AJ534),"","x")</f>
        <v/>
      </c>
      <c r="AI530" t="str">
        <f>IF(ISBLANK(JP!AK534),"","x")</f>
        <v/>
      </c>
      <c r="AJ530" t="str">
        <f>IF(ISBLANK(JP!AL534),"","x")</f>
        <v/>
      </c>
      <c r="AK530" t="str">
        <f>IF(ISBLANK(JP!AM534),"","x")</f>
        <v/>
      </c>
      <c r="AL530" t="str">
        <f>IF(ISBLANK(JP!AN534),"","x")</f>
        <v/>
      </c>
      <c r="AM530" t="str">
        <f>IF(ISBLANK(JP!AO534),"","x")</f>
        <v/>
      </c>
      <c r="AN530" t="str">
        <f>IF(ISBLANK(JP!AP534),"","x")</f>
        <v/>
      </c>
      <c r="AO530" t="str">
        <f>IF(ISBLANK(JP!AR534),"","x")</f>
        <v/>
      </c>
      <c r="AP530" t="str">
        <f>IF(ISBLANK(JP!AS534),"","x")</f>
        <v/>
      </c>
      <c r="AQ530" t="str">
        <f>IF(ISBLANK(JP!AT534),"","x")</f>
        <v/>
      </c>
      <c r="AR530" t="str">
        <f>IF(ISBLANK(JP!AU534),"","x")</f>
        <v/>
      </c>
      <c r="AS530" t="str">
        <f>IF(ISBLANK(JP!AV534),"","x")</f>
        <v/>
      </c>
      <c r="AT530" t="str">
        <f>IF(ISBLANK(JP!AW534),"","x")</f>
        <v/>
      </c>
      <c r="AU530" t="str">
        <f>IF(ISBLANK(JP!AX534),"","x")</f>
        <v/>
      </c>
    </row>
    <row r="531" spans="2:47">
      <c r="B531" t="str">
        <f>IF(ISBLANK(JP!AZ535),"",JP!AZ535)</f>
        <v/>
      </c>
      <c r="C531" t="str">
        <f>IF(ISBLANK(JP!BA535),"",JP!BA535)</f>
        <v/>
      </c>
      <c r="D531" t="str">
        <f>IF(ISBLANK(JP!BC535),"",JP!BC535)</f>
        <v/>
      </c>
      <c r="E531" t="str">
        <f>IF(ISBLANK(JP!BB535),"",JP!BB535)</f>
        <v/>
      </c>
      <c r="F531" t="str">
        <f>IF(ISBLANK(JP!D535),"","x")</f>
        <v/>
      </c>
      <c r="G531" t="str">
        <f>IF(ISBLANK(JP!E535),"","x")</f>
        <v/>
      </c>
      <c r="H531" t="str">
        <f>IF(ISBLANK(JP!F535),"","x")</f>
        <v/>
      </c>
      <c r="I531" t="str">
        <f>IF(ISBLANK(JP!G535),"","x")</f>
        <v/>
      </c>
      <c r="J531" t="str">
        <f>IF(ISBLANK(JP!H535),"","x")</f>
        <v/>
      </c>
      <c r="K531" t="str">
        <f>IF(ISBLANK(JP!I535),"","x")</f>
        <v/>
      </c>
      <c r="L531" t="str">
        <f>IF(ISBLANK(JP!J535),"","x")</f>
        <v/>
      </c>
      <c r="M531" t="str">
        <f>IF(ISBLANK(JP!L535),"","x")</f>
        <v/>
      </c>
      <c r="N531" t="str">
        <f>IF(ISBLANK(JP!M535),"","x")</f>
        <v/>
      </c>
      <c r="O531" t="str">
        <f>IF(ISBLANK(JP!N535),"","x")</f>
        <v/>
      </c>
      <c r="P531" t="str">
        <f>IF(ISBLANK(JP!O535),"","x")</f>
        <v/>
      </c>
      <c r="Q531" t="str">
        <f>IF(ISBLANK(JP!P535),"","x")</f>
        <v/>
      </c>
      <c r="R531" t="str">
        <f>IF(ISBLANK(JP!Q535),"","x")</f>
        <v/>
      </c>
      <c r="S531" t="str">
        <f>IF(ISBLANK(JP!R535),"","x")</f>
        <v/>
      </c>
      <c r="T531" t="str">
        <f>IF(ISBLANK(JP!T535),"","x")</f>
        <v/>
      </c>
      <c r="U531" t="str">
        <f>IF(ISBLANK(JP!U535),"","x")</f>
        <v/>
      </c>
      <c r="V531" t="str">
        <f>IF(ISBLANK(JP!V535),"","x")</f>
        <v/>
      </c>
      <c r="W531" t="str">
        <f>IF(ISBLANK(JP!W535),"","x")</f>
        <v/>
      </c>
      <c r="X531" t="str">
        <f>IF(ISBLANK(JP!X535),"","x")</f>
        <v/>
      </c>
      <c r="Y531" t="str">
        <f>IF(ISBLANK(JP!Y535),"","x")</f>
        <v/>
      </c>
      <c r="Z531" t="str">
        <f>IF(ISBLANK(JP!Z535),"","x")</f>
        <v/>
      </c>
      <c r="AA531" t="str">
        <f>IF(ISBLANK(JP!AB535),"","x")</f>
        <v/>
      </c>
      <c r="AB531" t="str">
        <f>IF(ISBLANK(JP!AC535),"","x")</f>
        <v/>
      </c>
      <c r="AC531" t="str">
        <f>IF(ISBLANK(JP!AD535),"","x")</f>
        <v/>
      </c>
      <c r="AD531" t="str">
        <f>IF(ISBLANK(JP!AE535),"","x")</f>
        <v/>
      </c>
      <c r="AE531" t="str">
        <f>IF(ISBLANK(JP!AF535),"","x")</f>
        <v/>
      </c>
      <c r="AF531" t="str">
        <f>IF(ISBLANK(JP!AG535),"","x")</f>
        <v/>
      </c>
      <c r="AG531" t="str">
        <f>IF(ISBLANK(JP!AH535),"","x")</f>
        <v/>
      </c>
      <c r="AH531" t="str">
        <f>IF(ISBLANK(JP!AJ535),"","x")</f>
        <v/>
      </c>
      <c r="AI531" t="str">
        <f>IF(ISBLANK(JP!AK535),"","x")</f>
        <v/>
      </c>
      <c r="AJ531" t="str">
        <f>IF(ISBLANK(JP!AL535),"","x")</f>
        <v/>
      </c>
      <c r="AK531" t="str">
        <f>IF(ISBLANK(JP!AM535),"","x")</f>
        <v/>
      </c>
      <c r="AL531" t="str">
        <f>IF(ISBLANK(JP!AN535),"","x")</f>
        <v/>
      </c>
      <c r="AM531" t="str">
        <f>IF(ISBLANK(JP!AO535),"","x")</f>
        <v/>
      </c>
      <c r="AN531" t="str">
        <f>IF(ISBLANK(JP!AP535),"","x")</f>
        <v/>
      </c>
      <c r="AO531" t="str">
        <f>IF(ISBLANK(JP!AR535),"","x")</f>
        <v/>
      </c>
      <c r="AP531" t="str">
        <f>IF(ISBLANK(JP!AS535),"","x")</f>
        <v/>
      </c>
      <c r="AQ531" t="str">
        <f>IF(ISBLANK(JP!AT535),"","x")</f>
        <v/>
      </c>
      <c r="AR531" t="str">
        <f>IF(ISBLANK(JP!AU535),"","x")</f>
        <v/>
      </c>
      <c r="AS531" t="str">
        <f>IF(ISBLANK(JP!AV535),"","x")</f>
        <v/>
      </c>
      <c r="AT531" t="str">
        <f>IF(ISBLANK(JP!AW535),"","x")</f>
        <v/>
      </c>
      <c r="AU531" t="str">
        <f>IF(ISBLANK(JP!AX535),"","x")</f>
        <v/>
      </c>
    </row>
    <row r="532" spans="2:47">
      <c r="B532" t="str">
        <f>IF(ISBLANK(JP!AZ536),"",JP!AZ536)</f>
        <v/>
      </c>
      <c r="C532" t="str">
        <f>IF(ISBLANK(JP!BA536),"",JP!BA536)</f>
        <v/>
      </c>
      <c r="D532" t="str">
        <f>IF(ISBLANK(JP!BC536),"",JP!BC536)</f>
        <v/>
      </c>
      <c r="E532" t="str">
        <f>IF(ISBLANK(JP!BB536),"",JP!BB536)</f>
        <v/>
      </c>
      <c r="F532" t="str">
        <f>IF(ISBLANK(JP!D536),"","x")</f>
        <v/>
      </c>
      <c r="G532" t="str">
        <f>IF(ISBLANK(JP!E536),"","x")</f>
        <v/>
      </c>
      <c r="H532" t="str">
        <f>IF(ISBLANK(JP!F536),"","x")</f>
        <v/>
      </c>
      <c r="I532" t="str">
        <f>IF(ISBLANK(JP!G536),"","x")</f>
        <v/>
      </c>
      <c r="J532" t="str">
        <f>IF(ISBLANK(JP!H536),"","x")</f>
        <v/>
      </c>
      <c r="K532" t="str">
        <f>IF(ISBLANK(JP!I536),"","x")</f>
        <v/>
      </c>
      <c r="L532" t="str">
        <f>IF(ISBLANK(JP!J536),"","x")</f>
        <v/>
      </c>
      <c r="M532" t="str">
        <f>IF(ISBLANK(JP!L536),"","x")</f>
        <v/>
      </c>
      <c r="N532" t="str">
        <f>IF(ISBLANK(JP!M536),"","x")</f>
        <v/>
      </c>
      <c r="O532" t="str">
        <f>IF(ISBLANK(JP!N536),"","x")</f>
        <v/>
      </c>
      <c r="P532" t="str">
        <f>IF(ISBLANK(JP!O536),"","x")</f>
        <v/>
      </c>
      <c r="Q532" t="str">
        <f>IF(ISBLANK(JP!P536),"","x")</f>
        <v/>
      </c>
      <c r="R532" t="str">
        <f>IF(ISBLANK(JP!Q536),"","x")</f>
        <v/>
      </c>
      <c r="S532" t="str">
        <f>IF(ISBLANK(JP!R536),"","x")</f>
        <v/>
      </c>
      <c r="T532" t="str">
        <f>IF(ISBLANK(JP!T536),"","x")</f>
        <v/>
      </c>
      <c r="U532" t="str">
        <f>IF(ISBLANK(JP!U536),"","x")</f>
        <v/>
      </c>
      <c r="V532" t="str">
        <f>IF(ISBLANK(JP!V536),"","x")</f>
        <v/>
      </c>
      <c r="W532" t="str">
        <f>IF(ISBLANK(JP!W536),"","x")</f>
        <v/>
      </c>
      <c r="X532" t="str">
        <f>IF(ISBLANK(JP!X536),"","x")</f>
        <v/>
      </c>
      <c r="Y532" t="str">
        <f>IF(ISBLANK(JP!Y536),"","x")</f>
        <v/>
      </c>
      <c r="Z532" t="str">
        <f>IF(ISBLANK(JP!Z536),"","x")</f>
        <v/>
      </c>
      <c r="AA532" t="str">
        <f>IF(ISBLANK(JP!AB536),"","x")</f>
        <v/>
      </c>
      <c r="AB532" t="str">
        <f>IF(ISBLANK(JP!AC536),"","x")</f>
        <v/>
      </c>
      <c r="AC532" t="str">
        <f>IF(ISBLANK(JP!AD536),"","x")</f>
        <v/>
      </c>
      <c r="AD532" t="str">
        <f>IF(ISBLANK(JP!AE536),"","x")</f>
        <v/>
      </c>
      <c r="AE532" t="str">
        <f>IF(ISBLANK(JP!AF536),"","x")</f>
        <v/>
      </c>
      <c r="AF532" t="str">
        <f>IF(ISBLANK(JP!AG536),"","x")</f>
        <v/>
      </c>
      <c r="AG532" t="str">
        <f>IF(ISBLANK(JP!AH536),"","x")</f>
        <v/>
      </c>
      <c r="AH532" t="str">
        <f>IF(ISBLANK(JP!AJ536),"","x")</f>
        <v/>
      </c>
      <c r="AI532" t="str">
        <f>IF(ISBLANK(JP!AK536),"","x")</f>
        <v/>
      </c>
      <c r="AJ532" t="str">
        <f>IF(ISBLANK(JP!AL536),"","x")</f>
        <v/>
      </c>
      <c r="AK532" t="str">
        <f>IF(ISBLANK(JP!AM536),"","x")</f>
        <v/>
      </c>
      <c r="AL532" t="str">
        <f>IF(ISBLANK(JP!AN536),"","x")</f>
        <v/>
      </c>
      <c r="AM532" t="str">
        <f>IF(ISBLANK(JP!AO536),"","x")</f>
        <v/>
      </c>
      <c r="AN532" t="str">
        <f>IF(ISBLANK(JP!AP536),"","x")</f>
        <v/>
      </c>
      <c r="AO532" t="str">
        <f>IF(ISBLANK(JP!AR536),"","x")</f>
        <v/>
      </c>
      <c r="AP532" t="str">
        <f>IF(ISBLANK(JP!AS536),"","x")</f>
        <v/>
      </c>
      <c r="AQ532" t="str">
        <f>IF(ISBLANK(JP!AT536),"","x")</f>
        <v/>
      </c>
      <c r="AR532" t="str">
        <f>IF(ISBLANK(JP!AU536),"","x")</f>
        <v/>
      </c>
      <c r="AS532" t="str">
        <f>IF(ISBLANK(JP!AV536),"","x")</f>
        <v/>
      </c>
      <c r="AT532" t="str">
        <f>IF(ISBLANK(JP!AW536),"","x")</f>
        <v/>
      </c>
      <c r="AU532" t="str">
        <f>IF(ISBLANK(JP!AX536),"","x")</f>
        <v/>
      </c>
    </row>
    <row r="533" spans="2:47">
      <c r="B533" t="str">
        <f>IF(ISBLANK(JP!AZ537),"",JP!AZ537)</f>
        <v/>
      </c>
      <c r="C533" t="str">
        <f>IF(ISBLANK(JP!BA537),"",JP!BA537)</f>
        <v/>
      </c>
      <c r="D533" t="str">
        <f>IF(ISBLANK(JP!BC537),"",JP!BC537)</f>
        <v/>
      </c>
      <c r="E533" t="str">
        <f>IF(ISBLANK(JP!BB537),"",JP!BB537)</f>
        <v/>
      </c>
      <c r="F533" t="str">
        <f>IF(ISBLANK(JP!D537),"","x")</f>
        <v/>
      </c>
      <c r="G533" t="str">
        <f>IF(ISBLANK(JP!E537),"","x")</f>
        <v/>
      </c>
      <c r="H533" t="str">
        <f>IF(ISBLANK(JP!F537),"","x")</f>
        <v/>
      </c>
      <c r="I533" t="str">
        <f>IF(ISBLANK(JP!G537),"","x")</f>
        <v/>
      </c>
      <c r="J533" t="str">
        <f>IF(ISBLANK(JP!H537),"","x")</f>
        <v/>
      </c>
      <c r="K533" t="str">
        <f>IF(ISBLANK(JP!I537),"","x")</f>
        <v/>
      </c>
      <c r="L533" t="str">
        <f>IF(ISBLANK(JP!J537),"","x")</f>
        <v/>
      </c>
      <c r="M533" t="str">
        <f>IF(ISBLANK(JP!L537),"","x")</f>
        <v/>
      </c>
      <c r="N533" t="str">
        <f>IF(ISBLANK(JP!M537),"","x")</f>
        <v/>
      </c>
      <c r="O533" t="str">
        <f>IF(ISBLANK(JP!N537),"","x")</f>
        <v/>
      </c>
      <c r="P533" t="str">
        <f>IF(ISBLANK(JP!O537),"","x")</f>
        <v/>
      </c>
      <c r="Q533" t="str">
        <f>IF(ISBLANK(JP!P537),"","x")</f>
        <v/>
      </c>
      <c r="R533" t="str">
        <f>IF(ISBLANK(JP!Q537),"","x")</f>
        <v/>
      </c>
      <c r="S533" t="str">
        <f>IF(ISBLANK(JP!R537),"","x")</f>
        <v/>
      </c>
      <c r="T533" t="str">
        <f>IF(ISBLANK(JP!T537),"","x")</f>
        <v/>
      </c>
      <c r="U533" t="str">
        <f>IF(ISBLANK(JP!U537),"","x")</f>
        <v/>
      </c>
      <c r="V533" t="str">
        <f>IF(ISBLANK(JP!V537),"","x")</f>
        <v/>
      </c>
      <c r="W533" t="str">
        <f>IF(ISBLANK(JP!W537),"","x")</f>
        <v/>
      </c>
      <c r="X533" t="str">
        <f>IF(ISBLANK(JP!X537),"","x")</f>
        <v/>
      </c>
      <c r="Y533" t="str">
        <f>IF(ISBLANK(JP!Y537),"","x")</f>
        <v/>
      </c>
      <c r="Z533" t="str">
        <f>IF(ISBLANK(JP!Z537),"","x")</f>
        <v/>
      </c>
      <c r="AA533" t="str">
        <f>IF(ISBLANK(JP!AB537),"","x")</f>
        <v/>
      </c>
      <c r="AB533" t="str">
        <f>IF(ISBLANK(JP!AC537),"","x")</f>
        <v/>
      </c>
      <c r="AC533" t="str">
        <f>IF(ISBLANK(JP!AD537),"","x")</f>
        <v/>
      </c>
      <c r="AD533" t="str">
        <f>IF(ISBLANK(JP!AE537),"","x")</f>
        <v/>
      </c>
      <c r="AE533" t="str">
        <f>IF(ISBLANK(JP!AF537),"","x")</f>
        <v/>
      </c>
      <c r="AF533" t="str">
        <f>IF(ISBLANK(JP!AG537),"","x")</f>
        <v/>
      </c>
      <c r="AG533" t="str">
        <f>IF(ISBLANK(JP!AH537),"","x")</f>
        <v/>
      </c>
      <c r="AH533" t="str">
        <f>IF(ISBLANK(JP!AJ537),"","x")</f>
        <v/>
      </c>
      <c r="AI533" t="str">
        <f>IF(ISBLANK(JP!AK537),"","x")</f>
        <v/>
      </c>
      <c r="AJ533" t="str">
        <f>IF(ISBLANK(JP!AL537),"","x")</f>
        <v/>
      </c>
      <c r="AK533" t="str">
        <f>IF(ISBLANK(JP!AM537),"","x")</f>
        <v/>
      </c>
      <c r="AL533" t="str">
        <f>IF(ISBLANK(JP!AN537),"","x")</f>
        <v/>
      </c>
      <c r="AM533" t="str">
        <f>IF(ISBLANK(JP!AO537),"","x")</f>
        <v/>
      </c>
      <c r="AN533" t="str">
        <f>IF(ISBLANK(JP!AP537),"","x")</f>
        <v/>
      </c>
      <c r="AO533" t="str">
        <f>IF(ISBLANK(JP!AR537),"","x")</f>
        <v/>
      </c>
      <c r="AP533" t="str">
        <f>IF(ISBLANK(JP!AS537),"","x")</f>
        <v/>
      </c>
      <c r="AQ533" t="str">
        <f>IF(ISBLANK(JP!AT537),"","x")</f>
        <v/>
      </c>
      <c r="AR533" t="str">
        <f>IF(ISBLANK(JP!AU537),"","x")</f>
        <v/>
      </c>
      <c r="AS533" t="str">
        <f>IF(ISBLANK(JP!AV537),"","x")</f>
        <v/>
      </c>
      <c r="AT533" t="str">
        <f>IF(ISBLANK(JP!AW537),"","x")</f>
        <v/>
      </c>
      <c r="AU533" t="str">
        <f>IF(ISBLANK(JP!AX537),"","x")</f>
        <v/>
      </c>
    </row>
    <row r="534" spans="2:47">
      <c r="B534" t="str">
        <f>IF(ISBLANK(JP!AZ538),"",JP!AZ538)</f>
        <v/>
      </c>
      <c r="C534" t="str">
        <f>IF(ISBLANK(JP!BA538),"",JP!BA538)</f>
        <v/>
      </c>
      <c r="D534" t="str">
        <f>IF(ISBLANK(JP!BC538),"",JP!BC538)</f>
        <v/>
      </c>
      <c r="E534" t="str">
        <f>IF(ISBLANK(JP!BB538),"",JP!BB538)</f>
        <v/>
      </c>
      <c r="F534" t="str">
        <f>IF(ISBLANK(JP!D538),"","x")</f>
        <v/>
      </c>
      <c r="G534" t="str">
        <f>IF(ISBLANK(JP!E538),"","x")</f>
        <v/>
      </c>
      <c r="H534" t="str">
        <f>IF(ISBLANK(JP!F538),"","x")</f>
        <v/>
      </c>
      <c r="I534" t="str">
        <f>IF(ISBLANK(JP!G538),"","x")</f>
        <v/>
      </c>
      <c r="J534" t="str">
        <f>IF(ISBLANK(JP!H538),"","x")</f>
        <v/>
      </c>
      <c r="K534" t="str">
        <f>IF(ISBLANK(JP!I538),"","x")</f>
        <v/>
      </c>
      <c r="L534" t="str">
        <f>IF(ISBLANK(JP!J538),"","x")</f>
        <v/>
      </c>
      <c r="M534" t="str">
        <f>IF(ISBLANK(JP!L538),"","x")</f>
        <v/>
      </c>
      <c r="N534" t="str">
        <f>IF(ISBLANK(JP!M538),"","x")</f>
        <v/>
      </c>
      <c r="O534" t="str">
        <f>IF(ISBLANK(JP!N538),"","x")</f>
        <v/>
      </c>
      <c r="P534" t="str">
        <f>IF(ISBLANK(JP!O538),"","x")</f>
        <v/>
      </c>
      <c r="Q534" t="str">
        <f>IF(ISBLANK(JP!P538),"","x")</f>
        <v/>
      </c>
      <c r="R534" t="str">
        <f>IF(ISBLANK(JP!Q538),"","x")</f>
        <v/>
      </c>
      <c r="S534" t="str">
        <f>IF(ISBLANK(JP!R538),"","x")</f>
        <v/>
      </c>
      <c r="T534" t="str">
        <f>IF(ISBLANK(JP!T538),"","x")</f>
        <v/>
      </c>
      <c r="U534" t="str">
        <f>IF(ISBLANK(JP!U538),"","x")</f>
        <v/>
      </c>
      <c r="V534" t="str">
        <f>IF(ISBLANK(JP!V538),"","x")</f>
        <v/>
      </c>
      <c r="W534" t="str">
        <f>IF(ISBLANK(JP!W538),"","x")</f>
        <v/>
      </c>
      <c r="X534" t="str">
        <f>IF(ISBLANK(JP!X538),"","x")</f>
        <v/>
      </c>
      <c r="Y534" t="str">
        <f>IF(ISBLANK(JP!Y538),"","x")</f>
        <v/>
      </c>
      <c r="Z534" t="str">
        <f>IF(ISBLANK(JP!Z538),"","x")</f>
        <v/>
      </c>
      <c r="AA534" t="str">
        <f>IF(ISBLANK(JP!AB538),"","x")</f>
        <v/>
      </c>
      <c r="AB534" t="str">
        <f>IF(ISBLANK(JP!AC538),"","x")</f>
        <v/>
      </c>
      <c r="AC534" t="str">
        <f>IF(ISBLANK(JP!AD538),"","x")</f>
        <v/>
      </c>
      <c r="AD534" t="str">
        <f>IF(ISBLANK(JP!AE538),"","x")</f>
        <v/>
      </c>
      <c r="AE534" t="str">
        <f>IF(ISBLANK(JP!AF538),"","x")</f>
        <v/>
      </c>
      <c r="AF534" t="str">
        <f>IF(ISBLANK(JP!AG538),"","x")</f>
        <v/>
      </c>
      <c r="AG534" t="str">
        <f>IF(ISBLANK(JP!AH538),"","x")</f>
        <v/>
      </c>
      <c r="AH534" t="str">
        <f>IF(ISBLANK(JP!AJ538),"","x")</f>
        <v/>
      </c>
      <c r="AI534" t="str">
        <f>IF(ISBLANK(JP!AK538),"","x")</f>
        <v/>
      </c>
      <c r="AJ534" t="str">
        <f>IF(ISBLANK(JP!AL538),"","x")</f>
        <v/>
      </c>
      <c r="AK534" t="str">
        <f>IF(ISBLANK(JP!AM538),"","x")</f>
        <v/>
      </c>
      <c r="AL534" t="str">
        <f>IF(ISBLANK(JP!AN538),"","x")</f>
        <v/>
      </c>
      <c r="AM534" t="str">
        <f>IF(ISBLANK(JP!AO538),"","x")</f>
        <v/>
      </c>
      <c r="AN534" t="str">
        <f>IF(ISBLANK(JP!AP538),"","x")</f>
        <v/>
      </c>
      <c r="AO534" t="str">
        <f>IF(ISBLANK(JP!AR538),"","x")</f>
        <v/>
      </c>
      <c r="AP534" t="str">
        <f>IF(ISBLANK(JP!AS538),"","x")</f>
        <v/>
      </c>
      <c r="AQ534" t="str">
        <f>IF(ISBLANK(JP!AT538),"","x")</f>
        <v/>
      </c>
      <c r="AR534" t="str">
        <f>IF(ISBLANK(JP!AU538),"","x")</f>
        <v/>
      </c>
      <c r="AS534" t="str">
        <f>IF(ISBLANK(JP!AV538),"","x")</f>
        <v/>
      </c>
      <c r="AT534" t="str">
        <f>IF(ISBLANK(JP!AW538),"","x")</f>
        <v/>
      </c>
      <c r="AU534" t="str">
        <f>IF(ISBLANK(JP!AX538),"","x")</f>
        <v/>
      </c>
    </row>
    <row r="535" spans="2:47">
      <c r="B535" t="str">
        <f>IF(ISBLANK(JP!AZ539),"",JP!AZ539)</f>
        <v/>
      </c>
      <c r="C535" t="str">
        <f>IF(ISBLANK(JP!BA539),"",JP!BA539)</f>
        <v/>
      </c>
      <c r="D535" t="str">
        <f>IF(ISBLANK(JP!BC539),"",JP!BC539)</f>
        <v/>
      </c>
      <c r="E535" t="str">
        <f>IF(ISBLANK(JP!BB539),"",JP!BB539)</f>
        <v/>
      </c>
      <c r="F535" t="str">
        <f>IF(ISBLANK(JP!D539),"","x")</f>
        <v/>
      </c>
      <c r="G535" t="str">
        <f>IF(ISBLANK(JP!E539),"","x")</f>
        <v/>
      </c>
      <c r="H535" t="str">
        <f>IF(ISBLANK(JP!F539),"","x")</f>
        <v/>
      </c>
      <c r="I535" t="str">
        <f>IF(ISBLANK(JP!G539),"","x")</f>
        <v/>
      </c>
      <c r="J535" t="str">
        <f>IF(ISBLANK(JP!H539),"","x")</f>
        <v/>
      </c>
      <c r="K535" t="str">
        <f>IF(ISBLANK(JP!I539),"","x")</f>
        <v/>
      </c>
      <c r="L535" t="str">
        <f>IF(ISBLANK(JP!J539),"","x")</f>
        <v/>
      </c>
      <c r="M535" t="str">
        <f>IF(ISBLANK(JP!L539),"","x")</f>
        <v/>
      </c>
      <c r="N535" t="str">
        <f>IF(ISBLANK(JP!M539),"","x")</f>
        <v/>
      </c>
      <c r="O535" t="str">
        <f>IF(ISBLANK(JP!N539),"","x")</f>
        <v/>
      </c>
      <c r="P535" t="str">
        <f>IF(ISBLANK(JP!O539),"","x")</f>
        <v/>
      </c>
      <c r="Q535" t="str">
        <f>IF(ISBLANK(JP!P539),"","x")</f>
        <v/>
      </c>
      <c r="R535" t="str">
        <f>IF(ISBLANK(JP!Q539),"","x")</f>
        <v/>
      </c>
      <c r="S535" t="str">
        <f>IF(ISBLANK(JP!R539),"","x")</f>
        <v/>
      </c>
      <c r="T535" t="str">
        <f>IF(ISBLANK(JP!T539),"","x")</f>
        <v/>
      </c>
      <c r="U535" t="str">
        <f>IF(ISBLANK(JP!U539),"","x")</f>
        <v/>
      </c>
      <c r="V535" t="str">
        <f>IF(ISBLANK(JP!V539),"","x")</f>
        <v/>
      </c>
      <c r="W535" t="str">
        <f>IF(ISBLANK(JP!W539),"","x")</f>
        <v/>
      </c>
      <c r="X535" t="str">
        <f>IF(ISBLANK(JP!X539),"","x")</f>
        <v/>
      </c>
      <c r="Y535" t="str">
        <f>IF(ISBLANK(JP!Y539),"","x")</f>
        <v/>
      </c>
      <c r="Z535" t="str">
        <f>IF(ISBLANK(JP!Z539),"","x")</f>
        <v/>
      </c>
      <c r="AA535" t="str">
        <f>IF(ISBLANK(JP!AB539),"","x")</f>
        <v/>
      </c>
      <c r="AB535" t="str">
        <f>IF(ISBLANK(JP!AC539),"","x")</f>
        <v/>
      </c>
      <c r="AC535" t="str">
        <f>IF(ISBLANK(JP!AD539),"","x")</f>
        <v/>
      </c>
      <c r="AD535" t="str">
        <f>IF(ISBLANK(JP!AE539),"","x")</f>
        <v/>
      </c>
      <c r="AE535" t="str">
        <f>IF(ISBLANK(JP!AF539),"","x")</f>
        <v/>
      </c>
      <c r="AF535" t="str">
        <f>IF(ISBLANK(JP!AG539),"","x")</f>
        <v/>
      </c>
      <c r="AG535" t="str">
        <f>IF(ISBLANK(JP!AH539),"","x")</f>
        <v/>
      </c>
      <c r="AH535" t="str">
        <f>IF(ISBLANK(JP!AJ539),"","x")</f>
        <v/>
      </c>
      <c r="AI535" t="str">
        <f>IF(ISBLANK(JP!AK539),"","x")</f>
        <v/>
      </c>
      <c r="AJ535" t="str">
        <f>IF(ISBLANK(JP!AL539),"","x")</f>
        <v/>
      </c>
      <c r="AK535" t="str">
        <f>IF(ISBLANK(JP!AM539),"","x")</f>
        <v/>
      </c>
      <c r="AL535" t="str">
        <f>IF(ISBLANK(JP!AN539),"","x")</f>
        <v/>
      </c>
      <c r="AM535" t="str">
        <f>IF(ISBLANK(JP!AO539),"","x")</f>
        <v/>
      </c>
      <c r="AN535" t="str">
        <f>IF(ISBLANK(JP!AP539),"","x")</f>
        <v/>
      </c>
      <c r="AO535" t="str">
        <f>IF(ISBLANK(JP!AR539),"","x")</f>
        <v/>
      </c>
      <c r="AP535" t="str">
        <f>IF(ISBLANK(JP!AS539),"","x")</f>
        <v/>
      </c>
      <c r="AQ535" t="str">
        <f>IF(ISBLANK(JP!AT539),"","x")</f>
        <v/>
      </c>
      <c r="AR535" t="str">
        <f>IF(ISBLANK(JP!AU539),"","x")</f>
        <v/>
      </c>
      <c r="AS535" t="str">
        <f>IF(ISBLANK(JP!AV539),"","x")</f>
        <v/>
      </c>
      <c r="AT535" t="str">
        <f>IF(ISBLANK(JP!AW539),"","x")</f>
        <v/>
      </c>
      <c r="AU535" t="str">
        <f>IF(ISBLANK(JP!AX539),"","x")</f>
        <v/>
      </c>
    </row>
    <row r="536" spans="2:47">
      <c r="B536" t="str">
        <f>IF(ISBLANK(JP!AZ540),"",JP!AZ540)</f>
        <v/>
      </c>
      <c r="C536" t="str">
        <f>IF(ISBLANK(JP!BA540),"",JP!BA540)</f>
        <v/>
      </c>
      <c r="D536" t="str">
        <f>IF(ISBLANK(JP!BC540),"",JP!BC540)</f>
        <v/>
      </c>
      <c r="E536" t="str">
        <f>IF(ISBLANK(JP!BB540),"",JP!BB540)</f>
        <v/>
      </c>
      <c r="F536" t="str">
        <f>IF(ISBLANK(JP!D540),"","x")</f>
        <v/>
      </c>
      <c r="G536" t="str">
        <f>IF(ISBLANK(JP!E540),"","x")</f>
        <v/>
      </c>
      <c r="H536" t="str">
        <f>IF(ISBLANK(JP!F540),"","x")</f>
        <v/>
      </c>
      <c r="I536" t="str">
        <f>IF(ISBLANK(JP!G540),"","x")</f>
        <v/>
      </c>
      <c r="J536" t="str">
        <f>IF(ISBLANK(JP!H540),"","x")</f>
        <v/>
      </c>
      <c r="K536" t="str">
        <f>IF(ISBLANK(JP!I540),"","x")</f>
        <v/>
      </c>
      <c r="L536" t="str">
        <f>IF(ISBLANK(JP!J540),"","x")</f>
        <v/>
      </c>
      <c r="M536" t="str">
        <f>IF(ISBLANK(JP!L540),"","x")</f>
        <v/>
      </c>
      <c r="N536" t="str">
        <f>IF(ISBLANK(JP!M540),"","x")</f>
        <v/>
      </c>
      <c r="O536" t="str">
        <f>IF(ISBLANK(JP!N540),"","x")</f>
        <v/>
      </c>
      <c r="P536" t="str">
        <f>IF(ISBLANK(JP!O540),"","x")</f>
        <v/>
      </c>
      <c r="Q536" t="str">
        <f>IF(ISBLANK(JP!P540),"","x")</f>
        <v/>
      </c>
      <c r="R536" t="str">
        <f>IF(ISBLANK(JP!Q540),"","x")</f>
        <v/>
      </c>
      <c r="S536" t="str">
        <f>IF(ISBLANK(JP!R540),"","x")</f>
        <v/>
      </c>
      <c r="T536" t="str">
        <f>IF(ISBLANK(JP!T540),"","x")</f>
        <v/>
      </c>
      <c r="U536" t="str">
        <f>IF(ISBLANK(JP!U540),"","x")</f>
        <v/>
      </c>
      <c r="V536" t="str">
        <f>IF(ISBLANK(JP!V540),"","x")</f>
        <v/>
      </c>
      <c r="W536" t="str">
        <f>IF(ISBLANK(JP!W540),"","x")</f>
        <v/>
      </c>
      <c r="X536" t="str">
        <f>IF(ISBLANK(JP!X540),"","x")</f>
        <v/>
      </c>
      <c r="Y536" t="str">
        <f>IF(ISBLANK(JP!Y540),"","x")</f>
        <v/>
      </c>
      <c r="Z536" t="str">
        <f>IF(ISBLANK(JP!Z540),"","x")</f>
        <v/>
      </c>
      <c r="AA536" t="str">
        <f>IF(ISBLANK(JP!AB540),"","x")</f>
        <v/>
      </c>
      <c r="AB536" t="str">
        <f>IF(ISBLANK(JP!AC540),"","x")</f>
        <v/>
      </c>
      <c r="AC536" t="str">
        <f>IF(ISBLANK(JP!AD540),"","x")</f>
        <v/>
      </c>
      <c r="AD536" t="str">
        <f>IF(ISBLANK(JP!AE540),"","x")</f>
        <v/>
      </c>
      <c r="AE536" t="str">
        <f>IF(ISBLANK(JP!AF540),"","x")</f>
        <v/>
      </c>
      <c r="AF536" t="str">
        <f>IF(ISBLANK(JP!AG540),"","x")</f>
        <v/>
      </c>
      <c r="AG536" t="str">
        <f>IF(ISBLANK(JP!AH540),"","x")</f>
        <v/>
      </c>
      <c r="AH536" t="str">
        <f>IF(ISBLANK(JP!AJ540),"","x")</f>
        <v/>
      </c>
      <c r="AI536" t="str">
        <f>IF(ISBLANK(JP!AK540),"","x")</f>
        <v/>
      </c>
      <c r="AJ536" t="str">
        <f>IF(ISBLANK(JP!AL540),"","x")</f>
        <v/>
      </c>
      <c r="AK536" t="str">
        <f>IF(ISBLANK(JP!AM540),"","x")</f>
        <v/>
      </c>
      <c r="AL536" t="str">
        <f>IF(ISBLANK(JP!AN540),"","x")</f>
        <v/>
      </c>
      <c r="AM536" t="str">
        <f>IF(ISBLANK(JP!AO540),"","x")</f>
        <v/>
      </c>
      <c r="AN536" t="str">
        <f>IF(ISBLANK(JP!AP540),"","x")</f>
        <v/>
      </c>
      <c r="AO536" t="str">
        <f>IF(ISBLANK(JP!AR540),"","x")</f>
        <v/>
      </c>
      <c r="AP536" t="str">
        <f>IF(ISBLANK(JP!AS540),"","x")</f>
        <v/>
      </c>
      <c r="AQ536" t="str">
        <f>IF(ISBLANK(JP!AT540),"","x")</f>
        <v/>
      </c>
      <c r="AR536" t="str">
        <f>IF(ISBLANK(JP!AU540),"","x")</f>
        <v/>
      </c>
      <c r="AS536" t="str">
        <f>IF(ISBLANK(JP!AV540),"","x")</f>
        <v/>
      </c>
      <c r="AT536" t="str">
        <f>IF(ISBLANK(JP!AW540),"","x")</f>
        <v/>
      </c>
      <c r="AU536" t="str">
        <f>IF(ISBLANK(JP!AX540),"","x")</f>
        <v/>
      </c>
    </row>
    <row r="537" spans="2:47">
      <c r="B537" t="str">
        <f>IF(ISBLANK(JP!AZ541),"",JP!AZ541)</f>
        <v/>
      </c>
      <c r="C537" t="str">
        <f>IF(ISBLANK(JP!BA541),"",JP!BA541)</f>
        <v/>
      </c>
      <c r="D537" t="str">
        <f>IF(ISBLANK(JP!BC541),"",JP!BC541)</f>
        <v/>
      </c>
      <c r="E537" t="str">
        <f>IF(ISBLANK(JP!BB541),"",JP!BB541)</f>
        <v/>
      </c>
      <c r="F537" t="str">
        <f>IF(ISBLANK(JP!D541),"","x")</f>
        <v/>
      </c>
      <c r="G537" t="str">
        <f>IF(ISBLANK(JP!E541),"","x")</f>
        <v/>
      </c>
      <c r="H537" t="str">
        <f>IF(ISBLANK(JP!F541),"","x")</f>
        <v/>
      </c>
      <c r="I537" t="str">
        <f>IF(ISBLANK(JP!G541),"","x")</f>
        <v/>
      </c>
      <c r="J537" t="str">
        <f>IF(ISBLANK(JP!H541),"","x")</f>
        <v/>
      </c>
      <c r="K537" t="str">
        <f>IF(ISBLANK(JP!I541),"","x")</f>
        <v/>
      </c>
      <c r="L537" t="str">
        <f>IF(ISBLANK(JP!J541),"","x")</f>
        <v/>
      </c>
      <c r="M537" t="str">
        <f>IF(ISBLANK(JP!L541),"","x")</f>
        <v/>
      </c>
      <c r="N537" t="str">
        <f>IF(ISBLANK(JP!M541),"","x")</f>
        <v/>
      </c>
      <c r="O537" t="str">
        <f>IF(ISBLANK(JP!N541),"","x")</f>
        <v/>
      </c>
      <c r="P537" t="str">
        <f>IF(ISBLANK(JP!O541),"","x")</f>
        <v/>
      </c>
      <c r="Q537" t="str">
        <f>IF(ISBLANK(JP!P541),"","x")</f>
        <v/>
      </c>
      <c r="R537" t="str">
        <f>IF(ISBLANK(JP!Q541),"","x")</f>
        <v/>
      </c>
      <c r="S537" t="str">
        <f>IF(ISBLANK(JP!R541),"","x")</f>
        <v/>
      </c>
      <c r="T537" t="str">
        <f>IF(ISBLANK(JP!T541),"","x")</f>
        <v/>
      </c>
      <c r="U537" t="str">
        <f>IF(ISBLANK(JP!U541),"","x")</f>
        <v/>
      </c>
      <c r="V537" t="str">
        <f>IF(ISBLANK(JP!V541),"","x")</f>
        <v/>
      </c>
      <c r="W537" t="str">
        <f>IF(ISBLANK(JP!W541),"","x")</f>
        <v/>
      </c>
      <c r="X537" t="str">
        <f>IF(ISBLANK(JP!X541),"","x")</f>
        <v/>
      </c>
      <c r="Y537" t="str">
        <f>IF(ISBLANK(JP!Y541),"","x")</f>
        <v/>
      </c>
      <c r="Z537" t="str">
        <f>IF(ISBLANK(JP!Z541),"","x")</f>
        <v/>
      </c>
      <c r="AA537" t="str">
        <f>IF(ISBLANK(JP!AB541),"","x")</f>
        <v/>
      </c>
      <c r="AB537" t="str">
        <f>IF(ISBLANK(JP!AC541),"","x")</f>
        <v/>
      </c>
      <c r="AC537" t="str">
        <f>IF(ISBLANK(JP!AD541),"","x")</f>
        <v/>
      </c>
      <c r="AD537" t="str">
        <f>IF(ISBLANK(JP!AE541),"","x")</f>
        <v/>
      </c>
      <c r="AE537" t="str">
        <f>IF(ISBLANK(JP!AF541),"","x")</f>
        <v/>
      </c>
      <c r="AF537" t="str">
        <f>IF(ISBLANK(JP!AG541),"","x")</f>
        <v/>
      </c>
      <c r="AG537" t="str">
        <f>IF(ISBLANK(JP!AH541),"","x")</f>
        <v/>
      </c>
      <c r="AH537" t="str">
        <f>IF(ISBLANK(JP!AJ541),"","x")</f>
        <v/>
      </c>
      <c r="AI537" t="str">
        <f>IF(ISBLANK(JP!AK541),"","x")</f>
        <v/>
      </c>
      <c r="AJ537" t="str">
        <f>IF(ISBLANK(JP!AL541),"","x")</f>
        <v/>
      </c>
      <c r="AK537" t="str">
        <f>IF(ISBLANK(JP!AM541),"","x")</f>
        <v/>
      </c>
      <c r="AL537" t="str">
        <f>IF(ISBLANK(JP!AN541),"","x")</f>
        <v/>
      </c>
      <c r="AM537" t="str">
        <f>IF(ISBLANK(JP!AO541),"","x")</f>
        <v/>
      </c>
      <c r="AN537" t="str">
        <f>IF(ISBLANK(JP!AP541),"","x")</f>
        <v/>
      </c>
      <c r="AO537" t="str">
        <f>IF(ISBLANK(JP!AR541),"","x")</f>
        <v/>
      </c>
      <c r="AP537" t="str">
        <f>IF(ISBLANK(JP!AS541),"","x")</f>
        <v/>
      </c>
      <c r="AQ537" t="str">
        <f>IF(ISBLANK(JP!AT541),"","x")</f>
        <v/>
      </c>
      <c r="AR537" t="str">
        <f>IF(ISBLANK(JP!AU541),"","x")</f>
        <v/>
      </c>
      <c r="AS537" t="str">
        <f>IF(ISBLANK(JP!AV541),"","x")</f>
        <v/>
      </c>
      <c r="AT537" t="str">
        <f>IF(ISBLANK(JP!AW541),"","x")</f>
        <v/>
      </c>
      <c r="AU537" t="str">
        <f>IF(ISBLANK(JP!AX541),"","x")</f>
        <v/>
      </c>
    </row>
    <row r="538" spans="2:47">
      <c r="B538" t="str">
        <f>IF(ISBLANK(JP!AZ542),"",JP!AZ542)</f>
        <v/>
      </c>
      <c r="C538" t="str">
        <f>IF(ISBLANK(JP!BA542),"",JP!BA542)</f>
        <v/>
      </c>
      <c r="D538" t="str">
        <f>IF(ISBLANK(JP!BC542),"",JP!BC542)</f>
        <v/>
      </c>
      <c r="E538" t="str">
        <f>IF(ISBLANK(JP!BB542),"",JP!BB542)</f>
        <v/>
      </c>
      <c r="F538" t="str">
        <f>IF(ISBLANK(JP!D542),"","x")</f>
        <v/>
      </c>
      <c r="G538" t="str">
        <f>IF(ISBLANK(JP!E542),"","x")</f>
        <v/>
      </c>
      <c r="H538" t="str">
        <f>IF(ISBLANK(JP!F542),"","x")</f>
        <v/>
      </c>
      <c r="I538" t="str">
        <f>IF(ISBLANK(JP!G542),"","x")</f>
        <v/>
      </c>
      <c r="J538" t="str">
        <f>IF(ISBLANK(JP!H542),"","x")</f>
        <v/>
      </c>
      <c r="K538" t="str">
        <f>IF(ISBLANK(JP!I542),"","x")</f>
        <v/>
      </c>
      <c r="L538" t="str">
        <f>IF(ISBLANK(JP!J542),"","x")</f>
        <v/>
      </c>
      <c r="M538" t="str">
        <f>IF(ISBLANK(JP!L542),"","x")</f>
        <v/>
      </c>
      <c r="N538" t="str">
        <f>IF(ISBLANK(JP!M542),"","x")</f>
        <v/>
      </c>
      <c r="O538" t="str">
        <f>IF(ISBLANK(JP!N542),"","x")</f>
        <v/>
      </c>
      <c r="P538" t="str">
        <f>IF(ISBLANK(JP!O542),"","x")</f>
        <v/>
      </c>
      <c r="Q538" t="str">
        <f>IF(ISBLANK(JP!P542),"","x")</f>
        <v/>
      </c>
      <c r="R538" t="str">
        <f>IF(ISBLANK(JP!Q542),"","x")</f>
        <v/>
      </c>
      <c r="S538" t="str">
        <f>IF(ISBLANK(JP!R542),"","x")</f>
        <v/>
      </c>
      <c r="T538" t="str">
        <f>IF(ISBLANK(JP!T542),"","x")</f>
        <v/>
      </c>
      <c r="U538" t="str">
        <f>IF(ISBLANK(JP!U542),"","x")</f>
        <v/>
      </c>
      <c r="V538" t="str">
        <f>IF(ISBLANK(JP!V542),"","x")</f>
        <v/>
      </c>
      <c r="W538" t="str">
        <f>IF(ISBLANK(JP!W542),"","x")</f>
        <v/>
      </c>
      <c r="X538" t="str">
        <f>IF(ISBLANK(JP!X542),"","x")</f>
        <v/>
      </c>
      <c r="Y538" t="str">
        <f>IF(ISBLANK(JP!Y542),"","x")</f>
        <v/>
      </c>
      <c r="Z538" t="str">
        <f>IF(ISBLANK(JP!Z542),"","x")</f>
        <v/>
      </c>
      <c r="AA538" t="str">
        <f>IF(ISBLANK(JP!AB542),"","x")</f>
        <v/>
      </c>
      <c r="AB538" t="str">
        <f>IF(ISBLANK(JP!AC542),"","x")</f>
        <v/>
      </c>
      <c r="AC538" t="str">
        <f>IF(ISBLANK(JP!AD542),"","x")</f>
        <v/>
      </c>
      <c r="AD538" t="str">
        <f>IF(ISBLANK(JP!AE542),"","x")</f>
        <v/>
      </c>
      <c r="AE538" t="str">
        <f>IF(ISBLANK(JP!AF542),"","x")</f>
        <v/>
      </c>
      <c r="AF538" t="str">
        <f>IF(ISBLANK(JP!AG542),"","x")</f>
        <v/>
      </c>
      <c r="AG538" t="str">
        <f>IF(ISBLANK(JP!AH542),"","x")</f>
        <v/>
      </c>
      <c r="AH538" t="str">
        <f>IF(ISBLANK(JP!AJ542),"","x")</f>
        <v/>
      </c>
      <c r="AI538" t="str">
        <f>IF(ISBLANK(JP!AK542),"","x")</f>
        <v/>
      </c>
      <c r="AJ538" t="str">
        <f>IF(ISBLANK(JP!AL542),"","x")</f>
        <v/>
      </c>
      <c r="AK538" t="str">
        <f>IF(ISBLANK(JP!AM542),"","x")</f>
        <v/>
      </c>
      <c r="AL538" t="str">
        <f>IF(ISBLANK(JP!AN542),"","x")</f>
        <v/>
      </c>
      <c r="AM538" t="str">
        <f>IF(ISBLANK(JP!AO542),"","x")</f>
        <v/>
      </c>
      <c r="AN538" t="str">
        <f>IF(ISBLANK(JP!AP542),"","x")</f>
        <v/>
      </c>
      <c r="AO538" t="str">
        <f>IF(ISBLANK(JP!AR542),"","x")</f>
        <v/>
      </c>
      <c r="AP538" t="str">
        <f>IF(ISBLANK(JP!AS542),"","x")</f>
        <v/>
      </c>
      <c r="AQ538" t="str">
        <f>IF(ISBLANK(JP!AT542),"","x")</f>
        <v/>
      </c>
      <c r="AR538" t="str">
        <f>IF(ISBLANK(JP!AU542),"","x")</f>
        <v/>
      </c>
      <c r="AS538" t="str">
        <f>IF(ISBLANK(JP!AV542),"","x")</f>
        <v/>
      </c>
      <c r="AT538" t="str">
        <f>IF(ISBLANK(JP!AW542),"","x")</f>
        <v/>
      </c>
      <c r="AU538" t="str">
        <f>IF(ISBLANK(JP!AX542),"","x")</f>
        <v/>
      </c>
    </row>
    <row r="539" spans="2:47">
      <c r="B539" t="str">
        <f>IF(ISBLANK(JP!AZ543),"",JP!AZ543)</f>
        <v/>
      </c>
      <c r="C539" t="str">
        <f>IF(ISBLANK(JP!BA543),"",JP!BA543)</f>
        <v/>
      </c>
      <c r="D539" t="str">
        <f>IF(ISBLANK(JP!BC543),"",JP!BC543)</f>
        <v/>
      </c>
      <c r="E539" t="str">
        <f>IF(ISBLANK(JP!BB543),"",JP!BB543)</f>
        <v/>
      </c>
      <c r="F539" t="str">
        <f>IF(ISBLANK(JP!D543),"","x")</f>
        <v/>
      </c>
      <c r="G539" t="str">
        <f>IF(ISBLANK(JP!E543),"","x")</f>
        <v/>
      </c>
      <c r="H539" t="str">
        <f>IF(ISBLANK(JP!F543),"","x")</f>
        <v/>
      </c>
      <c r="I539" t="str">
        <f>IF(ISBLANK(JP!G543),"","x")</f>
        <v/>
      </c>
      <c r="J539" t="str">
        <f>IF(ISBLANK(JP!H543),"","x")</f>
        <v/>
      </c>
      <c r="K539" t="str">
        <f>IF(ISBLANK(JP!I543),"","x")</f>
        <v/>
      </c>
      <c r="L539" t="str">
        <f>IF(ISBLANK(JP!J543),"","x")</f>
        <v/>
      </c>
      <c r="M539" t="str">
        <f>IF(ISBLANK(JP!L543),"","x")</f>
        <v/>
      </c>
      <c r="N539" t="str">
        <f>IF(ISBLANK(JP!M543),"","x")</f>
        <v/>
      </c>
      <c r="O539" t="str">
        <f>IF(ISBLANK(JP!N543),"","x")</f>
        <v/>
      </c>
      <c r="P539" t="str">
        <f>IF(ISBLANK(JP!O543),"","x")</f>
        <v/>
      </c>
      <c r="Q539" t="str">
        <f>IF(ISBLANK(JP!P543),"","x")</f>
        <v/>
      </c>
      <c r="R539" t="str">
        <f>IF(ISBLANK(JP!Q543),"","x")</f>
        <v/>
      </c>
      <c r="S539" t="str">
        <f>IF(ISBLANK(JP!R543),"","x")</f>
        <v/>
      </c>
      <c r="T539" t="str">
        <f>IF(ISBLANK(JP!T543),"","x")</f>
        <v/>
      </c>
      <c r="U539" t="str">
        <f>IF(ISBLANK(JP!U543),"","x")</f>
        <v/>
      </c>
      <c r="V539" t="str">
        <f>IF(ISBLANK(JP!V543),"","x")</f>
        <v/>
      </c>
      <c r="W539" t="str">
        <f>IF(ISBLANK(JP!W543),"","x")</f>
        <v/>
      </c>
      <c r="X539" t="str">
        <f>IF(ISBLANK(JP!X543),"","x")</f>
        <v/>
      </c>
      <c r="Y539" t="str">
        <f>IF(ISBLANK(JP!Y543),"","x")</f>
        <v/>
      </c>
      <c r="Z539" t="str">
        <f>IF(ISBLANK(JP!Z543),"","x")</f>
        <v/>
      </c>
      <c r="AA539" t="str">
        <f>IF(ISBLANK(JP!AB543),"","x")</f>
        <v/>
      </c>
      <c r="AB539" t="str">
        <f>IF(ISBLANK(JP!AC543),"","x")</f>
        <v/>
      </c>
      <c r="AC539" t="str">
        <f>IF(ISBLANK(JP!AD543),"","x")</f>
        <v/>
      </c>
      <c r="AD539" t="str">
        <f>IF(ISBLANK(JP!AE543),"","x")</f>
        <v/>
      </c>
      <c r="AE539" t="str">
        <f>IF(ISBLANK(JP!AF543),"","x")</f>
        <v/>
      </c>
      <c r="AF539" t="str">
        <f>IF(ISBLANK(JP!AG543),"","x")</f>
        <v/>
      </c>
      <c r="AG539" t="str">
        <f>IF(ISBLANK(JP!AH543),"","x")</f>
        <v/>
      </c>
      <c r="AH539" t="str">
        <f>IF(ISBLANK(JP!AJ543),"","x")</f>
        <v/>
      </c>
      <c r="AI539" t="str">
        <f>IF(ISBLANK(JP!AK543),"","x")</f>
        <v/>
      </c>
      <c r="AJ539" t="str">
        <f>IF(ISBLANK(JP!AL543),"","x")</f>
        <v/>
      </c>
      <c r="AK539" t="str">
        <f>IF(ISBLANK(JP!AM543),"","x")</f>
        <v/>
      </c>
      <c r="AL539" t="str">
        <f>IF(ISBLANK(JP!AN543),"","x")</f>
        <v/>
      </c>
      <c r="AM539" t="str">
        <f>IF(ISBLANK(JP!AO543),"","x")</f>
        <v/>
      </c>
      <c r="AN539" t="str">
        <f>IF(ISBLANK(JP!AP543),"","x")</f>
        <v/>
      </c>
      <c r="AO539" t="str">
        <f>IF(ISBLANK(JP!AR543),"","x")</f>
        <v/>
      </c>
      <c r="AP539" t="str">
        <f>IF(ISBLANK(JP!AS543),"","x")</f>
        <v/>
      </c>
      <c r="AQ539" t="str">
        <f>IF(ISBLANK(JP!AT543),"","x")</f>
        <v/>
      </c>
      <c r="AR539" t="str">
        <f>IF(ISBLANK(JP!AU543),"","x")</f>
        <v/>
      </c>
      <c r="AS539" t="str">
        <f>IF(ISBLANK(JP!AV543),"","x")</f>
        <v/>
      </c>
      <c r="AT539" t="str">
        <f>IF(ISBLANK(JP!AW543),"","x")</f>
        <v/>
      </c>
      <c r="AU539" t="str">
        <f>IF(ISBLANK(JP!AX543),"","x")</f>
        <v/>
      </c>
    </row>
    <row r="540" spans="2:47">
      <c r="B540" t="str">
        <f>IF(ISBLANK(JP!AZ544),"",JP!AZ544)</f>
        <v/>
      </c>
      <c r="C540" t="str">
        <f>IF(ISBLANK(JP!BA544),"",JP!BA544)</f>
        <v/>
      </c>
      <c r="D540" t="str">
        <f>IF(ISBLANK(JP!BC544),"",JP!BC544)</f>
        <v/>
      </c>
      <c r="E540" t="str">
        <f>IF(ISBLANK(JP!BB544),"",JP!BB544)</f>
        <v/>
      </c>
      <c r="F540" t="str">
        <f>IF(ISBLANK(JP!D544),"","x")</f>
        <v/>
      </c>
      <c r="G540" t="str">
        <f>IF(ISBLANK(JP!E544),"","x")</f>
        <v/>
      </c>
      <c r="H540" t="str">
        <f>IF(ISBLANK(JP!F544),"","x")</f>
        <v/>
      </c>
      <c r="I540" t="str">
        <f>IF(ISBLANK(JP!G544),"","x")</f>
        <v/>
      </c>
      <c r="J540" t="str">
        <f>IF(ISBLANK(JP!H544),"","x")</f>
        <v/>
      </c>
      <c r="K540" t="str">
        <f>IF(ISBLANK(JP!I544),"","x")</f>
        <v/>
      </c>
      <c r="L540" t="str">
        <f>IF(ISBLANK(JP!J544),"","x")</f>
        <v/>
      </c>
      <c r="M540" t="str">
        <f>IF(ISBLANK(JP!L544),"","x")</f>
        <v/>
      </c>
      <c r="N540" t="str">
        <f>IF(ISBLANK(JP!M544),"","x")</f>
        <v/>
      </c>
      <c r="O540" t="str">
        <f>IF(ISBLANK(JP!N544),"","x")</f>
        <v/>
      </c>
      <c r="P540" t="str">
        <f>IF(ISBLANK(JP!O544),"","x")</f>
        <v/>
      </c>
      <c r="Q540" t="str">
        <f>IF(ISBLANK(JP!P544),"","x")</f>
        <v/>
      </c>
      <c r="R540" t="str">
        <f>IF(ISBLANK(JP!Q544),"","x")</f>
        <v/>
      </c>
      <c r="S540" t="str">
        <f>IF(ISBLANK(JP!R544),"","x")</f>
        <v/>
      </c>
      <c r="T540" t="str">
        <f>IF(ISBLANK(JP!T544),"","x")</f>
        <v/>
      </c>
      <c r="U540" t="str">
        <f>IF(ISBLANK(JP!U544),"","x")</f>
        <v/>
      </c>
      <c r="V540" t="str">
        <f>IF(ISBLANK(JP!V544),"","x")</f>
        <v/>
      </c>
      <c r="W540" t="str">
        <f>IF(ISBLANK(JP!W544),"","x")</f>
        <v/>
      </c>
      <c r="X540" t="str">
        <f>IF(ISBLANK(JP!X544),"","x")</f>
        <v/>
      </c>
      <c r="Y540" t="str">
        <f>IF(ISBLANK(JP!Y544),"","x")</f>
        <v/>
      </c>
      <c r="Z540" t="str">
        <f>IF(ISBLANK(JP!Z544),"","x")</f>
        <v/>
      </c>
      <c r="AA540" t="str">
        <f>IF(ISBLANK(JP!AB544),"","x")</f>
        <v/>
      </c>
      <c r="AB540" t="str">
        <f>IF(ISBLANK(JP!AC544),"","x")</f>
        <v/>
      </c>
      <c r="AC540" t="str">
        <f>IF(ISBLANK(JP!AD544),"","x")</f>
        <v/>
      </c>
      <c r="AD540" t="str">
        <f>IF(ISBLANK(JP!AE544),"","x")</f>
        <v/>
      </c>
      <c r="AE540" t="str">
        <f>IF(ISBLANK(JP!AF544),"","x")</f>
        <v/>
      </c>
      <c r="AF540" t="str">
        <f>IF(ISBLANK(JP!AG544),"","x")</f>
        <v/>
      </c>
      <c r="AG540" t="str">
        <f>IF(ISBLANK(JP!AH544),"","x")</f>
        <v/>
      </c>
      <c r="AH540" t="str">
        <f>IF(ISBLANK(JP!AJ544),"","x")</f>
        <v/>
      </c>
      <c r="AI540" t="str">
        <f>IF(ISBLANK(JP!AK544),"","x")</f>
        <v/>
      </c>
      <c r="AJ540" t="str">
        <f>IF(ISBLANK(JP!AL544),"","x")</f>
        <v/>
      </c>
      <c r="AK540" t="str">
        <f>IF(ISBLANK(JP!AM544),"","x")</f>
        <v/>
      </c>
      <c r="AL540" t="str">
        <f>IF(ISBLANK(JP!AN544),"","x")</f>
        <v/>
      </c>
      <c r="AM540" t="str">
        <f>IF(ISBLANK(JP!AO544),"","x")</f>
        <v/>
      </c>
      <c r="AN540" t="str">
        <f>IF(ISBLANK(JP!AP544),"","x")</f>
        <v/>
      </c>
      <c r="AO540" t="str">
        <f>IF(ISBLANK(JP!AR544),"","x")</f>
        <v/>
      </c>
      <c r="AP540" t="str">
        <f>IF(ISBLANK(JP!AS544),"","x")</f>
        <v/>
      </c>
      <c r="AQ540" t="str">
        <f>IF(ISBLANK(JP!AT544),"","x")</f>
        <v/>
      </c>
      <c r="AR540" t="str">
        <f>IF(ISBLANK(JP!AU544),"","x")</f>
        <v/>
      </c>
      <c r="AS540" t="str">
        <f>IF(ISBLANK(JP!AV544),"","x")</f>
        <v/>
      </c>
      <c r="AT540" t="str">
        <f>IF(ISBLANK(JP!AW544),"","x")</f>
        <v/>
      </c>
      <c r="AU540" t="str">
        <f>IF(ISBLANK(JP!AX544),"","x")</f>
        <v/>
      </c>
    </row>
    <row r="541" spans="2:47">
      <c r="B541" t="str">
        <f>IF(ISBLANK(JP!AZ545),"",JP!AZ545)</f>
        <v/>
      </c>
      <c r="C541" t="str">
        <f>IF(ISBLANK(JP!BA545),"",JP!BA545)</f>
        <v/>
      </c>
      <c r="D541" t="str">
        <f>IF(ISBLANK(JP!BC545),"",JP!BC545)</f>
        <v/>
      </c>
      <c r="E541" t="str">
        <f>IF(ISBLANK(JP!BB545),"",JP!BB545)</f>
        <v/>
      </c>
      <c r="F541" t="str">
        <f>IF(ISBLANK(JP!D545),"","x")</f>
        <v/>
      </c>
      <c r="G541" t="str">
        <f>IF(ISBLANK(JP!E545),"","x")</f>
        <v/>
      </c>
      <c r="H541" t="str">
        <f>IF(ISBLANK(JP!F545),"","x")</f>
        <v/>
      </c>
      <c r="I541" t="str">
        <f>IF(ISBLANK(JP!G545),"","x")</f>
        <v/>
      </c>
      <c r="J541" t="str">
        <f>IF(ISBLANK(JP!H545),"","x")</f>
        <v/>
      </c>
      <c r="K541" t="str">
        <f>IF(ISBLANK(JP!I545),"","x")</f>
        <v/>
      </c>
      <c r="L541" t="str">
        <f>IF(ISBLANK(JP!J545),"","x")</f>
        <v/>
      </c>
      <c r="M541" t="str">
        <f>IF(ISBLANK(JP!L545),"","x")</f>
        <v/>
      </c>
      <c r="N541" t="str">
        <f>IF(ISBLANK(JP!M545),"","x")</f>
        <v/>
      </c>
      <c r="O541" t="str">
        <f>IF(ISBLANK(JP!N545),"","x")</f>
        <v/>
      </c>
      <c r="P541" t="str">
        <f>IF(ISBLANK(JP!O545),"","x")</f>
        <v/>
      </c>
      <c r="Q541" t="str">
        <f>IF(ISBLANK(JP!P545),"","x")</f>
        <v/>
      </c>
      <c r="R541" t="str">
        <f>IF(ISBLANK(JP!Q545),"","x")</f>
        <v/>
      </c>
      <c r="S541" t="str">
        <f>IF(ISBLANK(JP!R545),"","x")</f>
        <v/>
      </c>
      <c r="T541" t="str">
        <f>IF(ISBLANK(JP!T545),"","x")</f>
        <v/>
      </c>
      <c r="U541" t="str">
        <f>IF(ISBLANK(JP!U545),"","x")</f>
        <v/>
      </c>
      <c r="V541" t="str">
        <f>IF(ISBLANK(JP!V545),"","x")</f>
        <v/>
      </c>
      <c r="W541" t="str">
        <f>IF(ISBLANK(JP!W545),"","x")</f>
        <v/>
      </c>
      <c r="X541" t="str">
        <f>IF(ISBLANK(JP!X545),"","x")</f>
        <v/>
      </c>
      <c r="Y541" t="str">
        <f>IF(ISBLANK(JP!Y545),"","x")</f>
        <v/>
      </c>
      <c r="Z541" t="str">
        <f>IF(ISBLANK(JP!Z545),"","x")</f>
        <v/>
      </c>
      <c r="AA541" t="str">
        <f>IF(ISBLANK(JP!AB545),"","x")</f>
        <v/>
      </c>
      <c r="AB541" t="str">
        <f>IF(ISBLANK(JP!AC545),"","x")</f>
        <v/>
      </c>
      <c r="AC541" t="str">
        <f>IF(ISBLANK(JP!AD545),"","x")</f>
        <v/>
      </c>
      <c r="AD541" t="str">
        <f>IF(ISBLANK(JP!AE545),"","x")</f>
        <v/>
      </c>
      <c r="AE541" t="str">
        <f>IF(ISBLANK(JP!AF545),"","x")</f>
        <v/>
      </c>
      <c r="AF541" t="str">
        <f>IF(ISBLANK(JP!AG545),"","x")</f>
        <v/>
      </c>
      <c r="AG541" t="str">
        <f>IF(ISBLANK(JP!AH545),"","x")</f>
        <v/>
      </c>
      <c r="AH541" t="str">
        <f>IF(ISBLANK(JP!AJ545),"","x")</f>
        <v/>
      </c>
      <c r="AI541" t="str">
        <f>IF(ISBLANK(JP!AK545),"","x")</f>
        <v/>
      </c>
      <c r="AJ541" t="str">
        <f>IF(ISBLANK(JP!AL545),"","x")</f>
        <v/>
      </c>
      <c r="AK541" t="str">
        <f>IF(ISBLANK(JP!AM545),"","x")</f>
        <v/>
      </c>
      <c r="AL541" t="str">
        <f>IF(ISBLANK(JP!AN545),"","x")</f>
        <v/>
      </c>
      <c r="AM541" t="str">
        <f>IF(ISBLANK(JP!AO545),"","x")</f>
        <v/>
      </c>
      <c r="AN541" t="str">
        <f>IF(ISBLANK(JP!AP545),"","x")</f>
        <v/>
      </c>
      <c r="AO541" t="str">
        <f>IF(ISBLANK(JP!AR545),"","x")</f>
        <v/>
      </c>
      <c r="AP541" t="str">
        <f>IF(ISBLANK(JP!AS545),"","x")</f>
        <v/>
      </c>
      <c r="AQ541" t="str">
        <f>IF(ISBLANK(JP!AT545),"","x")</f>
        <v/>
      </c>
      <c r="AR541" t="str">
        <f>IF(ISBLANK(JP!AU545),"","x")</f>
        <v/>
      </c>
      <c r="AS541" t="str">
        <f>IF(ISBLANK(JP!AV545),"","x")</f>
        <v/>
      </c>
      <c r="AT541" t="str">
        <f>IF(ISBLANK(JP!AW545),"","x")</f>
        <v/>
      </c>
      <c r="AU541" t="str">
        <f>IF(ISBLANK(JP!AX545),"","x")</f>
        <v/>
      </c>
    </row>
    <row r="542" spans="2:47">
      <c r="B542" t="str">
        <f>IF(ISBLANK(JP!AZ546),"",JP!AZ546)</f>
        <v/>
      </c>
      <c r="C542" t="str">
        <f>IF(ISBLANK(JP!BA546),"",JP!BA546)</f>
        <v/>
      </c>
      <c r="D542" t="str">
        <f>IF(ISBLANK(JP!BC546),"",JP!BC546)</f>
        <v/>
      </c>
      <c r="E542" t="str">
        <f>IF(ISBLANK(JP!BB546),"",JP!BB546)</f>
        <v/>
      </c>
      <c r="F542" t="str">
        <f>IF(ISBLANK(JP!D546),"","x")</f>
        <v/>
      </c>
      <c r="G542" t="str">
        <f>IF(ISBLANK(JP!E546),"","x")</f>
        <v/>
      </c>
      <c r="H542" t="str">
        <f>IF(ISBLANK(JP!F546),"","x")</f>
        <v/>
      </c>
      <c r="I542" t="str">
        <f>IF(ISBLANK(JP!G546),"","x")</f>
        <v/>
      </c>
      <c r="J542" t="str">
        <f>IF(ISBLANK(JP!H546),"","x")</f>
        <v/>
      </c>
      <c r="K542" t="str">
        <f>IF(ISBLANK(JP!I546),"","x")</f>
        <v/>
      </c>
      <c r="L542" t="str">
        <f>IF(ISBLANK(JP!J546),"","x")</f>
        <v/>
      </c>
      <c r="M542" t="str">
        <f>IF(ISBLANK(JP!L546),"","x")</f>
        <v/>
      </c>
      <c r="N542" t="str">
        <f>IF(ISBLANK(JP!M546),"","x")</f>
        <v/>
      </c>
      <c r="O542" t="str">
        <f>IF(ISBLANK(JP!N546),"","x")</f>
        <v/>
      </c>
      <c r="P542" t="str">
        <f>IF(ISBLANK(JP!O546),"","x")</f>
        <v/>
      </c>
      <c r="Q542" t="str">
        <f>IF(ISBLANK(JP!P546),"","x")</f>
        <v/>
      </c>
      <c r="R542" t="str">
        <f>IF(ISBLANK(JP!Q546),"","x")</f>
        <v/>
      </c>
      <c r="S542" t="str">
        <f>IF(ISBLANK(JP!R546),"","x")</f>
        <v/>
      </c>
      <c r="T542" t="str">
        <f>IF(ISBLANK(JP!T546),"","x")</f>
        <v/>
      </c>
      <c r="U542" t="str">
        <f>IF(ISBLANK(JP!U546),"","x")</f>
        <v/>
      </c>
      <c r="V542" t="str">
        <f>IF(ISBLANK(JP!V546),"","x")</f>
        <v/>
      </c>
      <c r="W542" t="str">
        <f>IF(ISBLANK(JP!W546),"","x")</f>
        <v/>
      </c>
      <c r="X542" t="str">
        <f>IF(ISBLANK(JP!X546),"","x")</f>
        <v/>
      </c>
      <c r="Y542" t="str">
        <f>IF(ISBLANK(JP!Y546),"","x")</f>
        <v/>
      </c>
      <c r="Z542" t="str">
        <f>IF(ISBLANK(JP!Z546),"","x")</f>
        <v/>
      </c>
      <c r="AA542" t="str">
        <f>IF(ISBLANK(JP!AB546),"","x")</f>
        <v/>
      </c>
      <c r="AB542" t="str">
        <f>IF(ISBLANK(JP!AC546),"","x")</f>
        <v/>
      </c>
      <c r="AC542" t="str">
        <f>IF(ISBLANK(JP!AD546),"","x")</f>
        <v/>
      </c>
      <c r="AD542" t="str">
        <f>IF(ISBLANK(JP!AE546),"","x")</f>
        <v/>
      </c>
      <c r="AE542" t="str">
        <f>IF(ISBLANK(JP!AF546),"","x")</f>
        <v/>
      </c>
      <c r="AF542" t="str">
        <f>IF(ISBLANK(JP!AG546),"","x")</f>
        <v/>
      </c>
      <c r="AG542" t="str">
        <f>IF(ISBLANK(JP!AH546),"","x")</f>
        <v/>
      </c>
      <c r="AH542" t="str">
        <f>IF(ISBLANK(JP!AJ546),"","x")</f>
        <v/>
      </c>
      <c r="AI542" t="str">
        <f>IF(ISBLANK(JP!AK546),"","x")</f>
        <v/>
      </c>
      <c r="AJ542" t="str">
        <f>IF(ISBLANK(JP!AL546),"","x")</f>
        <v/>
      </c>
      <c r="AK542" t="str">
        <f>IF(ISBLANK(JP!AM546),"","x")</f>
        <v/>
      </c>
      <c r="AL542" t="str">
        <f>IF(ISBLANK(JP!AN546),"","x")</f>
        <v/>
      </c>
      <c r="AM542" t="str">
        <f>IF(ISBLANK(JP!AO546),"","x")</f>
        <v/>
      </c>
      <c r="AN542" t="str">
        <f>IF(ISBLANK(JP!AP546),"","x")</f>
        <v/>
      </c>
      <c r="AO542" t="str">
        <f>IF(ISBLANK(JP!AR546),"","x")</f>
        <v/>
      </c>
      <c r="AP542" t="str">
        <f>IF(ISBLANK(JP!AS546),"","x")</f>
        <v/>
      </c>
      <c r="AQ542" t="str">
        <f>IF(ISBLANK(JP!AT546),"","x")</f>
        <v/>
      </c>
      <c r="AR542" t="str">
        <f>IF(ISBLANK(JP!AU546),"","x")</f>
        <v/>
      </c>
      <c r="AS542" t="str">
        <f>IF(ISBLANK(JP!AV546),"","x")</f>
        <v/>
      </c>
      <c r="AT542" t="str">
        <f>IF(ISBLANK(JP!AW546),"","x")</f>
        <v/>
      </c>
      <c r="AU542" t="str">
        <f>IF(ISBLANK(JP!AX546),"","x")</f>
        <v/>
      </c>
    </row>
    <row r="543" spans="2:47">
      <c r="B543" t="str">
        <f>IF(ISBLANK(JP!AZ547),"",JP!AZ547)</f>
        <v/>
      </c>
      <c r="C543" t="str">
        <f>IF(ISBLANK(JP!BA547),"",JP!BA547)</f>
        <v/>
      </c>
      <c r="D543" t="str">
        <f>IF(ISBLANK(JP!BC547),"",JP!BC547)</f>
        <v/>
      </c>
      <c r="E543" t="str">
        <f>IF(ISBLANK(JP!BB547),"",JP!BB547)</f>
        <v/>
      </c>
      <c r="F543" t="str">
        <f>IF(ISBLANK(JP!D547),"","x")</f>
        <v/>
      </c>
      <c r="G543" t="str">
        <f>IF(ISBLANK(JP!E547),"","x")</f>
        <v/>
      </c>
      <c r="H543" t="str">
        <f>IF(ISBLANK(JP!F547),"","x")</f>
        <v/>
      </c>
      <c r="I543" t="str">
        <f>IF(ISBLANK(JP!G547),"","x")</f>
        <v/>
      </c>
      <c r="J543" t="str">
        <f>IF(ISBLANK(JP!H547),"","x")</f>
        <v/>
      </c>
      <c r="K543" t="str">
        <f>IF(ISBLANK(JP!I547),"","x")</f>
        <v/>
      </c>
      <c r="L543" t="str">
        <f>IF(ISBLANK(JP!J547),"","x")</f>
        <v/>
      </c>
      <c r="M543" t="str">
        <f>IF(ISBLANK(JP!L547),"","x")</f>
        <v/>
      </c>
      <c r="N543" t="str">
        <f>IF(ISBLANK(JP!M547),"","x")</f>
        <v/>
      </c>
      <c r="O543" t="str">
        <f>IF(ISBLANK(JP!N547),"","x")</f>
        <v/>
      </c>
      <c r="P543" t="str">
        <f>IF(ISBLANK(JP!O547),"","x")</f>
        <v/>
      </c>
      <c r="Q543" t="str">
        <f>IF(ISBLANK(JP!P547),"","x")</f>
        <v/>
      </c>
      <c r="R543" t="str">
        <f>IF(ISBLANK(JP!Q547),"","x")</f>
        <v/>
      </c>
      <c r="S543" t="str">
        <f>IF(ISBLANK(JP!R547),"","x")</f>
        <v/>
      </c>
      <c r="T543" t="str">
        <f>IF(ISBLANK(JP!T547),"","x")</f>
        <v/>
      </c>
      <c r="U543" t="str">
        <f>IF(ISBLANK(JP!U547),"","x")</f>
        <v/>
      </c>
      <c r="V543" t="str">
        <f>IF(ISBLANK(JP!V547),"","x")</f>
        <v/>
      </c>
      <c r="W543" t="str">
        <f>IF(ISBLANK(JP!W547),"","x")</f>
        <v/>
      </c>
      <c r="X543" t="str">
        <f>IF(ISBLANK(JP!X547),"","x")</f>
        <v/>
      </c>
      <c r="Y543" t="str">
        <f>IF(ISBLANK(JP!Y547),"","x")</f>
        <v/>
      </c>
      <c r="Z543" t="str">
        <f>IF(ISBLANK(JP!Z547),"","x")</f>
        <v/>
      </c>
      <c r="AA543" t="str">
        <f>IF(ISBLANK(JP!AB547),"","x")</f>
        <v/>
      </c>
      <c r="AB543" t="str">
        <f>IF(ISBLANK(JP!AC547),"","x")</f>
        <v/>
      </c>
      <c r="AC543" t="str">
        <f>IF(ISBLANK(JP!AD547),"","x")</f>
        <v/>
      </c>
      <c r="AD543" t="str">
        <f>IF(ISBLANK(JP!AE547),"","x")</f>
        <v/>
      </c>
      <c r="AE543" t="str">
        <f>IF(ISBLANK(JP!AF547),"","x")</f>
        <v/>
      </c>
      <c r="AF543" t="str">
        <f>IF(ISBLANK(JP!AG547),"","x")</f>
        <v/>
      </c>
      <c r="AG543" t="str">
        <f>IF(ISBLANK(JP!AH547),"","x")</f>
        <v/>
      </c>
      <c r="AH543" t="str">
        <f>IF(ISBLANK(JP!AJ547),"","x")</f>
        <v/>
      </c>
      <c r="AI543" t="str">
        <f>IF(ISBLANK(JP!AK547),"","x")</f>
        <v/>
      </c>
      <c r="AJ543" t="str">
        <f>IF(ISBLANK(JP!AL547),"","x")</f>
        <v/>
      </c>
      <c r="AK543" t="str">
        <f>IF(ISBLANK(JP!AM547),"","x")</f>
        <v/>
      </c>
      <c r="AL543" t="str">
        <f>IF(ISBLANK(JP!AN547),"","x")</f>
        <v/>
      </c>
      <c r="AM543" t="str">
        <f>IF(ISBLANK(JP!AO547),"","x")</f>
        <v/>
      </c>
      <c r="AN543" t="str">
        <f>IF(ISBLANK(JP!AP547),"","x")</f>
        <v/>
      </c>
      <c r="AO543" t="str">
        <f>IF(ISBLANK(JP!AR547),"","x")</f>
        <v/>
      </c>
      <c r="AP543" t="str">
        <f>IF(ISBLANK(JP!AS547),"","x")</f>
        <v/>
      </c>
      <c r="AQ543" t="str">
        <f>IF(ISBLANK(JP!AT547),"","x")</f>
        <v/>
      </c>
      <c r="AR543" t="str">
        <f>IF(ISBLANK(JP!AU547),"","x")</f>
        <v/>
      </c>
      <c r="AS543" t="str">
        <f>IF(ISBLANK(JP!AV547),"","x")</f>
        <v/>
      </c>
      <c r="AT543" t="str">
        <f>IF(ISBLANK(JP!AW547),"","x")</f>
        <v/>
      </c>
      <c r="AU543" t="str">
        <f>IF(ISBLANK(JP!AX547),"","x")</f>
        <v/>
      </c>
    </row>
    <row r="544" spans="2:47">
      <c r="B544" t="str">
        <f>IF(ISBLANK(JP!AZ548),"",JP!AZ548)</f>
        <v/>
      </c>
      <c r="C544" t="str">
        <f>IF(ISBLANK(JP!BA548),"",JP!BA548)</f>
        <v/>
      </c>
      <c r="D544" t="str">
        <f>IF(ISBLANK(JP!BC548),"",JP!BC548)</f>
        <v/>
      </c>
      <c r="E544" t="str">
        <f>IF(ISBLANK(JP!BB548),"",JP!BB548)</f>
        <v/>
      </c>
      <c r="F544" t="str">
        <f>IF(ISBLANK(JP!D548),"","x")</f>
        <v/>
      </c>
      <c r="G544" t="str">
        <f>IF(ISBLANK(JP!E548),"","x")</f>
        <v/>
      </c>
      <c r="H544" t="str">
        <f>IF(ISBLANK(JP!F548),"","x")</f>
        <v/>
      </c>
      <c r="I544" t="str">
        <f>IF(ISBLANK(JP!G548),"","x")</f>
        <v/>
      </c>
      <c r="J544" t="str">
        <f>IF(ISBLANK(JP!H548),"","x")</f>
        <v/>
      </c>
      <c r="K544" t="str">
        <f>IF(ISBLANK(JP!I548),"","x")</f>
        <v/>
      </c>
      <c r="L544" t="str">
        <f>IF(ISBLANK(JP!J548),"","x")</f>
        <v/>
      </c>
      <c r="M544" t="str">
        <f>IF(ISBLANK(JP!L548),"","x")</f>
        <v/>
      </c>
      <c r="N544" t="str">
        <f>IF(ISBLANK(JP!M548),"","x")</f>
        <v/>
      </c>
      <c r="O544" t="str">
        <f>IF(ISBLANK(JP!N548),"","x")</f>
        <v/>
      </c>
      <c r="P544" t="str">
        <f>IF(ISBLANK(JP!O548),"","x")</f>
        <v/>
      </c>
      <c r="Q544" t="str">
        <f>IF(ISBLANK(JP!P548),"","x")</f>
        <v/>
      </c>
      <c r="R544" t="str">
        <f>IF(ISBLANK(JP!Q548),"","x")</f>
        <v/>
      </c>
      <c r="S544" t="str">
        <f>IF(ISBLANK(JP!R548),"","x")</f>
        <v/>
      </c>
      <c r="T544" t="str">
        <f>IF(ISBLANK(JP!T548),"","x")</f>
        <v/>
      </c>
      <c r="U544" t="str">
        <f>IF(ISBLANK(JP!U548),"","x")</f>
        <v/>
      </c>
      <c r="V544" t="str">
        <f>IF(ISBLANK(JP!V548),"","x")</f>
        <v/>
      </c>
      <c r="W544" t="str">
        <f>IF(ISBLANK(JP!W548),"","x")</f>
        <v/>
      </c>
      <c r="X544" t="str">
        <f>IF(ISBLANK(JP!X548),"","x")</f>
        <v/>
      </c>
      <c r="Y544" t="str">
        <f>IF(ISBLANK(JP!Y548),"","x")</f>
        <v/>
      </c>
      <c r="Z544" t="str">
        <f>IF(ISBLANK(JP!Z548),"","x")</f>
        <v/>
      </c>
      <c r="AA544" t="str">
        <f>IF(ISBLANK(JP!AB548),"","x")</f>
        <v/>
      </c>
      <c r="AB544" t="str">
        <f>IF(ISBLANK(JP!AC548),"","x")</f>
        <v/>
      </c>
      <c r="AC544" t="str">
        <f>IF(ISBLANK(JP!AD548),"","x")</f>
        <v/>
      </c>
      <c r="AD544" t="str">
        <f>IF(ISBLANK(JP!AE548),"","x")</f>
        <v/>
      </c>
      <c r="AE544" t="str">
        <f>IF(ISBLANK(JP!AF548),"","x")</f>
        <v/>
      </c>
      <c r="AF544" t="str">
        <f>IF(ISBLANK(JP!AG548),"","x")</f>
        <v/>
      </c>
      <c r="AG544" t="str">
        <f>IF(ISBLANK(JP!AH548),"","x")</f>
        <v/>
      </c>
      <c r="AH544" t="str">
        <f>IF(ISBLANK(JP!AJ548),"","x")</f>
        <v/>
      </c>
      <c r="AI544" t="str">
        <f>IF(ISBLANK(JP!AK548),"","x")</f>
        <v/>
      </c>
      <c r="AJ544" t="str">
        <f>IF(ISBLANK(JP!AL548),"","x")</f>
        <v/>
      </c>
      <c r="AK544" t="str">
        <f>IF(ISBLANK(JP!AM548),"","x")</f>
        <v/>
      </c>
      <c r="AL544" t="str">
        <f>IF(ISBLANK(JP!AN548),"","x")</f>
        <v/>
      </c>
      <c r="AM544" t="str">
        <f>IF(ISBLANK(JP!AO548),"","x")</f>
        <v/>
      </c>
      <c r="AN544" t="str">
        <f>IF(ISBLANK(JP!AP548),"","x")</f>
        <v/>
      </c>
      <c r="AO544" t="str">
        <f>IF(ISBLANK(JP!AR548),"","x")</f>
        <v/>
      </c>
      <c r="AP544" t="str">
        <f>IF(ISBLANK(JP!AS548),"","x")</f>
        <v/>
      </c>
      <c r="AQ544" t="str">
        <f>IF(ISBLANK(JP!AT548),"","x")</f>
        <v/>
      </c>
      <c r="AR544" t="str">
        <f>IF(ISBLANK(JP!AU548),"","x")</f>
        <v/>
      </c>
      <c r="AS544" t="str">
        <f>IF(ISBLANK(JP!AV548),"","x")</f>
        <v/>
      </c>
      <c r="AT544" t="str">
        <f>IF(ISBLANK(JP!AW548),"","x")</f>
        <v/>
      </c>
      <c r="AU544" t="str">
        <f>IF(ISBLANK(JP!AX548),"","x")</f>
        <v/>
      </c>
    </row>
    <row r="545" spans="2:47">
      <c r="B545" t="str">
        <f>IF(ISBLANK(JP!AZ549),"",JP!AZ549)</f>
        <v/>
      </c>
      <c r="C545" t="str">
        <f>IF(ISBLANK(JP!BA549),"",JP!BA549)</f>
        <v/>
      </c>
      <c r="D545" t="str">
        <f>IF(ISBLANK(JP!BC549),"",JP!BC549)</f>
        <v/>
      </c>
      <c r="E545" t="str">
        <f>IF(ISBLANK(JP!BB549),"",JP!BB549)</f>
        <v/>
      </c>
      <c r="F545" t="str">
        <f>IF(ISBLANK(JP!D549),"","x")</f>
        <v/>
      </c>
      <c r="G545" t="str">
        <f>IF(ISBLANK(JP!E549),"","x")</f>
        <v/>
      </c>
      <c r="H545" t="str">
        <f>IF(ISBLANK(JP!F549),"","x")</f>
        <v/>
      </c>
      <c r="I545" t="str">
        <f>IF(ISBLANK(JP!G549),"","x")</f>
        <v/>
      </c>
      <c r="J545" t="str">
        <f>IF(ISBLANK(JP!H549),"","x")</f>
        <v/>
      </c>
      <c r="K545" t="str">
        <f>IF(ISBLANK(JP!I549),"","x")</f>
        <v/>
      </c>
      <c r="L545" t="str">
        <f>IF(ISBLANK(JP!J549),"","x")</f>
        <v/>
      </c>
      <c r="M545" t="str">
        <f>IF(ISBLANK(JP!L549),"","x")</f>
        <v/>
      </c>
      <c r="N545" t="str">
        <f>IF(ISBLANK(JP!M549),"","x")</f>
        <v/>
      </c>
      <c r="O545" t="str">
        <f>IF(ISBLANK(JP!N549),"","x")</f>
        <v/>
      </c>
      <c r="P545" t="str">
        <f>IF(ISBLANK(JP!O549),"","x")</f>
        <v/>
      </c>
      <c r="Q545" t="str">
        <f>IF(ISBLANK(JP!P549),"","x")</f>
        <v/>
      </c>
      <c r="R545" t="str">
        <f>IF(ISBLANK(JP!Q549),"","x")</f>
        <v/>
      </c>
      <c r="S545" t="str">
        <f>IF(ISBLANK(JP!R549),"","x")</f>
        <v/>
      </c>
      <c r="T545" t="str">
        <f>IF(ISBLANK(JP!T549),"","x")</f>
        <v/>
      </c>
      <c r="U545" t="str">
        <f>IF(ISBLANK(JP!U549),"","x")</f>
        <v/>
      </c>
      <c r="V545" t="str">
        <f>IF(ISBLANK(JP!V549),"","x")</f>
        <v/>
      </c>
      <c r="W545" t="str">
        <f>IF(ISBLANK(JP!W549),"","x")</f>
        <v/>
      </c>
      <c r="X545" t="str">
        <f>IF(ISBLANK(JP!X549),"","x")</f>
        <v/>
      </c>
      <c r="Y545" t="str">
        <f>IF(ISBLANK(JP!Y549),"","x")</f>
        <v/>
      </c>
      <c r="Z545" t="str">
        <f>IF(ISBLANK(JP!Z549),"","x")</f>
        <v/>
      </c>
      <c r="AA545" t="str">
        <f>IF(ISBLANK(JP!AB549),"","x")</f>
        <v/>
      </c>
      <c r="AB545" t="str">
        <f>IF(ISBLANK(JP!AC549),"","x")</f>
        <v/>
      </c>
      <c r="AC545" t="str">
        <f>IF(ISBLANK(JP!AD549),"","x")</f>
        <v/>
      </c>
      <c r="AD545" t="str">
        <f>IF(ISBLANK(JP!AE549),"","x")</f>
        <v/>
      </c>
      <c r="AE545" t="str">
        <f>IF(ISBLANK(JP!AF549),"","x")</f>
        <v/>
      </c>
      <c r="AF545" t="str">
        <f>IF(ISBLANK(JP!AG549),"","x")</f>
        <v/>
      </c>
      <c r="AG545" t="str">
        <f>IF(ISBLANK(JP!AH549),"","x")</f>
        <v/>
      </c>
      <c r="AH545" t="str">
        <f>IF(ISBLANK(JP!AJ549),"","x")</f>
        <v/>
      </c>
      <c r="AI545" t="str">
        <f>IF(ISBLANK(JP!AK549),"","x")</f>
        <v/>
      </c>
      <c r="AJ545" t="str">
        <f>IF(ISBLANK(JP!AL549),"","x")</f>
        <v/>
      </c>
      <c r="AK545" t="str">
        <f>IF(ISBLANK(JP!AM549),"","x")</f>
        <v/>
      </c>
      <c r="AL545" t="str">
        <f>IF(ISBLANK(JP!AN549),"","x")</f>
        <v/>
      </c>
      <c r="AM545" t="str">
        <f>IF(ISBLANK(JP!AO549),"","x")</f>
        <v/>
      </c>
      <c r="AN545" t="str">
        <f>IF(ISBLANK(JP!AP549),"","x")</f>
        <v/>
      </c>
      <c r="AO545" t="str">
        <f>IF(ISBLANK(JP!AR549),"","x")</f>
        <v/>
      </c>
      <c r="AP545" t="str">
        <f>IF(ISBLANK(JP!AS549),"","x")</f>
        <v/>
      </c>
      <c r="AQ545" t="str">
        <f>IF(ISBLANK(JP!AT549),"","x")</f>
        <v/>
      </c>
      <c r="AR545" t="str">
        <f>IF(ISBLANK(JP!AU549),"","x")</f>
        <v/>
      </c>
      <c r="AS545" t="str">
        <f>IF(ISBLANK(JP!AV549),"","x")</f>
        <v/>
      </c>
      <c r="AT545" t="str">
        <f>IF(ISBLANK(JP!AW549),"","x")</f>
        <v/>
      </c>
      <c r="AU545" t="str">
        <f>IF(ISBLANK(JP!AX549),"","x")</f>
        <v/>
      </c>
    </row>
    <row r="546" spans="2:47">
      <c r="B546" t="str">
        <f>IF(ISBLANK(JP!AZ550),"",JP!AZ550)</f>
        <v/>
      </c>
      <c r="C546" t="str">
        <f>IF(ISBLANK(JP!BA550),"",JP!BA550)</f>
        <v/>
      </c>
      <c r="D546" t="str">
        <f>IF(ISBLANK(JP!BC550),"",JP!BC550)</f>
        <v/>
      </c>
      <c r="E546" t="str">
        <f>IF(ISBLANK(JP!BB550),"",JP!BB550)</f>
        <v/>
      </c>
      <c r="F546" t="str">
        <f>IF(ISBLANK(JP!D550),"","x")</f>
        <v/>
      </c>
      <c r="G546" t="str">
        <f>IF(ISBLANK(JP!E550),"","x")</f>
        <v/>
      </c>
      <c r="H546" t="str">
        <f>IF(ISBLANK(JP!F550),"","x")</f>
        <v/>
      </c>
      <c r="I546" t="str">
        <f>IF(ISBLANK(JP!G550),"","x")</f>
        <v/>
      </c>
      <c r="J546" t="str">
        <f>IF(ISBLANK(JP!H550),"","x")</f>
        <v/>
      </c>
      <c r="K546" t="str">
        <f>IF(ISBLANK(JP!I550),"","x")</f>
        <v/>
      </c>
      <c r="L546" t="str">
        <f>IF(ISBLANK(JP!J550),"","x")</f>
        <v/>
      </c>
      <c r="M546" t="str">
        <f>IF(ISBLANK(JP!L550),"","x")</f>
        <v/>
      </c>
      <c r="N546" t="str">
        <f>IF(ISBLANK(JP!M550),"","x")</f>
        <v/>
      </c>
      <c r="O546" t="str">
        <f>IF(ISBLANK(JP!N550),"","x")</f>
        <v/>
      </c>
      <c r="P546" t="str">
        <f>IF(ISBLANK(JP!O550),"","x")</f>
        <v/>
      </c>
      <c r="Q546" t="str">
        <f>IF(ISBLANK(JP!P550),"","x")</f>
        <v/>
      </c>
      <c r="R546" t="str">
        <f>IF(ISBLANK(JP!Q550),"","x")</f>
        <v/>
      </c>
      <c r="S546" t="str">
        <f>IF(ISBLANK(JP!R550),"","x")</f>
        <v/>
      </c>
      <c r="T546" t="str">
        <f>IF(ISBLANK(JP!T550),"","x")</f>
        <v/>
      </c>
      <c r="U546" t="str">
        <f>IF(ISBLANK(JP!U550),"","x")</f>
        <v/>
      </c>
      <c r="V546" t="str">
        <f>IF(ISBLANK(JP!V550),"","x")</f>
        <v/>
      </c>
      <c r="W546" t="str">
        <f>IF(ISBLANK(JP!W550),"","x")</f>
        <v/>
      </c>
      <c r="X546" t="str">
        <f>IF(ISBLANK(JP!X550),"","x")</f>
        <v/>
      </c>
      <c r="Y546" t="str">
        <f>IF(ISBLANK(JP!Y550),"","x")</f>
        <v/>
      </c>
      <c r="Z546" t="str">
        <f>IF(ISBLANK(JP!Z550),"","x")</f>
        <v/>
      </c>
      <c r="AA546" t="str">
        <f>IF(ISBLANK(JP!AB550),"","x")</f>
        <v/>
      </c>
      <c r="AB546" t="str">
        <f>IF(ISBLANK(JP!AC550),"","x")</f>
        <v/>
      </c>
      <c r="AC546" t="str">
        <f>IF(ISBLANK(JP!AD550),"","x")</f>
        <v/>
      </c>
      <c r="AD546" t="str">
        <f>IF(ISBLANK(JP!AE550),"","x")</f>
        <v/>
      </c>
      <c r="AE546" t="str">
        <f>IF(ISBLANK(JP!AF550),"","x")</f>
        <v/>
      </c>
      <c r="AF546" t="str">
        <f>IF(ISBLANK(JP!AG550),"","x")</f>
        <v/>
      </c>
      <c r="AG546" t="str">
        <f>IF(ISBLANK(JP!AH550),"","x")</f>
        <v/>
      </c>
      <c r="AH546" t="str">
        <f>IF(ISBLANK(JP!AJ550),"","x")</f>
        <v/>
      </c>
      <c r="AI546" t="str">
        <f>IF(ISBLANK(JP!AK550),"","x")</f>
        <v/>
      </c>
      <c r="AJ546" t="str">
        <f>IF(ISBLANK(JP!AL550),"","x")</f>
        <v/>
      </c>
      <c r="AK546" t="str">
        <f>IF(ISBLANK(JP!AM550),"","x")</f>
        <v/>
      </c>
      <c r="AL546" t="str">
        <f>IF(ISBLANK(JP!AN550),"","x")</f>
        <v/>
      </c>
      <c r="AM546" t="str">
        <f>IF(ISBLANK(JP!AO550),"","x")</f>
        <v/>
      </c>
      <c r="AN546" t="str">
        <f>IF(ISBLANK(JP!AP550),"","x")</f>
        <v/>
      </c>
      <c r="AO546" t="str">
        <f>IF(ISBLANK(JP!AR550),"","x")</f>
        <v/>
      </c>
      <c r="AP546" t="str">
        <f>IF(ISBLANK(JP!AS550),"","x")</f>
        <v/>
      </c>
      <c r="AQ546" t="str">
        <f>IF(ISBLANK(JP!AT550),"","x")</f>
        <v/>
      </c>
      <c r="AR546" t="str">
        <f>IF(ISBLANK(JP!AU550),"","x")</f>
        <v/>
      </c>
      <c r="AS546" t="str">
        <f>IF(ISBLANK(JP!AV550),"","x")</f>
        <v/>
      </c>
      <c r="AT546" t="str">
        <f>IF(ISBLANK(JP!AW550),"","x")</f>
        <v/>
      </c>
      <c r="AU546" t="str">
        <f>IF(ISBLANK(JP!AX550),"","x")</f>
        <v/>
      </c>
    </row>
    <row r="547" spans="2:47">
      <c r="B547" t="str">
        <f>IF(ISBLANK(JP!AZ551),"",JP!AZ551)</f>
        <v/>
      </c>
      <c r="C547" t="str">
        <f>IF(ISBLANK(JP!BA551),"",JP!BA551)</f>
        <v/>
      </c>
      <c r="D547" t="str">
        <f>IF(ISBLANK(JP!BC551),"",JP!BC551)</f>
        <v/>
      </c>
      <c r="E547" t="str">
        <f>IF(ISBLANK(JP!BB551),"",JP!BB551)</f>
        <v/>
      </c>
      <c r="F547" t="str">
        <f>IF(ISBLANK(JP!D551),"","x")</f>
        <v/>
      </c>
      <c r="G547" t="str">
        <f>IF(ISBLANK(JP!E551),"","x")</f>
        <v/>
      </c>
      <c r="H547" t="str">
        <f>IF(ISBLANK(JP!F551),"","x")</f>
        <v/>
      </c>
      <c r="I547" t="str">
        <f>IF(ISBLANK(JP!G551),"","x")</f>
        <v/>
      </c>
      <c r="J547" t="str">
        <f>IF(ISBLANK(JP!H551),"","x")</f>
        <v/>
      </c>
      <c r="K547" t="str">
        <f>IF(ISBLANK(JP!I551),"","x")</f>
        <v/>
      </c>
      <c r="L547" t="str">
        <f>IF(ISBLANK(JP!J551),"","x")</f>
        <v/>
      </c>
      <c r="M547" t="str">
        <f>IF(ISBLANK(JP!L551),"","x")</f>
        <v/>
      </c>
      <c r="N547" t="str">
        <f>IF(ISBLANK(JP!M551),"","x")</f>
        <v/>
      </c>
      <c r="O547" t="str">
        <f>IF(ISBLANK(JP!N551),"","x")</f>
        <v/>
      </c>
      <c r="P547" t="str">
        <f>IF(ISBLANK(JP!O551),"","x")</f>
        <v/>
      </c>
      <c r="Q547" t="str">
        <f>IF(ISBLANK(JP!P551),"","x")</f>
        <v/>
      </c>
      <c r="R547" t="str">
        <f>IF(ISBLANK(JP!Q551),"","x")</f>
        <v/>
      </c>
      <c r="S547" t="str">
        <f>IF(ISBLANK(JP!R551),"","x")</f>
        <v/>
      </c>
      <c r="T547" t="str">
        <f>IF(ISBLANK(JP!T551),"","x")</f>
        <v/>
      </c>
      <c r="U547" t="str">
        <f>IF(ISBLANK(JP!U551),"","x")</f>
        <v/>
      </c>
      <c r="V547" t="str">
        <f>IF(ISBLANK(JP!V551),"","x")</f>
        <v/>
      </c>
      <c r="W547" t="str">
        <f>IF(ISBLANK(JP!W551),"","x")</f>
        <v/>
      </c>
      <c r="X547" t="str">
        <f>IF(ISBLANK(JP!X551),"","x")</f>
        <v/>
      </c>
      <c r="Y547" t="str">
        <f>IF(ISBLANK(JP!Y551),"","x")</f>
        <v/>
      </c>
      <c r="Z547" t="str">
        <f>IF(ISBLANK(JP!Z551),"","x")</f>
        <v/>
      </c>
      <c r="AA547" t="str">
        <f>IF(ISBLANK(JP!AB551),"","x")</f>
        <v/>
      </c>
      <c r="AB547" t="str">
        <f>IF(ISBLANK(JP!AC551),"","x")</f>
        <v/>
      </c>
      <c r="AC547" t="str">
        <f>IF(ISBLANK(JP!AD551),"","x")</f>
        <v/>
      </c>
      <c r="AD547" t="str">
        <f>IF(ISBLANK(JP!AE551),"","x")</f>
        <v/>
      </c>
      <c r="AE547" t="str">
        <f>IF(ISBLANK(JP!AF551),"","x")</f>
        <v/>
      </c>
      <c r="AF547" t="str">
        <f>IF(ISBLANK(JP!AG551),"","x")</f>
        <v/>
      </c>
      <c r="AG547" t="str">
        <f>IF(ISBLANK(JP!AH551),"","x")</f>
        <v/>
      </c>
      <c r="AH547" t="str">
        <f>IF(ISBLANK(JP!AJ551),"","x")</f>
        <v/>
      </c>
      <c r="AI547" t="str">
        <f>IF(ISBLANK(JP!AK551),"","x")</f>
        <v/>
      </c>
      <c r="AJ547" t="str">
        <f>IF(ISBLANK(JP!AL551),"","x")</f>
        <v/>
      </c>
      <c r="AK547" t="str">
        <f>IF(ISBLANK(JP!AM551),"","x")</f>
        <v/>
      </c>
      <c r="AL547" t="str">
        <f>IF(ISBLANK(JP!AN551),"","x")</f>
        <v/>
      </c>
      <c r="AM547" t="str">
        <f>IF(ISBLANK(JP!AO551),"","x")</f>
        <v/>
      </c>
      <c r="AN547" t="str">
        <f>IF(ISBLANK(JP!AP551),"","x")</f>
        <v/>
      </c>
      <c r="AO547" t="str">
        <f>IF(ISBLANK(JP!AR551),"","x")</f>
        <v/>
      </c>
      <c r="AP547" t="str">
        <f>IF(ISBLANK(JP!AS551),"","x")</f>
        <v/>
      </c>
      <c r="AQ547" t="str">
        <f>IF(ISBLANK(JP!AT551),"","x")</f>
        <v/>
      </c>
      <c r="AR547" t="str">
        <f>IF(ISBLANK(JP!AU551),"","x")</f>
        <v/>
      </c>
      <c r="AS547" t="str">
        <f>IF(ISBLANK(JP!AV551),"","x")</f>
        <v/>
      </c>
      <c r="AT547" t="str">
        <f>IF(ISBLANK(JP!AW551),"","x")</f>
        <v/>
      </c>
      <c r="AU547" t="str">
        <f>IF(ISBLANK(JP!AX551),"","x")</f>
        <v/>
      </c>
    </row>
    <row r="548" spans="2:47">
      <c r="B548" t="str">
        <f>IF(ISBLANK(JP!AZ552),"",JP!AZ552)</f>
        <v/>
      </c>
      <c r="C548" t="str">
        <f>IF(ISBLANK(JP!BA552),"",JP!BA552)</f>
        <v/>
      </c>
      <c r="D548" t="str">
        <f>IF(ISBLANK(JP!BC552),"",JP!BC552)</f>
        <v/>
      </c>
      <c r="E548" t="str">
        <f>IF(ISBLANK(JP!BB552),"",JP!BB552)</f>
        <v/>
      </c>
      <c r="F548" t="str">
        <f>IF(ISBLANK(JP!D552),"","x")</f>
        <v/>
      </c>
      <c r="G548" t="str">
        <f>IF(ISBLANK(JP!E552),"","x")</f>
        <v/>
      </c>
      <c r="H548" t="str">
        <f>IF(ISBLANK(JP!F552),"","x")</f>
        <v/>
      </c>
      <c r="I548" t="str">
        <f>IF(ISBLANK(JP!G552),"","x")</f>
        <v/>
      </c>
      <c r="J548" t="str">
        <f>IF(ISBLANK(JP!H552),"","x")</f>
        <v/>
      </c>
      <c r="K548" t="str">
        <f>IF(ISBLANK(JP!I552),"","x")</f>
        <v/>
      </c>
      <c r="L548" t="str">
        <f>IF(ISBLANK(JP!J552),"","x")</f>
        <v/>
      </c>
      <c r="M548" t="str">
        <f>IF(ISBLANK(JP!L552),"","x")</f>
        <v/>
      </c>
      <c r="N548" t="str">
        <f>IF(ISBLANK(JP!M552),"","x")</f>
        <v/>
      </c>
      <c r="O548" t="str">
        <f>IF(ISBLANK(JP!N552),"","x")</f>
        <v/>
      </c>
      <c r="P548" t="str">
        <f>IF(ISBLANK(JP!O552),"","x")</f>
        <v/>
      </c>
      <c r="Q548" t="str">
        <f>IF(ISBLANK(JP!P552),"","x")</f>
        <v/>
      </c>
      <c r="R548" t="str">
        <f>IF(ISBLANK(JP!Q552),"","x")</f>
        <v/>
      </c>
      <c r="S548" t="str">
        <f>IF(ISBLANK(JP!R552),"","x")</f>
        <v/>
      </c>
      <c r="T548" t="str">
        <f>IF(ISBLANK(JP!T552),"","x")</f>
        <v/>
      </c>
      <c r="U548" t="str">
        <f>IF(ISBLANK(JP!U552),"","x")</f>
        <v/>
      </c>
      <c r="V548" t="str">
        <f>IF(ISBLANK(JP!V552),"","x")</f>
        <v/>
      </c>
      <c r="W548" t="str">
        <f>IF(ISBLANK(JP!W552),"","x")</f>
        <v/>
      </c>
      <c r="X548" t="str">
        <f>IF(ISBLANK(JP!X552),"","x")</f>
        <v/>
      </c>
      <c r="Y548" t="str">
        <f>IF(ISBLANK(JP!Y552),"","x")</f>
        <v/>
      </c>
      <c r="Z548" t="str">
        <f>IF(ISBLANK(JP!Z552),"","x")</f>
        <v/>
      </c>
      <c r="AA548" t="str">
        <f>IF(ISBLANK(JP!AB552),"","x")</f>
        <v/>
      </c>
      <c r="AB548" t="str">
        <f>IF(ISBLANK(JP!AC552),"","x")</f>
        <v/>
      </c>
      <c r="AC548" t="str">
        <f>IF(ISBLANK(JP!AD552),"","x")</f>
        <v/>
      </c>
      <c r="AD548" t="str">
        <f>IF(ISBLANK(JP!AE552),"","x")</f>
        <v/>
      </c>
      <c r="AE548" t="str">
        <f>IF(ISBLANK(JP!AF552),"","x")</f>
        <v/>
      </c>
      <c r="AF548" t="str">
        <f>IF(ISBLANK(JP!AG552),"","x")</f>
        <v/>
      </c>
      <c r="AG548" t="str">
        <f>IF(ISBLANK(JP!AH552),"","x")</f>
        <v/>
      </c>
      <c r="AH548" t="str">
        <f>IF(ISBLANK(JP!AJ552),"","x")</f>
        <v/>
      </c>
      <c r="AI548" t="str">
        <f>IF(ISBLANK(JP!AK552),"","x")</f>
        <v/>
      </c>
      <c r="AJ548" t="str">
        <f>IF(ISBLANK(JP!AL552),"","x")</f>
        <v/>
      </c>
      <c r="AK548" t="str">
        <f>IF(ISBLANK(JP!AM552),"","x")</f>
        <v/>
      </c>
      <c r="AL548" t="str">
        <f>IF(ISBLANK(JP!AN552),"","x")</f>
        <v/>
      </c>
      <c r="AM548" t="str">
        <f>IF(ISBLANK(JP!AO552),"","x")</f>
        <v/>
      </c>
      <c r="AN548" t="str">
        <f>IF(ISBLANK(JP!AP552),"","x")</f>
        <v/>
      </c>
      <c r="AO548" t="str">
        <f>IF(ISBLANK(JP!AR552),"","x")</f>
        <v/>
      </c>
      <c r="AP548" t="str">
        <f>IF(ISBLANK(JP!AS552),"","x")</f>
        <v/>
      </c>
      <c r="AQ548" t="str">
        <f>IF(ISBLANK(JP!AT552),"","x")</f>
        <v/>
      </c>
      <c r="AR548" t="str">
        <f>IF(ISBLANK(JP!AU552),"","x")</f>
        <v/>
      </c>
      <c r="AS548" t="str">
        <f>IF(ISBLANK(JP!AV552),"","x")</f>
        <v/>
      </c>
      <c r="AT548" t="str">
        <f>IF(ISBLANK(JP!AW552),"","x")</f>
        <v/>
      </c>
      <c r="AU548" t="str">
        <f>IF(ISBLANK(JP!AX552),"","x")</f>
        <v/>
      </c>
    </row>
    <row r="549" spans="2:47">
      <c r="B549" t="str">
        <f>IF(ISBLANK(JP!AZ553),"",JP!AZ553)</f>
        <v/>
      </c>
      <c r="C549" t="str">
        <f>IF(ISBLANK(JP!BA553),"",JP!BA553)</f>
        <v/>
      </c>
      <c r="D549" t="str">
        <f>IF(ISBLANK(JP!BC553),"",JP!BC553)</f>
        <v/>
      </c>
      <c r="E549" t="str">
        <f>IF(ISBLANK(JP!BB553),"",JP!BB553)</f>
        <v/>
      </c>
      <c r="F549" t="str">
        <f>IF(ISBLANK(JP!D553),"","x")</f>
        <v/>
      </c>
      <c r="G549" t="str">
        <f>IF(ISBLANK(JP!E553),"","x")</f>
        <v/>
      </c>
      <c r="H549" t="str">
        <f>IF(ISBLANK(JP!F553),"","x")</f>
        <v/>
      </c>
      <c r="I549" t="str">
        <f>IF(ISBLANK(JP!G553),"","x")</f>
        <v/>
      </c>
      <c r="J549" t="str">
        <f>IF(ISBLANK(JP!H553),"","x")</f>
        <v/>
      </c>
      <c r="K549" t="str">
        <f>IF(ISBLANK(JP!I553),"","x")</f>
        <v/>
      </c>
      <c r="L549" t="str">
        <f>IF(ISBLANK(JP!J553),"","x")</f>
        <v/>
      </c>
      <c r="M549" t="str">
        <f>IF(ISBLANK(JP!L553),"","x")</f>
        <v/>
      </c>
      <c r="N549" t="str">
        <f>IF(ISBLANK(JP!M553),"","x")</f>
        <v/>
      </c>
      <c r="O549" t="str">
        <f>IF(ISBLANK(JP!N553),"","x")</f>
        <v/>
      </c>
      <c r="P549" t="str">
        <f>IF(ISBLANK(JP!O553),"","x")</f>
        <v/>
      </c>
      <c r="Q549" t="str">
        <f>IF(ISBLANK(JP!P553),"","x")</f>
        <v/>
      </c>
      <c r="R549" t="str">
        <f>IF(ISBLANK(JP!Q553),"","x")</f>
        <v/>
      </c>
      <c r="S549" t="str">
        <f>IF(ISBLANK(JP!R553),"","x")</f>
        <v/>
      </c>
      <c r="T549" t="str">
        <f>IF(ISBLANK(JP!T553),"","x")</f>
        <v/>
      </c>
      <c r="U549" t="str">
        <f>IF(ISBLANK(JP!U553),"","x")</f>
        <v/>
      </c>
      <c r="V549" t="str">
        <f>IF(ISBLANK(JP!V553),"","x")</f>
        <v/>
      </c>
      <c r="W549" t="str">
        <f>IF(ISBLANK(JP!W553),"","x")</f>
        <v/>
      </c>
      <c r="X549" t="str">
        <f>IF(ISBLANK(JP!X553),"","x")</f>
        <v/>
      </c>
      <c r="Y549" t="str">
        <f>IF(ISBLANK(JP!Y553),"","x")</f>
        <v/>
      </c>
      <c r="Z549" t="str">
        <f>IF(ISBLANK(JP!Z553),"","x")</f>
        <v/>
      </c>
      <c r="AA549" t="str">
        <f>IF(ISBLANK(JP!AB553),"","x")</f>
        <v/>
      </c>
      <c r="AB549" t="str">
        <f>IF(ISBLANK(JP!AC553),"","x")</f>
        <v/>
      </c>
      <c r="AC549" t="str">
        <f>IF(ISBLANK(JP!AD553),"","x")</f>
        <v/>
      </c>
      <c r="AD549" t="str">
        <f>IF(ISBLANK(JP!AE553),"","x")</f>
        <v/>
      </c>
      <c r="AE549" t="str">
        <f>IF(ISBLANK(JP!AF553),"","x")</f>
        <v/>
      </c>
      <c r="AF549" t="str">
        <f>IF(ISBLANK(JP!AG553),"","x")</f>
        <v/>
      </c>
      <c r="AG549" t="str">
        <f>IF(ISBLANK(JP!AH553),"","x")</f>
        <v/>
      </c>
      <c r="AH549" t="str">
        <f>IF(ISBLANK(JP!AJ553),"","x")</f>
        <v/>
      </c>
      <c r="AI549" t="str">
        <f>IF(ISBLANK(JP!AK553),"","x")</f>
        <v/>
      </c>
      <c r="AJ549" t="str">
        <f>IF(ISBLANK(JP!AL553),"","x")</f>
        <v/>
      </c>
      <c r="AK549" t="str">
        <f>IF(ISBLANK(JP!AM553),"","x")</f>
        <v/>
      </c>
      <c r="AL549" t="str">
        <f>IF(ISBLANK(JP!AN553),"","x")</f>
        <v/>
      </c>
      <c r="AM549" t="str">
        <f>IF(ISBLANK(JP!AO553),"","x")</f>
        <v/>
      </c>
      <c r="AN549" t="str">
        <f>IF(ISBLANK(JP!AP553),"","x")</f>
        <v/>
      </c>
      <c r="AO549" t="str">
        <f>IF(ISBLANK(JP!AR553),"","x")</f>
        <v/>
      </c>
      <c r="AP549" t="str">
        <f>IF(ISBLANK(JP!AS553),"","x")</f>
        <v/>
      </c>
      <c r="AQ549" t="str">
        <f>IF(ISBLANK(JP!AT553),"","x")</f>
        <v/>
      </c>
      <c r="AR549" t="str">
        <f>IF(ISBLANK(JP!AU553),"","x")</f>
        <v/>
      </c>
      <c r="AS549" t="str">
        <f>IF(ISBLANK(JP!AV553),"","x")</f>
        <v/>
      </c>
      <c r="AT549" t="str">
        <f>IF(ISBLANK(JP!AW553),"","x")</f>
        <v/>
      </c>
      <c r="AU549" t="str">
        <f>IF(ISBLANK(JP!AX553),"","x")</f>
        <v/>
      </c>
    </row>
    <row r="550" spans="2:47">
      <c r="B550" t="str">
        <f>IF(ISBLANK(JP!AZ554),"",JP!AZ554)</f>
        <v/>
      </c>
      <c r="C550" t="str">
        <f>IF(ISBLANK(JP!BA554),"",JP!BA554)</f>
        <v/>
      </c>
      <c r="D550" t="str">
        <f>IF(ISBLANK(JP!BC554),"",JP!BC554)</f>
        <v/>
      </c>
      <c r="E550" t="str">
        <f>IF(ISBLANK(JP!BB554),"",JP!BB554)</f>
        <v/>
      </c>
      <c r="F550" t="str">
        <f>IF(ISBLANK(JP!D554),"","x")</f>
        <v/>
      </c>
      <c r="G550" t="str">
        <f>IF(ISBLANK(JP!E554),"","x")</f>
        <v/>
      </c>
      <c r="H550" t="str">
        <f>IF(ISBLANK(JP!F554),"","x")</f>
        <v/>
      </c>
      <c r="I550" t="str">
        <f>IF(ISBLANK(JP!G554),"","x")</f>
        <v/>
      </c>
      <c r="J550" t="str">
        <f>IF(ISBLANK(JP!H554),"","x")</f>
        <v/>
      </c>
      <c r="K550" t="str">
        <f>IF(ISBLANK(JP!I554),"","x")</f>
        <v/>
      </c>
      <c r="L550" t="str">
        <f>IF(ISBLANK(JP!J554),"","x")</f>
        <v/>
      </c>
      <c r="M550" t="str">
        <f>IF(ISBLANK(JP!L554),"","x")</f>
        <v/>
      </c>
      <c r="N550" t="str">
        <f>IF(ISBLANK(JP!M554),"","x")</f>
        <v/>
      </c>
      <c r="O550" t="str">
        <f>IF(ISBLANK(JP!N554),"","x")</f>
        <v/>
      </c>
      <c r="P550" t="str">
        <f>IF(ISBLANK(JP!O554),"","x")</f>
        <v/>
      </c>
      <c r="Q550" t="str">
        <f>IF(ISBLANK(JP!P554),"","x")</f>
        <v/>
      </c>
      <c r="R550" t="str">
        <f>IF(ISBLANK(JP!Q554),"","x")</f>
        <v/>
      </c>
      <c r="S550" t="str">
        <f>IF(ISBLANK(JP!R554),"","x")</f>
        <v/>
      </c>
      <c r="T550" t="str">
        <f>IF(ISBLANK(JP!T554),"","x")</f>
        <v/>
      </c>
      <c r="U550" t="str">
        <f>IF(ISBLANK(JP!U554),"","x")</f>
        <v/>
      </c>
      <c r="V550" t="str">
        <f>IF(ISBLANK(JP!V554),"","x")</f>
        <v/>
      </c>
      <c r="W550" t="str">
        <f>IF(ISBLANK(JP!W554),"","x")</f>
        <v/>
      </c>
      <c r="X550" t="str">
        <f>IF(ISBLANK(JP!X554),"","x")</f>
        <v/>
      </c>
      <c r="Y550" t="str">
        <f>IF(ISBLANK(JP!Y554),"","x")</f>
        <v/>
      </c>
      <c r="Z550" t="str">
        <f>IF(ISBLANK(JP!Z554),"","x")</f>
        <v/>
      </c>
      <c r="AA550" t="str">
        <f>IF(ISBLANK(JP!AB554),"","x")</f>
        <v/>
      </c>
      <c r="AB550" t="str">
        <f>IF(ISBLANK(JP!AC554),"","x")</f>
        <v/>
      </c>
      <c r="AC550" t="str">
        <f>IF(ISBLANK(JP!AD554),"","x")</f>
        <v/>
      </c>
      <c r="AD550" t="str">
        <f>IF(ISBLANK(JP!AE554),"","x")</f>
        <v/>
      </c>
      <c r="AE550" t="str">
        <f>IF(ISBLANK(JP!AF554),"","x")</f>
        <v/>
      </c>
      <c r="AF550" t="str">
        <f>IF(ISBLANK(JP!AG554),"","x")</f>
        <v/>
      </c>
      <c r="AG550" t="str">
        <f>IF(ISBLANK(JP!AH554),"","x")</f>
        <v/>
      </c>
      <c r="AH550" t="str">
        <f>IF(ISBLANK(JP!AJ554),"","x")</f>
        <v/>
      </c>
      <c r="AI550" t="str">
        <f>IF(ISBLANK(JP!AK554),"","x")</f>
        <v/>
      </c>
      <c r="AJ550" t="str">
        <f>IF(ISBLANK(JP!AL554),"","x")</f>
        <v/>
      </c>
      <c r="AK550" t="str">
        <f>IF(ISBLANK(JP!AM554),"","x")</f>
        <v/>
      </c>
      <c r="AL550" t="str">
        <f>IF(ISBLANK(JP!AN554),"","x")</f>
        <v/>
      </c>
      <c r="AM550" t="str">
        <f>IF(ISBLANK(JP!AO554),"","x")</f>
        <v/>
      </c>
      <c r="AN550" t="str">
        <f>IF(ISBLANK(JP!AP554),"","x")</f>
        <v/>
      </c>
      <c r="AO550" t="str">
        <f>IF(ISBLANK(JP!AR554),"","x")</f>
        <v/>
      </c>
      <c r="AP550" t="str">
        <f>IF(ISBLANK(JP!AS554),"","x")</f>
        <v/>
      </c>
      <c r="AQ550" t="str">
        <f>IF(ISBLANK(JP!AT554),"","x")</f>
        <v/>
      </c>
      <c r="AR550" t="str">
        <f>IF(ISBLANK(JP!AU554),"","x")</f>
        <v/>
      </c>
      <c r="AS550" t="str">
        <f>IF(ISBLANK(JP!AV554),"","x")</f>
        <v/>
      </c>
      <c r="AT550" t="str">
        <f>IF(ISBLANK(JP!AW554),"","x")</f>
        <v/>
      </c>
      <c r="AU550" t="str">
        <f>IF(ISBLANK(JP!AX554),"","x")</f>
        <v/>
      </c>
    </row>
    <row r="551" spans="2:47">
      <c r="B551" t="str">
        <f>IF(ISBLANK(JP!AZ555),"",JP!AZ555)</f>
        <v/>
      </c>
      <c r="C551" t="str">
        <f>IF(ISBLANK(JP!BA555),"",JP!BA555)</f>
        <v/>
      </c>
      <c r="D551" t="str">
        <f>IF(ISBLANK(JP!BC555),"",JP!BC555)</f>
        <v/>
      </c>
      <c r="E551" t="str">
        <f>IF(ISBLANK(JP!BB555),"",JP!BB555)</f>
        <v/>
      </c>
      <c r="F551" t="str">
        <f>IF(ISBLANK(JP!D555),"","x")</f>
        <v/>
      </c>
      <c r="G551" t="str">
        <f>IF(ISBLANK(JP!E555),"","x")</f>
        <v/>
      </c>
      <c r="H551" t="str">
        <f>IF(ISBLANK(JP!F555),"","x")</f>
        <v/>
      </c>
      <c r="I551" t="str">
        <f>IF(ISBLANK(JP!G555),"","x")</f>
        <v/>
      </c>
      <c r="J551" t="str">
        <f>IF(ISBLANK(JP!H555),"","x")</f>
        <v/>
      </c>
      <c r="K551" t="str">
        <f>IF(ISBLANK(JP!I555),"","x")</f>
        <v/>
      </c>
      <c r="L551" t="str">
        <f>IF(ISBLANK(JP!J555),"","x")</f>
        <v/>
      </c>
      <c r="M551" t="str">
        <f>IF(ISBLANK(JP!L555),"","x")</f>
        <v/>
      </c>
      <c r="N551" t="str">
        <f>IF(ISBLANK(JP!M555),"","x")</f>
        <v/>
      </c>
      <c r="O551" t="str">
        <f>IF(ISBLANK(JP!N555),"","x")</f>
        <v/>
      </c>
      <c r="P551" t="str">
        <f>IF(ISBLANK(JP!O555),"","x")</f>
        <v/>
      </c>
      <c r="Q551" t="str">
        <f>IF(ISBLANK(JP!P555),"","x")</f>
        <v/>
      </c>
      <c r="R551" t="str">
        <f>IF(ISBLANK(JP!Q555),"","x")</f>
        <v/>
      </c>
      <c r="S551" t="str">
        <f>IF(ISBLANK(JP!R555),"","x")</f>
        <v/>
      </c>
      <c r="T551" t="str">
        <f>IF(ISBLANK(JP!T555),"","x")</f>
        <v/>
      </c>
      <c r="U551" t="str">
        <f>IF(ISBLANK(JP!U555),"","x")</f>
        <v/>
      </c>
      <c r="V551" t="str">
        <f>IF(ISBLANK(JP!V555),"","x")</f>
        <v/>
      </c>
      <c r="W551" t="str">
        <f>IF(ISBLANK(JP!W555),"","x")</f>
        <v/>
      </c>
      <c r="X551" t="str">
        <f>IF(ISBLANK(JP!X555),"","x")</f>
        <v/>
      </c>
      <c r="Y551" t="str">
        <f>IF(ISBLANK(JP!Y555),"","x")</f>
        <v/>
      </c>
      <c r="Z551" t="str">
        <f>IF(ISBLANK(JP!Z555),"","x")</f>
        <v/>
      </c>
      <c r="AA551" t="str">
        <f>IF(ISBLANK(JP!AB555),"","x")</f>
        <v/>
      </c>
      <c r="AB551" t="str">
        <f>IF(ISBLANK(JP!AC555),"","x")</f>
        <v/>
      </c>
      <c r="AC551" t="str">
        <f>IF(ISBLANK(JP!AD555),"","x")</f>
        <v/>
      </c>
      <c r="AD551" t="str">
        <f>IF(ISBLANK(JP!AE555),"","x")</f>
        <v/>
      </c>
      <c r="AE551" t="str">
        <f>IF(ISBLANK(JP!AF555),"","x")</f>
        <v/>
      </c>
      <c r="AF551" t="str">
        <f>IF(ISBLANK(JP!AG555),"","x")</f>
        <v/>
      </c>
      <c r="AG551" t="str">
        <f>IF(ISBLANK(JP!AH555),"","x")</f>
        <v/>
      </c>
      <c r="AH551" t="str">
        <f>IF(ISBLANK(JP!AJ555),"","x")</f>
        <v/>
      </c>
      <c r="AI551" t="str">
        <f>IF(ISBLANK(JP!AK555),"","x")</f>
        <v/>
      </c>
      <c r="AJ551" t="str">
        <f>IF(ISBLANK(JP!AL555),"","x")</f>
        <v/>
      </c>
      <c r="AK551" t="str">
        <f>IF(ISBLANK(JP!AM555),"","x")</f>
        <v/>
      </c>
      <c r="AL551" t="str">
        <f>IF(ISBLANK(JP!AN555),"","x")</f>
        <v/>
      </c>
      <c r="AM551" t="str">
        <f>IF(ISBLANK(JP!AO555),"","x")</f>
        <v/>
      </c>
      <c r="AN551" t="str">
        <f>IF(ISBLANK(JP!AP555),"","x")</f>
        <v/>
      </c>
      <c r="AO551" t="str">
        <f>IF(ISBLANK(JP!AR555),"","x")</f>
        <v/>
      </c>
      <c r="AP551" t="str">
        <f>IF(ISBLANK(JP!AS555),"","x")</f>
        <v/>
      </c>
      <c r="AQ551" t="str">
        <f>IF(ISBLANK(JP!AT555),"","x")</f>
        <v/>
      </c>
      <c r="AR551" t="str">
        <f>IF(ISBLANK(JP!AU555),"","x")</f>
        <v/>
      </c>
      <c r="AS551" t="str">
        <f>IF(ISBLANK(JP!AV555),"","x")</f>
        <v/>
      </c>
      <c r="AT551" t="str">
        <f>IF(ISBLANK(JP!AW555),"","x")</f>
        <v/>
      </c>
      <c r="AU551" t="str">
        <f>IF(ISBLANK(JP!AX555),"","x")</f>
        <v/>
      </c>
    </row>
    <row r="552" spans="2:47">
      <c r="B552" t="str">
        <f>IF(ISBLANK(JP!AZ556),"",JP!AZ556)</f>
        <v/>
      </c>
      <c r="C552" t="str">
        <f>IF(ISBLANK(JP!BA556),"",JP!BA556)</f>
        <v/>
      </c>
      <c r="D552" t="str">
        <f>IF(ISBLANK(JP!BC556),"",JP!BC556)</f>
        <v/>
      </c>
      <c r="E552" t="str">
        <f>IF(ISBLANK(JP!BB556),"",JP!BB556)</f>
        <v/>
      </c>
      <c r="F552" t="str">
        <f>IF(ISBLANK(JP!D556),"","x")</f>
        <v/>
      </c>
      <c r="G552" t="str">
        <f>IF(ISBLANK(JP!E556),"","x")</f>
        <v/>
      </c>
      <c r="H552" t="str">
        <f>IF(ISBLANK(JP!F556),"","x")</f>
        <v/>
      </c>
      <c r="I552" t="str">
        <f>IF(ISBLANK(JP!G556),"","x")</f>
        <v/>
      </c>
      <c r="J552" t="str">
        <f>IF(ISBLANK(JP!H556),"","x")</f>
        <v/>
      </c>
      <c r="K552" t="str">
        <f>IF(ISBLANK(JP!I556),"","x")</f>
        <v/>
      </c>
      <c r="L552" t="str">
        <f>IF(ISBLANK(JP!J556),"","x")</f>
        <v/>
      </c>
      <c r="M552" t="str">
        <f>IF(ISBLANK(JP!L556),"","x")</f>
        <v/>
      </c>
      <c r="N552" t="str">
        <f>IF(ISBLANK(JP!M556),"","x")</f>
        <v/>
      </c>
      <c r="O552" t="str">
        <f>IF(ISBLANK(JP!N556),"","x")</f>
        <v/>
      </c>
      <c r="P552" t="str">
        <f>IF(ISBLANK(JP!O556),"","x")</f>
        <v/>
      </c>
      <c r="Q552" t="str">
        <f>IF(ISBLANK(JP!P556),"","x")</f>
        <v/>
      </c>
      <c r="R552" t="str">
        <f>IF(ISBLANK(JP!Q556),"","x")</f>
        <v/>
      </c>
      <c r="S552" t="str">
        <f>IF(ISBLANK(JP!R556),"","x")</f>
        <v/>
      </c>
      <c r="T552" t="str">
        <f>IF(ISBLANK(JP!T556),"","x")</f>
        <v/>
      </c>
      <c r="U552" t="str">
        <f>IF(ISBLANK(JP!U556),"","x")</f>
        <v/>
      </c>
      <c r="V552" t="str">
        <f>IF(ISBLANK(JP!V556),"","x")</f>
        <v/>
      </c>
      <c r="W552" t="str">
        <f>IF(ISBLANK(JP!W556),"","x")</f>
        <v/>
      </c>
      <c r="X552" t="str">
        <f>IF(ISBLANK(JP!X556),"","x")</f>
        <v/>
      </c>
      <c r="Y552" t="str">
        <f>IF(ISBLANK(JP!Y556),"","x")</f>
        <v/>
      </c>
      <c r="Z552" t="str">
        <f>IF(ISBLANK(JP!Z556),"","x")</f>
        <v/>
      </c>
      <c r="AA552" t="str">
        <f>IF(ISBLANK(JP!AB556),"","x")</f>
        <v/>
      </c>
      <c r="AB552" t="str">
        <f>IF(ISBLANK(JP!AC556),"","x")</f>
        <v/>
      </c>
      <c r="AC552" t="str">
        <f>IF(ISBLANK(JP!AD556),"","x")</f>
        <v/>
      </c>
      <c r="AD552" t="str">
        <f>IF(ISBLANK(JP!AE556),"","x")</f>
        <v/>
      </c>
      <c r="AE552" t="str">
        <f>IF(ISBLANK(JP!AF556),"","x")</f>
        <v/>
      </c>
      <c r="AF552" t="str">
        <f>IF(ISBLANK(JP!AG556),"","x")</f>
        <v/>
      </c>
      <c r="AG552" t="str">
        <f>IF(ISBLANK(JP!AH556),"","x")</f>
        <v/>
      </c>
      <c r="AH552" t="str">
        <f>IF(ISBLANK(JP!AJ556),"","x")</f>
        <v/>
      </c>
      <c r="AI552" t="str">
        <f>IF(ISBLANK(JP!AK556),"","x")</f>
        <v/>
      </c>
      <c r="AJ552" t="str">
        <f>IF(ISBLANK(JP!AL556),"","x")</f>
        <v/>
      </c>
      <c r="AK552" t="str">
        <f>IF(ISBLANK(JP!AM556),"","x")</f>
        <v/>
      </c>
      <c r="AL552" t="str">
        <f>IF(ISBLANK(JP!AN556),"","x")</f>
        <v/>
      </c>
      <c r="AM552" t="str">
        <f>IF(ISBLANK(JP!AO556),"","x")</f>
        <v/>
      </c>
      <c r="AN552" t="str">
        <f>IF(ISBLANK(JP!AP556),"","x")</f>
        <v/>
      </c>
      <c r="AO552" t="str">
        <f>IF(ISBLANK(JP!AR556),"","x")</f>
        <v/>
      </c>
      <c r="AP552" t="str">
        <f>IF(ISBLANK(JP!AS556),"","x")</f>
        <v/>
      </c>
      <c r="AQ552" t="str">
        <f>IF(ISBLANK(JP!AT556),"","x")</f>
        <v/>
      </c>
      <c r="AR552" t="str">
        <f>IF(ISBLANK(JP!AU556),"","x")</f>
        <v/>
      </c>
      <c r="AS552" t="str">
        <f>IF(ISBLANK(JP!AV556),"","x")</f>
        <v/>
      </c>
      <c r="AT552" t="str">
        <f>IF(ISBLANK(JP!AW556),"","x")</f>
        <v/>
      </c>
      <c r="AU552" t="str">
        <f>IF(ISBLANK(JP!AX556),"","x")</f>
        <v/>
      </c>
    </row>
    <row r="553" spans="2:47">
      <c r="B553" t="str">
        <f>IF(ISBLANK(JP!AZ557),"",JP!AZ557)</f>
        <v/>
      </c>
      <c r="C553" t="str">
        <f>IF(ISBLANK(JP!BA557),"",JP!BA557)</f>
        <v/>
      </c>
      <c r="D553" t="str">
        <f>IF(ISBLANK(JP!BC557),"",JP!BC557)</f>
        <v/>
      </c>
      <c r="E553" t="str">
        <f>IF(ISBLANK(JP!BB557),"",JP!BB557)</f>
        <v/>
      </c>
      <c r="F553" t="str">
        <f>IF(ISBLANK(JP!D557),"","x")</f>
        <v/>
      </c>
      <c r="G553" t="str">
        <f>IF(ISBLANK(JP!E557),"","x")</f>
        <v/>
      </c>
      <c r="H553" t="str">
        <f>IF(ISBLANK(JP!F557),"","x")</f>
        <v/>
      </c>
      <c r="I553" t="str">
        <f>IF(ISBLANK(JP!G557),"","x")</f>
        <v/>
      </c>
      <c r="J553" t="str">
        <f>IF(ISBLANK(JP!H557),"","x")</f>
        <v/>
      </c>
      <c r="K553" t="str">
        <f>IF(ISBLANK(JP!I557),"","x")</f>
        <v/>
      </c>
      <c r="L553" t="str">
        <f>IF(ISBLANK(JP!J557),"","x")</f>
        <v/>
      </c>
      <c r="M553" t="str">
        <f>IF(ISBLANK(JP!L557),"","x")</f>
        <v/>
      </c>
      <c r="N553" t="str">
        <f>IF(ISBLANK(JP!M557),"","x")</f>
        <v/>
      </c>
      <c r="O553" t="str">
        <f>IF(ISBLANK(JP!N557),"","x")</f>
        <v/>
      </c>
      <c r="P553" t="str">
        <f>IF(ISBLANK(JP!O557),"","x")</f>
        <v/>
      </c>
      <c r="Q553" t="str">
        <f>IF(ISBLANK(JP!P557),"","x")</f>
        <v/>
      </c>
      <c r="R553" t="str">
        <f>IF(ISBLANK(JP!Q557),"","x")</f>
        <v/>
      </c>
      <c r="S553" t="str">
        <f>IF(ISBLANK(JP!R557),"","x")</f>
        <v/>
      </c>
      <c r="T553" t="str">
        <f>IF(ISBLANK(JP!T557),"","x")</f>
        <v/>
      </c>
      <c r="U553" t="str">
        <f>IF(ISBLANK(JP!U557),"","x")</f>
        <v/>
      </c>
      <c r="V553" t="str">
        <f>IF(ISBLANK(JP!V557),"","x")</f>
        <v/>
      </c>
      <c r="W553" t="str">
        <f>IF(ISBLANK(JP!W557),"","x")</f>
        <v/>
      </c>
      <c r="X553" t="str">
        <f>IF(ISBLANK(JP!X557),"","x")</f>
        <v/>
      </c>
      <c r="Y553" t="str">
        <f>IF(ISBLANK(JP!Y557),"","x")</f>
        <v/>
      </c>
      <c r="Z553" t="str">
        <f>IF(ISBLANK(JP!Z557),"","x")</f>
        <v/>
      </c>
      <c r="AA553" t="str">
        <f>IF(ISBLANK(JP!AB557),"","x")</f>
        <v/>
      </c>
      <c r="AB553" t="str">
        <f>IF(ISBLANK(JP!AC557),"","x")</f>
        <v/>
      </c>
      <c r="AC553" t="str">
        <f>IF(ISBLANK(JP!AD557),"","x")</f>
        <v/>
      </c>
      <c r="AD553" t="str">
        <f>IF(ISBLANK(JP!AE557),"","x")</f>
        <v/>
      </c>
      <c r="AE553" t="str">
        <f>IF(ISBLANK(JP!AF557),"","x")</f>
        <v/>
      </c>
      <c r="AF553" t="str">
        <f>IF(ISBLANK(JP!AG557),"","x")</f>
        <v/>
      </c>
      <c r="AG553" t="str">
        <f>IF(ISBLANK(JP!AH557),"","x")</f>
        <v/>
      </c>
      <c r="AH553" t="str">
        <f>IF(ISBLANK(JP!AJ557),"","x")</f>
        <v/>
      </c>
      <c r="AI553" t="str">
        <f>IF(ISBLANK(JP!AK557),"","x")</f>
        <v/>
      </c>
      <c r="AJ553" t="str">
        <f>IF(ISBLANK(JP!AL557),"","x")</f>
        <v/>
      </c>
      <c r="AK553" t="str">
        <f>IF(ISBLANK(JP!AM557),"","x")</f>
        <v/>
      </c>
      <c r="AL553" t="str">
        <f>IF(ISBLANK(JP!AN557),"","x")</f>
        <v/>
      </c>
      <c r="AM553" t="str">
        <f>IF(ISBLANK(JP!AO557),"","x")</f>
        <v/>
      </c>
      <c r="AN553" t="str">
        <f>IF(ISBLANK(JP!AP557),"","x")</f>
        <v/>
      </c>
      <c r="AO553" t="str">
        <f>IF(ISBLANK(JP!AR557),"","x")</f>
        <v/>
      </c>
      <c r="AP553" t="str">
        <f>IF(ISBLANK(JP!AS557),"","x")</f>
        <v/>
      </c>
      <c r="AQ553" t="str">
        <f>IF(ISBLANK(JP!AT557),"","x")</f>
        <v/>
      </c>
      <c r="AR553" t="str">
        <f>IF(ISBLANK(JP!AU557),"","x")</f>
        <v/>
      </c>
      <c r="AS553" t="str">
        <f>IF(ISBLANK(JP!AV557),"","x")</f>
        <v/>
      </c>
      <c r="AT553" t="str">
        <f>IF(ISBLANK(JP!AW557),"","x")</f>
        <v/>
      </c>
      <c r="AU553" t="str">
        <f>IF(ISBLANK(JP!AX557),"","x")</f>
        <v/>
      </c>
    </row>
    <row r="554" spans="2:47">
      <c r="B554" t="str">
        <f>IF(ISBLANK(JP!AZ558),"",JP!AZ558)</f>
        <v/>
      </c>
      <c r="C554" t="str">
        <f>IF(ISBLANK(JP!BA558),"",JP!BA558)</f>
        <v/>
      </c>
      <c r="D554" t="str">
        <f>IF(ISBLANK(JP!BC558),"",JP!BC558)</f>
        <v/>
      </c>
      <c r="E554" t="str">
        <f>IF(ISBLANK(JP!BB558),"",JP!BB558)</f>
        <v/>
      </c>
      <c r="F554" t="str">
        <f>IF(ISBLANK(JP!D558),"","x")</f>
        <v/>
      </c>
      <c r="G554" t="str">
        <f>IF(ISBLANK(JP!E558),"","x")</f>
        <v/>
      </c>
      <c r="H554" t="str">
        <f>IF(ISBLANK(JP!F558),"","x")</f>
        <v/>
      </c>
      <c r="I554" t="str">
        <f>IF(ISBLANK(JP!G558),"","x")</f>
        <v/>
      </c>
      <c r="J554" t="str">
        <f>IF(ISBLANK(JP!H558),"","x")</f>
        <v/>
      </c>
      <c r="K554" t="str">
        <f>IF(ISBLANK(JP!I558),"","x")</f>
        <v/>
      </c>
      <c r="L554" t="str">
        <f>IF(ISBLANK(JP!J558),"","x")</f>
        <v/>
      </c>
      <c r="M554" t="str">
        <f>IF(ISBLANK(JP!L558),"","x")</f>
        <v/>
      </c>
      <c r="N554" t="str">
        <f>IF(ISBLANK(JP!M558),"","x")</f>
        <v/>
      </c>
      <c r="O554" t="str">
        <f>IF(ISBLANK(JP!N558),"","x")</f>
        <v/>
      </c>
      <c r="P554" t="str">
        <f>IF(ISBLANK(JP!O558),"","x")</f>
        <v/>
      </c>
      <c r="Q554" t="str">
        <f>IF(ISBLANK(JP!P558),"","x")</f>
        <v/>
      </c>
      <c r="R554" t="str">
        <f>IF(ISBLANK(JP!Q558),"","x")</f>
        <v/>
      </c>
      <c r="S554" t="str">
        <f>IF(ISBLANK(JP!R558),"","x")</f>
        <v/>
      </c>
      <c r="T554" t="str">
        <f>IF(ISBLANK(JP!T558),"","x")</f>
        <v/>
      </c>
      <c r="U554" t="str">
        <f>IF(ISBLANK(JP!U558),"","x")</f>
        <v/>
      </c>
      <c r="V554" t="str">
        <f>IF(ISBLANK(JP!V558),"","x")</f>
        <v/>
      </c>
      <c r="W554" t="str">
        <f>IF(ISBLANK(JP!W558),"","x")</f>
        <v/>
      </c>
      <c r="X554" t="str">
        <f>IF(ISBLANK(JP!X558),"","x")</f>
        <v/>
      </c>
      <c r="Y554" t="str">
        <f>IF(ISBLANK(JP!Y558),"","x")</f>
        <v/>
      </c>
      <c r="Z554" t="str">
        <f>IF(ISBLANK(JP!Z558),"","x")</f>
        <v/>
      </c>
      <c r="AA554" t="str">
        <f>IF(ISBLANK(JP!AB558),"","x")</f>
        <v/>
      </c>
      <c r="AB554" t="str">
        <f>IF(ISBLANK(JP!AC558),"","x")</f>
        <v/>
      </c>
      <c r="AC554" t="str">
        <f>IF(ISBLANK(JP!AD558),"","x")</f>
        <v/>
      </c>
      <c r="AD554" t="str">
        <f>IF(ISBLANK(JP!AE558),"","x")</f>
        <v/>
      </c>
      <c r="AE554" t="str">
        <f>IF(ISBLANK(JP!AF558),"","x")</f>
        <v/>
      </c>
      <c r="AF554" t="str">
        <f>IF(ISBLANK(JP!AG558),"","x")</f>
        <v/>
      </c>
      <c r="AG554" t="str">
        <f>IF(ISBLANK(JP!AH558),"","x")</f>
        <v/>
      </c>
      <c r="AH554" t="str">
        <f>IF(ISBLANK(JP!AJ558),"","x")</f>
        <v/>
      </c>
      <c r="AI554" t="str">
        <f>IF(ISBLANK(JP!AK558),"","x")</f>
        <v/>
      </c>
      <c r="AJ554" t="str">
        <f>IF(ISBLANK(JP!AL558),"","x")</f>
        <v/>
      </c>
      <c r="AK554" t="str">
        <f>IF(ISBLANK(JP!AM558),"","x")</f>
        <v/>
      </c>
      <c r="AL554" t="str">
        <f>IF(ISBLANK(JP!AN558),"","x")</f>
        <v/>
      </c>
      <c r="AM554" t="str">
        <f>IF(ISBLANK(JP!AO558),"","x")</f>
        <v/>
      </c>
      <c r="AN554" t="str">
        <f>IF(ISBLANK(JP!AP558),"","x")</f>
        <v/>
      </c>
      <c r="AO554" t="str">
        <f>IF(ISBLANK(JP!AR558),"","x")</f>
        <v/>
      </c>
      <c r="AP554" t="str">
        <f>IF(ISBLANK(JP!AS558),"","x")</f>
        <v/>
      </c>
      <c r="AQ554" t="str">
        <f>IF(ISBLANK(JP!AT558),"","x")</f>
        <v/>
      </c>
      <c r="AR554" t="str">
        <f>IF(ISBLANK(JP!AU558),"","x")</f>
        <v/>
      </c>
      <c r="AS554" t="str">
        <f>IF(ISBLANK(JP!AV558),"","x")</f>
        <v/>
      </c>
      <c r="AT554" t="str">
        <f>IF(ISBLANK(JP!AW558),"","x")</f>
        <v/>
      </c>
      <c r="AU554" t="str">
        <f>IF(ISBLANK(JP!AX558),"","x")</f>
        <v/>
      </c>
    </row>
    <row r="555" spans="2:47">
      <c r="B555" t="str">
        <f>IF(ISBLANK(JP!AZ559),"",JP!AZ559)</f>
        <v/>
      </c>
      <c r="C555" t="str">
        <f>IF(ISBLANK(JP!BA559),"",JP!BA559)</f>
        <v/>
      </c>
      <c r="D555" t="str">
        <f>IF(ISBLANK(JP!BC559),"",JP!BC559)</f>
        <v/>
      </c>
      <c r="E555" t="str">
        <f>IF(ISBLANK(JP!BB559),"",JP!BB559)</f>
        <v/>
      </c>
      <c r="F555" t="str">
        <f>IF(ISBLANK(JP!D559),"","x")</f>
        <v/>
      </c>
      <c r="G555" t="str">
        <f>IF(ISBLANK(JP!E559),"","x")</f>
        <v/>
      </c>
      <c r="H555" t="str">
        <f>IF(ISBLANK(JP!F559),"","x")</f>
        <v/>
      </c>
      <c r="I555" t="str">
        <f>IF(ISBLANK(JP!G559),"","x")</f>
        <v/>
      </c>
      <c r="J555" t="str">
        <f>IF(ISBLANK(JP!H559),"","x")</f>
        <v/>
      </c>
      <c r="K555" t="str">
        <f>IF(ISBLANK(JP!I559),"","x")</f>
        <v/>
      </c>
      <c r="L555" t="str">
        <f>IF(ISBLANK(JP!J559),"","x")</f>
        <v/>
      </c>
      <c r="M555" t="str">
        <f>IF(ISBLANK(JP!L559),"","x")</f>
        <v/>
      </c>
      <c r="N555" t="str">
        <f>IF(ISBLANK(JP!M559),"","x")</f>
        <v/>
      </c>
      <c r="O555" t="str">
        <f>IF(ISBLANK(JP!N559),"","x")</f>
        <v/>
      </c>
      <c r="P555" t="str">
        <f>IF(ISBLANK(JP!O559),"","x")</f>
        <v/>
      </c>
      <c r="Q555" t="str">
        <f>IF(ISBLANK(JP!P559),"","x")</f>
        <v/>
      </c>
      <c r="R555" t="str">
        <f>IF(ISBLANK(JP!Q559),"","x")</f>
        <v/>
      </c>
      <c r="S555" t="str">
        <f>IF(ISBLANK(JP!R559),"","x")</f>
        <v/>
      </c>
      <c r="T555" t="str">
        <f>IF(ISBLANK(JP!T559),"","x")</f>
        <v/>
      </c>
      <c r="U555" t="str">
        <f>IF(ISBLANK(JP!U559),"","x")</f>
        <v/>
      </c>
      <c r="V555" t="str">
        <f>IF(ISBLANK(JP!V559),"","x")</f>
        <v/>
      </c>
      <c r="W555" t="str">
        <f>IF(ISBLANK(JP!W559),"","x")</f>
        <v/>
      </c>
      <c r="X555" t="str">
        <f>IF(ISBLANK(JP!X559),"","x")</f>
        <v/>
      </c>
      <c r="Y555" t="str">
        <f>IF(ISBLANK(JP!Y559),"","x")</f>
        <v/>
      </c>
      <c r="Z555" t="str">
        <f>IF(ISBLANK(JP!Z559),"","x")</f>
        <v/>
      </c>
      <c r="AA555" t="str">
        <f>IF(ISBLANK(JP!AB559),"","x")</f>
        <v/>
      </c>
      <c r="AB555" t="str">
        <f>IF(ISBLANK(JP!AC559),"","x")</f>
        <v/>
      </c>
      <c r="AC555" t="str">
        <f>IF(ISBLANK(JP!AD559),"","x")</f>
        <v/>
      </c>
      <c r="AD555" t="str">
        <f>IF(ISBLANK(JP!AE559),"","x")</f>
        <v/>
      </c>
      <c r="AE555" t="str">
        <f>IF(ISBLANK(JP!AF559),"","x")</f>
        <v/>
      </c>
      <c r="AF555" t="str">
        <f>IF(ISBLANK(JP!AG559),"","x")</f>
        <v/>
      </c>
      <c r="AG555" t="str">
        <f>IF(ISBLANK(JP!AH559),"","x")</f>
        <v/>
      </c>
      <c r="AH555" t="str">
        <f>IF(ISBLANK(JP!AJ559),"","x")</f>
        <v/>
      </c>
      <c r="AI555" t="str">
        <f>IF(ISBLANK(JP!AK559),"","x")</f>
        <v/>
      </c>
      <c r="AJ555" t="str">
        <f>IF(ISBLANK(JP!AL559),"","x")</f>
        <v/>
      </c>
      <c r="AK555" t="str">
        <f>IF(ISBLANK(JP!AM559),"","x")</f>
        <v/>
      </c>
      <c r="AL555" t="str">
        <f>IF(ISBLANK(JP!AN559),"","x")</f>
        <v/>
      </c>
      <c r="AM555" t="str">
        <f>IF(ISBLANK(JP!AO559),"","x")</f>
        <v/>
      </c>
      <c r="AN555" t="str">
        <f>IF(ISBLANK(JP!AP559),"","x")</f>
        <v/>
      </c>
      <c r="AO555" t="str">
        <f>IF(ISBLANK(JP!AR559),"","x")</f>
        <v/>
      </c>
      <c r="AP555" t="str">
        <f>IF(ISBLANK(JP!AS559),"","x")</f>
        <v/>
      </c>
      <c r="AQ555" t="str">
        <f>IF(ISBLANK(JP!AT559),"","x")</f>
        <v/>
      </c>
      <c r="AR555" t="str">
        <f>IF(ISBLANK(JP!AU559),"","x")</f>
        <v/>
      </c>
      <c r="AS555" t="str">
        <f>IF(ISBLANK(JP!AV559),"","x")</f>
        <v/>
      </c>
      <c r="AT555" t="str">
        <f>IF(ISBLANK(JP!AW559),"","x")</f>
        <v/>
      </c>
      <c r="AU555" t="str">
        <f>IF(ISBLANK(JP!AX559),"","x")</f>
        <v/>
      </c>
    </row>
    <row r="556" spans="2:47">
      <c r="B556" t="str">
        <f>IF(ISBLANK(JP!AZ560),"",JP!AZ560)</f>
        <v/>
      </c>
      <c r="C556" t="str">
        <f>IF(ISBLANK(JP!BA560),"",JP!BA560)</f>
        <v/>
      </c>
      <c r="D556" t="str">
        <f>IF(ISBLANK(JP!BC560),"",JP!BC560)</f>
        <v/>
      </c>
      <c r="E556" t="str">
        <f>IF(ISBLANK(JP!BB560),"",JP!BB560)</f>
        <v/>
      </c>
      <c r="F556" t="str">
        <f>IF(ISBLANK(JP!D560),"","x")</f>
        <v/>
      </c>
      <c r="G556" t="str">
        <f>IF(ISBLANK(JP!E560),"","x")</f>
        <v/>
      </c>
      <c r="H556" t="str">
        <f>IF(ISBLANK(JP!F560),"","x")</f>
        <v/>
      </c>
      <c r="I556" t="str">
        <f>IF(ISBLANK(JP!G560),"","x")</f>
        <v/>
      </c>
      <c r="J556" t="str">
        <f>IF(ISBLANK(JP!H560),"","x")</f>
        <v/>
      </c>
      <c r="K556" t="str">
        <f>IF(ISBLANK(JP!I560),"","x")</f>
        <v/>
      </c>
      <c r="L556" t="str">
        <f>IF(ISBLANK(JP!J560),"","x")</f>
        <v/>
      </c>
      <c r="M556" t="str">
        <f>IF(ISBLANK(JP!L560),"","x")</f>
        <v/>
      </c>
      <c r="N556" t="str">
        <f>IF(ISBLANK(JP!M560),"","x")</f>
        <v/>
      </c>
      <c r="O556" t="str">
        <f>IF(ISBLANK(JP!N560),"","x")</f>
        <v/>
      </c>
      <c r="P556" t="str">
        <f>IF(ISBLANK(JP!O560),"","x")</f>
        <v/>
      </c>
      <c r="Q556" t="str">
        <f>IF(ISBLANK(JP!P560),"","x")</f>
        <v/>
      </c>
      <c r="R556" t="str">
        <f>IF(ISBLANK(JP!Q560),"","x")</f>
        <v/>
      </c>
      <c r="S556" t="str">
        <f>IF(ISBLANK(JP!R560),"","x")</f>
        <v/>
      </c>
      <c r="T556" t="str">
        <f>IF(ISBLANK(JP!T560),"","x")</f>
        <v/>
      </c>
      <c r="U556" t="str">
        <f>IF(ISBLANK(JP!U560),"","x")</f>
        <v/>
      </c>
      <c r="V556" t="str">
        <f>IF(ISBLANK(JP!V560),"","x")</f>
        <v/>
      </c>
      <c r="W556" t="str">
        <f>IF(ISBLANK(JP!W560),"","x")</f>
        <v/>
      </c>
      <c r="X556" t="str">
        <f>IF(ISBLANK(JP!X560),"","x")</f>
        <v/>
      </c>
      <c r="Y556" t="str">
        <f>IF(ISBLANK(JP!Y560),"","x")</f>
        <v/>
      </c>
      <c r="Z556" t="str">
        <f>IF(ISBLANK(JP!Z560),"","x")</f>
        <v/>
      </c>
      <c r="AA556" t="str">
        <f>IF(ISBLANK(JP!AB560),"","x")</f>
        <v/>
      </c>
      <c r="AB556" t="str">
        <f>IF(ISBLANK(JP!AC560),"","x")</f>
        <v/>
      </c>
      <c r="AC556" t="str">
        <f>IF(ISBLANK(JP!AD560),"","x")</f>
        <v/>
      </c>
      <c r="AD556" t="str">
        <f>IF(ISBLANK(JP!AE560),"","x")</f>
        <v/>
      </c>
      <c r="AE556" t="str">
        <f>IF(ISBLANK(JP!AF560),"","x")</f>
        <v/>
      </c>
      <c r="AF556" t="str">
        <f>IF(ISBLANK(JP!AG560),"","x")</f>
        <v/>
      </c>
      <c r="AG556" t="str">
        <f>IF(ISBLANK(JP!AH560),"","x")</f>
        <v/>
      </c>
      <c r="AH556" t="str">
        <f>IF(ISBLANK(JP!AJ560),"","x")</f>
        <v/>
      </c>
      <c r="AI556" t="str">
        <f>IF(ISBLANK(JP!AK560),"","x")</f>
        <v/>
      </c>
      <c r="AJ556" t="str">
        <f>IF(ISBLANK(JP!AL560),"","x")</f>
        <v/>
      </c>
      <c r="AK556" t="str">
        <f>IF(ISBLANK(JP!AM560),"","x")</f>
        <v/>
      </c>
      <c r="AL556" t="str">
        <f>IF(ISBLANK(JP!AN560),"","x")</f>
        <v/>
      </c>
      <c r="AM556" t="str">
        <f>IF(ISBLANK(JP!AO560),"","x")</f>
        <v/>
      </c>
      <c r="AN556" t="str">
        <f>IF(ISBLANK(JP!AP560),"","x")</f>
        <v/>
      </c>
      <c r="AO556" t="str">
        <f>IF(ISBLANK(JP!AR560),"","x")</f>
        <v/>
      </c>
      <c r="AP556" t="str">
        <f>IF(ISBLANK(JP!AS560),"","x")</f>
        <v/>
      </c>
      <c r="AQ556" t="str">
        <f>IF(ISBLANK(JP!AT560),"","x")</f>
        <v/>
      </c>
      <c r="AR556" t="str">
        <f>IF(ISBLANK(JP!AU560),"","x")</f>
        <v/>
      </c>
      <c r="AS556" t="str">
        <f>IF(ISBLANK(JP!AV560),"","x")</f>
        <v/>
      </c>
      <c r="AT556" t="str">
        <f>IF(ISBLANK(JP!AW560),"","x")</f>
        <v/>
      </c>
      <c r="AU556" t="str">
        <f>IF(ISBLANK(JP!AX560),"","x")</f>
        <v/>
      </c>
    </row>
    <row r="557" spans="2:47">
      <c r="B557" t="str">
        <f>IF(ISBLANK(JP!AZ561),"",JP!AZ561)</f>
        <v/>
      </c>
      <c r="C557" t="str">
        <f>IF(ISBLANK(JP!BA561),"",JP!BA561)</f>
        <v/>
      </c>
      <c r="D557" t="str">
        <f>IF(ISBLANK(JP!BC561),"",JP!BC561)</f>
        <v/>
      </c>
      <c r="E557" t="str">
        <f>IF(ISBLANK(JP!BB561),"",JP!BB561)</f>
        <v/>
      </c>
      <c r="F557" t="str">
        <f>IF(ISBLANK(JP!D561),"","x")</f>
        <v/>
      </c>
      <c r="G557" t="str">
        <f>IF(ISBLANK(JP!E561),"","x")</f>
        <v/>
      </c>
      <c r="H557" t="str">
        <f>IF(ISBLANK(JP!F561),"","x")</f>
        <v/>
      </c>
      <c r="I557" t="str">
        <f>IF(ISBLANK(JP!G561),"","x")</f>
        <v/>
      </c>
      <c r="J557" t="str">
        <f>IF(ISBLANK(JP!H561),"","x")</f>
        <v/>
      </c>
      <c r="K557" t="str">
        <f>IF(ISBLANK(JP!I561),"","x")</f>
        <v/>
      </c>
      <c r="L557" t="str">
        <f>IF(ISBLANK(JP!J561),"","x")</f>
        <v/>
      </c>
      <c r="M557" t="str">
        <f>IF(ISBLANK(JP!L561),"","x")</f>
        <v/>
      </c>
      <c r="N557" t="str">
        <f>IF(ISBLANK(JP!M561),"","x")</f>
        <v/>
      </c>
      <c r="O557" t="str">
        <f>IF(ISBLANK(JP!N561),"","x")</f>
        <v/>
      </c>
      <c r="P557" t="str">
        <f>IF(ISBLANK(JP!O561),"","x")</f>
        <v/>
      </c>
      <c r="Q557" t="str">
        <f>IF(ISBLANK(JP!P561),"","x")</f>
        <v/>
      </c>
      <c r="R557" t="str">
        <f>IF(ISBLANK(JP!Q561),"","x")</f>
        <v/>
      </c>
      <c r="S557" t="str">
        <f>IF(ISBLANK(JP!R561),"","x")</f>
        <v/>
      </c>
      <c r="T557" t="str">
        <f>IF(ISBLANK(JP!T561),"","x")</f>
        <v/>
      </c>
      <c r="U557" t="str">
        <f>IF(ISBLANK(JP!U561),"","x")</f>
        <v/>
      </c>
      <c r="V557" t="str">
        <f>IF(ISBLANK(JP!V561),"","x")</f>
        <v/>
      </c>
      <c r="W557" t="str">
        <f>IF(ISBLANK(JP!W561),"","x")</f>
        <v/>
      </c>
      <c r="X557" t="str">
        <f>IF(ISBLANK(JP!X561),"","x")</f>
        <v/>
      </c>
      <c r="Y557" t="str">
        <f>IF(ISBLANK(JP!Y561),"","x")</f>
        <v/>
      </c>
      <c r="Z557" t="str">
        <f>IF(ISBLANK(JP!Z561),"","x")</f>
        <v/>
      </c>
      <c r="AA557" t="str">
        <f>IF(ISBLANK(JP!AB561),"","x")</f>
        <v/>
      </c>
      <c r="AB557" t="str">
        <f>IF(ISBLANK(JP!AC561),"","x")</f>
        <v/>
      </c>
      <c r="AC557" t="str">
        <f>IF(ISBLANK(JP!AD561),"","x")</f>
        <v/>
      </c>
      <c r="AD557" t="str">
        <f>IF(ISBLANK(JP!AE561),"","x")</f>
        <v/>
      </c>
      <c r="AE557" t="str">
        <f>IF(ISBLANK(JP!AF561),"","x")</f>
        <v/>
      </c>
      <c r="AF557" t="str">
        <f>IF(ISBLANK(JP!AG561),"","x")</f>
        <v/>
      </c>
      <c r="AG557" t="str">
        <f>IF(ISBLANK(JP!AH561),"","x")</f>
        <v/>
      </c>
      <c r="AH557" t="str">
        <f>IF(ISBLANK(JP!AJ561),"","x")</f>
        <v/>
      </c>
      <c r="AI557" t="str">
        <f>IF(ISBLANK(JP!AK561),"","x")</f>
        <v/>
      </c>
      <c r="AJ557" t="str">
        <f>IF(ISBLANK(JP!AL561),"","x")</f>
        <v/>
      </c>
      <c r="AK557" t="str">
        <f>IF(ISBLANK(JP!AM561),"","x")</f>
        <v/>
      </c>
      <c r="AL557" t="str">
        <f>IF(ISBLANK(JP!AN561),"","x")</f>
        <v/>
      </c>
      <c r="AM557" t="str">
        <f>IF(ISBLANK(JP!AO561),"","x")</f>
        <v/>
      </c>
      <c r="AN557" t="str">
        <f>IF(ISBLANK(JP!AP561),"","x")</f>
        <v/>
      </c>
      <c r="AO557" t="str">
        <f>IF(ISBLANK(JP!AR561),"","x")</f>
        <v/>
      </c>
      <c r="AP557" t="str">
        <f>IF(ISBLANK(JP!AS561),"","x")</f>
        <v/>
      </c>
      <c r="AQ557" t="str">
        <f>IF(ISBLANK(JP!AT561),"","x")</f>
        <v/>
      </c>
      <c r="AR557" t="str">
        <f>IF(ISBLANK(JP!AU561),"","x")</f>
        <v/>
      </c>
      <c r="AS557" t="str">
        <f>IF(ISBLANK(JP!AV561),"","x")</f>
        <v/>
      </c>
      <c r="AT557" t="str">
        <f>IF(ISBLANK(JP!AW561),"","x")</f>
        <v/>
      </c>
      <c r="AU557" t="str">
        <f>IF(ISBLANK(JP!AX561),"","x")</f>
        <v/>
      </c>
    </row>
    <row r="558" spans="2:47">
      <c r="B558" t="str">
        <f>IF(ISBLANK(JP!AZ562),"",JP!AZ562)</f>
        <v/>
      </c>
      <c r="C558" t="str">
        <f>IF(ISBLANK(JP!BA562),"",JP!BA562)</f>
        <v/>
      </c>
      <c r="D558" t="str">
        <f>IF(ISBLANK(JP!BC562),"",JP!BC562)</f>
        <v/>
      </c>
      <c r="E558" t="str">
        <f>IF(ISBLANK(JP!BB562),"",JP!BB562)</f>
        <v/>
      </c>
      <c r="F558" t="str">
        <f>IF(ISBLANK(JP!D562),"","x")</f>
        <v/>
      </c>
      <c r="G558" t="str">
        <f>IF(ISBLANK(JP!E562),"","x")</f>
        <v/>
      </c>
      <c r="H558" t="str">
        <f>IF(ISBLANK(JP!F562),"","x")</f>
        <v/>
      </c>
      <c r="I558" t="str">
        <f>IF(ISBLANK(JP!G562),"","x")</f>
        <v/>
      </c>
      <c r="J558" t="str">
        <f>IF(ISBLANK(JP!H562),"","x")</f>
        <v/>
      </c>
      <c r="K558" t="str">
        <f>IF(ISBLANK(JP!I562),"","x")</f>
        <v/>
      </c>
      <c r="L558" t="str">
        <f>IF(ISBLANK(JP!J562),"","x")</f>
        <v/>
      </c>
      <c r="M558" t="str">
        <f>IF(ISBLANK(JP!L562),"","x")</f>
        <v/>
      </c>
      <c r="N558" t="str">
        <f>IF(ISBLANK(JP!M562),"","x")</f>
        <v/>
      </c>
      <c r="O558" t="str">
        <f>IF(ISBLANK(JP!N562),"","x")</f>
        <v/>
      </c>
      <c r="P558" t="str">
        <f>IF(ISBLANK(JP!O562),"","x")</f>
        <v/>
      </c>
      <c r="Q558" t="str">
        <f>IF(ISBLANK(JP!P562),"","x")</f>
        <v/>
      </c>
      <c r="R558" t="str">
        <f>IF(ISBLANK(JP!Q562),"","x")</f>
        <v/>
      </c>
      <c r="S558" t="str">
        <f>IF(ISBLANK(JP!R562),"","x")</f>
        <v/>
      </c>
      <c r="T558" t="str">
        <f>IF(ISBLANK(JP!T562),"","x")</f>
        <v/>
      </c>
      <c r="U558" t="str">
        <f>IF(ISBLANK(JP!U562),"","x")</f>
        <v/>
      </c>
      <c r="V558" t="str">
        <f>IF(ISBLANK(JP!V562),"","x")</f>
        <v/>
      </c>
      <c r="W558" t="str">
        <f>IF(ISBLANK(JP!W562),"","x")</f>
        <v/>
      </c>
      <c r="X558" t="str">
        <f>IF(ISBLANK(JP!X562),"","x")</f>
        <v/>
      </c>
      <c r="Y558" t="str">
        <f>IF(ISBLANK(JP!Y562),"","x")</f>
        <v/>
      </c>
      <c r="Z558" t="str">
        <f>IF(ISBLANK(JP!Z562),"","x")</f>
        <v/>
      </c>
      <c r="AA558" t="str">
        <f>IF(ISBLANK(JP!AB562),"","x")</f>
        <v/>
      </c>
      <c r="AB558" t="str">
        <f>IF(ISBLANK(JP!AC562),"","x")</f>
        <v/>
      </c>
      <c r="AC558" t="str">
        <f>IF(ISBLANK(JP!AD562),"","x")</f>
        <v/>
      </c>
      <c r="AD558" t="str">
        <f>IF(ISBLANK(JP!AE562),"","x")</f>
        <v/>
      </c>
      <c r="AE558" t="str">
        <f>IF(ISBLANK(JP!AF562),"","x")</f>
        <v/>
      </c>
      <c r="AF558" t="str">
        <f>IF(ISBLANK(JP!AG562),"","x")</f>
        <v/>
      </c>
      <c r="AG558" t="str">
        <f>IF(ISBLANK(JP!AH562),"","x")</f>
        <v/>
      </c>
      <c r="AH558" t="str">
        <f>IF(ISBLANK(JP!AJ562),"","x")</f>
        <v/>
      </c>
      <c r="AI558" t="str">
        <f>IF(ISBLANK(JP!AK562),"","x")</f>
        <v/>
      </c>
      <c r="AJ558" t="str">
        <f>IF(ISBLANK(JP!AL562),"","x")</f>
        <v/>
      </c>
      <c r="AK558" t="str">
        <f>IF(ISBLANK(JP!AM562),"","x")</f>
        <v/>
      </c>
      <c r="AL558" t="str">
        <f>IF(ISBLANK(JP!AN562),"","x")</f>
        <v/>
      </c>
      <c r="AM558" t="str">
        <f>IF(ISBLANK(JP!AO562),"","x")</f>
        <v/>
      </c>
      <c r="AN558" t="str">
        <f>IF(ISBLANK(JP!AP562),"","x")</f>
        <v/>
      </c>
      <c r="AO558" t="str">
        <f>IF(ISBLANK(JP!AR562),"","x")</f>
        <v/>
      </c>
      <c r="AP558" t="str">
        <f>IF(ISBLANK(JP!AS562),"","x")</f>
        <v/>
      </c>
      <c r="AQ558" t="str">
        <f>IF(ISBLANK(JP!AT562),"","x")</f>
        <v/>
      </c>
      <c r="AR558" t="str">
        <f>IF(ISBLANK(JP!AU562),"","x")</f>
        <v/>
      </c>
      <c r="AS558" t="str">
        <f>IF(ISBLANK(JP!AV562),"","x")</f>
        <v/>
      </c>
      <c r="AT558" t="str">
        <f>IF(ISBLANK(JP!AW562),"","x")</f>
        <v/>
      </c>
      <c r="AU558" t="str">
        <f>IF(ISBLANK(JP!AX562),"","x")</f>
        <v/>
      </c>
    </row>
    <row r="559" spans="2:47">
      <c r="B559" t="str">
        <f>IF(ISBLANK(JP!AZ563),"",JP!AZ563)</f>
        <v/>
      </c>
      <c r="C559" t="str">
        <f>IF(ISBLANK(JP!BA563),"",JP!BA563)</f>
        <v/>
      </c>
      <c r="D559" t="str">
        <f>IF(ISBLANK(JP!BC563),"",JP!BC563)</f>
        <v/>
      </c>
      <c r="E559" t="str">
        <f>IF(ISBLANK(JP!BB563),"",JP!BB563)</f>
        <v/>
      </c>
      <c r="F559" t="str">
        <f>IF(ISBLANK(JP!D563),"","x")</f>
        <v/>
      </c>
      <c r="G559" t="str">
        <f>IF(ISBLANK(JP!E563),"","x")</f>
        <v/>
      </c>
      <c r="H559" t="str">
        <f>IF(ISBLANK(JP!F563),"","x")</f>
        <v/>
      </c>
      <c r="I559" t="str">
        <f>IF(ISBLANK(JP!G563),"","x")</f>
        <v/>
      </c>
      <c r="J559" t="str">
        <f>IF(ISBLANK(JP!H563),"","x")</f>
        <v/>
      </c>
      <c r="K559" t="str">
        <f>IF(ISBLANK(JP!I563),"","x")</f>
        <v/>
      </c>
      <c r="L559" t="str">
        <f>IF(ISBLANK(JP!J563),"","x")</f>
        <v/>
      </c>
      <c r="M559" t="str">
        <f>IF(ISBLANK(JP!L563),"","x")</f>
        <v/>
      </c>
      <c r="N559" t="str">
        <f>IF(ISBLANK(JP!M563),"","x")</f>
        <v/>
      </c>
      <c r="O559" t="str">
        <f>IF(ISBLANK(JP!N563),"","x")</f>
        <v/>
      </c>
      <c r="P559" t="str">
        <f>IF(ISBLANK(JP!O563),"","x")</f>
        <v/>
      </c>
      <c r="Q559" t="str">
        <f>IF(ISBLANK(JP!P563),"","x")</f>
        <v/>
      </c>
      <c r="R559" t="str">
        <f>IF(ISBLANK(JP!Q563),"","x")</f>
        <v/>
      </c>
      <c r="S559" t="str">
        <f>IF(ISBLANK(JP!R563),"","x")</f>
        <v/>
      </c>
      <c r="T559" t="str">
        <f>IF(ISBLANK(JP!T563),"","x")</f>
        <v/>
      </c>
      <c r="U559" t="str">
        <f>IF(ISBLANK(JP!U563),"","x")</f>
        <v/>
      </c>
      <c r="V559" t="str">
        <f>IF(ISBLANK(JP!V563),"","x")</f>
        <v/>
      </c>
      <c r="W559" t="str">
        <f>IF(ISBLANK(JP!W563),"","x")</f>
        <v/>
      </c>
      <c r="X559" t="str">
        <f>IF(ISBLANK(JP!X563),"","x")</f>
        <v/>
      </c>
      <c r="Y559" t="str">
        <f>IF(ISBLANK(JP!Y563),"","x")</f>
        <v/>
      </c>
      <c r="Z559" t="str">
        <f>IF(ISBLANK(JP!Z563),"","x")</f>
        <v/>
      </c>
      <c r="AA559" t="str">
        <f>IF(ISBLANK(JP!AB563),"","x")</f>
        <v/>
      </c>
      <c r="AB559" t="str">
        <f>IF(ISBLANK(JP!AC563),"","x")</f>
        <v/>
      </c>
      <c r="AC559" t="str">
        <f>IF(ISBLANK(JP!AD563),"","x")</f>
        <v/>
      </c>
      <c r="AD559" t="str">
        <f>IF(ISBLANK(JP!AE563),"","x")</f>
        <v/>
      </c>
      <c r="AE559" t="str">
        <f>IF(ISBLANK(JP!AF563),"","x")</f>
        <v/>
      </c>
      <c r="AF559" t="str">
        <f>IF(ISBLANK(JP!AG563),"","x")</f>
        <v/>
      </c>
      <c r="AG559" t="str">
        <f>IF(ISBLANK(JP!AH563),"","x")</f>
        <v/>
      </c>
      <c r="AH559" t="str">
        <f>IF(ISBLANK(JP!AJ563),"","x")</f>
        <v/>
      </c>
      <c r="AI559" t="str">
        <f>IF(ISBLANK(JP!AK563),"","x")</f>
        <v/>
      </c>
      <c r="AJ559" t="str">
        <f>IF(ISBLANK(JP!AL563),"","x")</f>
        <v/>
      </c>
      <c r="AK559" t="str">
        <f>IF(ISBLANK(JP!AM563),"","x")</f>
        <v/>
      </c>
      <c r="AL559" t="str">
        <f>IF(ISBLANK(JP!AN563),"","x")</f>
        <v/>
      </c>
      <c r="AM559" t="str">
        <f>IF(ISBLANK(JP!AO563),"","x")</f>
        <v/>
      </c>
      <c r="AN559" t="str">
        <f>IF(ISBLANK(JP!AP563),"","x")</f>
        <v/>
      </c>
      <c r="AO559" t="str">
        <f>IF(ISBLANK(JP!AR563),"","x")</f>
        <v/>
      </c>
      <c r="AP559" t="str">
        <f>IF(ISBLANK(JP!AS563),"","x")</f>
        <v/>
      </c>
      <c r="AQ559" t="str">
        <f>IF(ISBLANK(JP!AT563),"","x")</f>
        <v/>
      </c>
      <c r="AR559" t="str">
        <f>IF(ISBLANK(JP!AU563),"","x")</f>
        <v/>
      </c>
      <c r="AS559" t="str">
        <f>IF(ISBLANK(JP!AV563),"","x")</f>
        <v/>
      </c>
      <c r="AT559" t="str">
        <f>IF(ISBLANK(JP!AW563),"","x")</f>
        <v/>
      </c>
      <c r="AU559" t="str">
        <f>IF(ISBLANK(JP!AX563),"","x")</f>
        <v/>
      </c>
    </row>
    <row r="560" spans="2:47">
      <c r="B560" t="str">
        <f>IF(ISBLANK(JP!AZ564),"",JP!AZ564)</f>
        <v/>
      </c>
      <c r="C560" t="str">
        <f>IF(ISBLANK(JP!BA564),"",JP!BA564)</f>
        <v/>
      </c>
      <c r="D560" t="str">
        <f>IF(ISBLANK(JP!BC564),"",JP!BC564)</f>
        <v/>
      </c>
      <c r="E560" t="str">
        <f>IF(ISBLANK(JP!BB564),"",JP!BB564)</f>
        <v/>
      </c>
      <c r="F560" t="str">
        <f>IF(ISBLANK(JP!D564),"","x")</f>
        <v/>
      </c>
      <c r="G560" t="str">
        <f>IF(ISBLANK(JP!E564),"","x")</f>
        <v/>
      </c>
      <c r="H560" t="str">
        <f>IF(ISBLANK(JP!F564),"","x")</f>
        <v/>
      </c>
      <c r="I560" t="str">
        <f>IF(ISBLANK(JP!G564),"","x")</f>
        <v/>
      </c>
      <c r="J560" t="str">
        <f>IF(ISBLANK(JP!H564),"","x")</f>
        <v/>
      </c>
      <c r="K560" t="str">
        <f>IF(ISBLANK(JP!I564),"","x")</f>
        <v/>
      </c>
      <c r="L560" t="str">
        <f>IF(ISBLANK(JP!J564),"","x")</f>
        <v/>
      </c>
      <c r="M560" t="str">
        <f>IF(ISBLANK(JP!L564),"","x")</f>
        <v/>
      </c>
      <c r="N560" t="str">
        <f>IF(ISBLANK(JP!M564),"","x")</f>
        <v/>
      </c>
      <c r="O560" t="str">
        <f>IF(ISBLANK(JP!N564),"","x")</f>
        <v/>
      </c>
      <c r="P560" t="str">
        <f>IF(ISBLANK(JP!O564),"","x")</f>
        <v/>
      </c>
      <c r="Q560" t="str">
        <f>IF(ISBLANK(JP!P564),"","x")</f>
        <v/>
      </c>
      <c r="R560" t="str">
        <f>IF(ISBLANK(JP!Q564),"","x")</f>
        <v/>
      </c>
      <c r="S560" t="str">
        <f>IF(ISBLANK(JP!R564),"","x")</f>
        <v/>
      </c>
      <c r="T560" t="str">
        <f>IF(ISBLANK(JP!T564),"","x")</f>
        <v/>
      </c>
      <c r="U560" t="str">
        <f>IF(ISBLANK(JP!U564),"","x")</f>
        <v/>
      </c>
      <c r="V560" t="str">
        <f>IF(ISBLANK(JP!V564),"","x")</f>
        <v/>
      </c>
      <c r="W560" t="str">
        <f>IF(ISBLANK(JP!W564),"","x")</f>
        <v/>
      </c>
      <c r="X560" t="str">
        <f>IF(ISBLANK(JP!X564),"","x")</f>
        <v/>
      </c>
      <c r="Y560" t="str">
        <f>IF(ISBLANK(JP!Y564),"","x")</f>
        <v/>
      </c>
      <c r="Z560" t="str">
        <f>IF(ISBLANK(JP!Z564),"","x")</f>
        <v/>
      </c>
      <c r="AA560" t="str">
        <f>IF(ISBLANK(JP!AB564),"","x")</f>
        <v/>
      </c>
      <c r="AB560" t="str">
        <f>IF(ISBLANK(JP!AC564),"","x")</f>
        <v/>
      </c>
      <c r="AC560" t="str">
        <f>IF(ISBLANK(JP!AD564),"","x")</f>
        <v/>
      </c>
      <c r="AD560" t="str">
        <f>IF(ISBLANK(JP!AE564),"","x")</f>
        <v/>
      </c>
      <c r="AE560" t="str">
        <f>IF(ISBLANK(JP!AF564),"","x")</f>
        <v/>
      </c>
      <c r="AF560" t="str">
        <f>IF(ISBLANK(JP!AG564),"","x")</f>
        <v/>
      </c>
      <c r="AG560" t="str">
        <f>IF(ISBLANK(JP!AH564),"","x")</f>
        <v/>
      </c>
      <c r="AH560" t="str">
        <f>IF(ISBLANK(JP!AJ564),"","x")</f>
        <v/>
      </c>
      <c r="AI560" t="str">
        <f>IF(ISBLANK(JP!AK564),"","x")</f>
        <v/>
      </c>
      <c r="AJ560" t="str">
        <f>IF(ISBLANK(JP!AL564),"","x")</f>
        <v/>
      </c>
      <c r="AK560" t="str">
        <f>IF(ISBLANK(JP!AM564),"","x")</f>
        <v/>
      </c>
      <c r="AL560" t="str">
        <f>IF(ISBLANK(JP!AN564),"","x")</f>
        <v/>
      </c>
      <c r="AM560" t="str">
        <f>IF(ISBLANK(JP!AO564),"","x")</f>
        <v/>
      </c>
      <c r="AN560" t="str">
        <f>IF(ISBLANK(JP!AP564),"","x")</f>
        <v/>
      </c>
      <c r="AO560" t="str">
        <f>IF(ISBLANK(JP!AR564),"","x")</f>
        <v/>
      </c>
      <c r="AP560" t="str">
        <f>IF(ISBLANK(JP!AS564),"","x")</f>
        <v/>
      </c>
      <c r="AQ560" t="str">
        <f>IF(ISBLANK(JP!AT564),"","x")</f>
        <v/>
      </c>
      <c r="AR560" t="str">
        <f>IF(ISBLANK(JP!AU564),"","x")</f>
        <v/>
      </c>
      <c r="AS560" t="str">
        <f>IF(ISBLANK(JP!AV564),"","x")</f>
        <v/>
      </c>
      <c r="AT560" t="str">
        <f>IF(ISBLANK(JP!AW564),"","x")</f>
        <v/>
      </c>
      <c r="AU560" t="str">
        <f>IF(ISBLANK(JP!AX564),"","x")</f>
        <v/>
      </c>
    </row>
    <row r="561" spans="2:47">
      <c r="B561" t="str">
        <f>IF(ISBLANK(JP!AZ565),"",JP!AZ565)</f>
        <v/>
      </c>
      <c r="C561" t="str">
        <f>IF(ISBLANK(JP!BA565),"",JP!BA565)</f>
        <v/>
      </c>
      <c r="D561" t="str">
        <f>IF(ISBLANK(JP!BC565),"",JP!BC565)</f>
        <v/>
      </c>
      <c r="E561" t="str">
        <f>IF(ISBLANK(JP!BB565),"",JP!BB565)</f>
        <v/>
      </c>
      <c r="F561" t="str">
        <f>IF(ISBLANK(JP!D565),"","x")</f>
        <v/>
      </c>
      <c r="G561" t="str">
        <f>IF(ISBLANK(JP!E565),"","x")</f>
        <v/>
      </c>
      <c r="H561" t="str">
        <f>IF(ISBLANK(JP!F565),"","x")</f>
        <v/>
      </c>
      <c r="I561" t="str">
        <f>IF(ISBLANK(JP!G565),"","x")</f>
        <v/>
      </c>
      <c r="J561" t="str">
        <f>IF(ISBLANK(JP!H565),"","x")</f>
        <v/>
      </c>
      <c r="K561" t="str">
        <f>IF(ISBLANK(JP!I565),"","x")</f>
        <v/>
      </c>
      <c r="L561" t="str">
        <f>IF(ISBLANK(JP!J565),"","x")</f>
        <v/>
      </c>
      <c r="M561" t="str">
        <f>IF(ISBLANK(JP!L565),"","x")</f>
        <v/>
      </c>
      <c r="N561" t="str">
        <f>IF(ISBLANK(JP!M565),"","x")</f>
        <v/>
      </c>
      <c r="O561" t="str">
        <f>IF(ISBLANK(JP!N565),"","x")</f>
        <v/>
      </c>
      <c r="P561" t="str">
        <f>IF(ISBLANK(JP!O565),"","x")</f>
        <v/>
      </c>
      <c r="Q561" t="str">
        <f>IF(ISBLANK(JP!P565),"","x")</f>
        <v/>
      </c>
      <c r="R561" t="str">
        <f>IF(ISBLANK(JP!Q565),"","x")</f>
        <v/>
      </c>
      <c r="S561" t="str">
        <f>IF(ISBLANK(JP!R565),"","x")</f>
        <v/>
      </c>
      <c r="T561" t="str">
        <f>IF(ISBLANK(JP!T565),"","x")</f>
        <v/>
      </c>
      <c r="U561" t="str">
        <f>IF(ISBLANK(JP!U565),"","x")</f>
        <v/>
      </c>
      <c r="V561" t="str">
        <f>IF(ISBLANK(JP!V565),"","x")</f>
        <v/>
      </c>
      <c r="W561" t="str">
        <f>IF(ISBLANK(JP!W565),"","x")</f>
        <v/>
      </c>
      <c r="X561" t="str">
        <f>IF(ISBLANK(JP!X565),"","x")</f>
        <v/>
      </c>
      <c r="Y561" t="str">
        <f>IF(ISBLANK(JP!Y565),"","x")</f>
        <v/>
      </c>
      <c r="Z561" t="str">
        <f>IF(ISBLANK(JP!Z565),"","x")</f>
        <v/>
      </c>
      <c r="AA561" t="str">
        <f>IF(ISBLANK(JP!AB565),"","x")</f>
        <v/>
      </c>
      <c r="AB561" t="str">
        <f>IF(ISBLANK(JP!AC565),"","x")</f>
        <v/>
      </c>
      <c r="AC561" t="str">
        <f>IF(ISBLANK(JP!AD565),"","x")</f>
        <v/>
      </c>
      <c r="AD561" t="str">
        <f>IF(ISBLANK(JP!AE565),"","x")</f>
        <v/>
      </c>
      <c r="AE561" t="str">
        <f>IF(ISBLANK(JP!AF565),"","x")</f>
        <v/>
      </c>
      <c r="AF561" t="str">
        <f>IF(ISBLANK(JP!AG565),"","x")</f>
        <v/>
      </c>
      <c r="AG561" t="str">
        <f>IF(ISBLANK(JP!AH565),"","x")</f>
        <v/>
      </c>
      <c r="AH561" t="str">
        <f>IF(ISBLANK(JP!AJ565),"","x")</f>
        <v/>
      </c>
      <c r="AI561" t="str">
        <f>IF(ISBLANK(JP!AK565),"","x")</f>
        <v/>
      </c>
      <c r="AJ561" t="str">
        <f>IF(ISBLANK(JP!AL565),"","x")</f>
        <v/>
      </c>
      <c r="AK561" t="str">
        <f>IF(ISBLANK(JP!AM565),"","x")</f>
        <v/>
      </c>
      <c r="AL561" t="str">
        <f>IF(ISBLANK(JP!AN565),"","x")</f>
        <v/>
      </c>
      <c r="AM561" t="str">
        <f>IF(ISBLANK(JP!AO565),"","x")</f>
        <v/>
      </c>
      <c r="AN561" t="str">
        <f>IF(ISBLANK(JP!AP565),"","x")</f>
        <v/>
      </c>
      <c r="AO561" t="str">
        <f>IF(ISBLANK(JP!AR565),"","x")</f>
        <v/>
      </c>
      <c r="AP561" t="str">
        <f>IF(ISBLANK(JP!AS565),"","x")</f>
        <v/>
      </c>
      <c r="AQ561" t="str">
        <f>IF(ISBLANK(JP!AT565),"","x")</f>
        <v/>
      </c>
      <c r="AR561" t="str">
        <f>IF(ISBLANK(JP!AU565),"","x")</f>
        <v/>
      </c>
      <c r="AS561" t="str">
        <f>IF(ISBLANK(JP!AV565),"","x")</f>
        <v/>
      </c>
      <c r="AT561" t="str">
        <f>IF(ISBLANK(JP!AW565),"","x")</f>
        <v/>
      </c>
      <c r="AU561" t="str">
        <f>IF(ISBLANK(JP!AX565),"","x")</f>
        <v/>
      </c>
    </row>
    <row r="562" spans="2:47">
      <c r="B562" t="str">
        <f>IF(ISBLANK(JP!AZ566),"",JP!AZ566)</f>
        <v/>
      </c>
      <c r="C562" t="str">
        <f>IF(ISBLANK(JP!BA566),"",JP!BA566)</f>
        <v/>
      </c>
      <c r="D562" t="str">
        <f>IF(ISBLANK(JP!BC566),"",JP!BC566)</f>
        <v/>
      </c>
      <c r="E562" t="str">
        <f>IF(ISBLANK(JP!BB566),"",JP!BB566)</f>
        <v/>
      </c>
      <c r="F562" t="str">
        <f>IF(ISBLANK(JP!D566),"","x")</f>
        <v/>
      </c>
      <c r="G562" t="str">
        <f>IF(ISBLANK(JP!E566),"","x")</f>
        <v/>
      </c>
      <c r="H562" t="str">
        <f>IF(ISBLANK(JP!F566),"","x")</f>
        <v/>
      </c>
      <c r="I562" t="str">
        <f>IF(ISBLANK(JP!G566),"","x")</f>
        <v/>
      </c>
      <c r="J562" t="str">
        <f>IF(ISBLANK(JP!H566),"","x")</f>
        <v/>
      </c>
      <c r="K562" t="str">
        <f>IF(ISBLANK(JP!I566),"","x")</f>
        <v/>
      </c>
      <c r="L562" t="str">
        <f>IF(ISBLANK(JP!J566),"","x")</f>
        <v/>
      </c>
      <c r="M562" t="str">
        <f>IF(ISBLANK(JP!L566),"","x")</f>
        <v/>
      </c>
      <c r="N562" t="str">
        <f>IF(ISBLANK(JP!M566),"","x")</f>
        <v/>
      </c>
      <c r="O562" t="str">
        <f>IF(ISBLANK(JP!N566),"","x")</f>
        <v/>
      </c>
      <c r="P562" t="str">
        <f>IF(ISBLANK(JP!O566),"","x")</f>
        <v/>
      </c>
      <c r="Q562" t="str">
        <f>IF(ISBLANK(JP!P566),"","x")</f>
        <v/>
      </c>
      <c r="R562" t="str">
        <f>IF(ISBLANK(JP!Q566),"","x")</f>
        <v/>
      </c>
      <c r="S562" t="str">
        <f>IF(ISBLANK(JP!R566),"","x")</f>
        <v/>
      </c>
      <c r="T562" t="str">
        <f>IF(ISBLANK(JP!T566),"","x")</f>
        <v/>
      </c>
      <c r="U562" t="str">
        <f>IF(ISBLANK(JP!U566),"","x")</f>
        <v/>
      </c>
      <c r="V562" t="str">
        <f>IF(ISBLANK(JP!V566),"","x")</f>
        <v/>
      </c>
      <c r="W562" t="str">
        <f>IF(ISBLANK(JP!W566),"","x")</f>
        <v/>
      </c>
      <c r="X562" t="str">
        <f>IF(ISBLANK(JP!X566),"","x")</f>
        <v/>
      </c>
      <c r="Y562" t="str">
        <f>IF(ISBLANK(JP!Y566),"","x")</f>
        <v/>
      </c>
      <c r="Z562" t="str">
        <f>IF(ISBLANK(JP!Z566),"","x")</f>
        <v/>
      </c>
      <c r="AA562" t="str">
        <f>IF(ISBLANK(JP!AB566),"","x")</f>
        <v/>
      </c>
      <c r="AB562" t="str">
        <f>IF(ISBLANK(JP!AC566),"","x")</f>
        <v/>
      </c>
      <c r="AC562" t="str">
        <f>IF(ISBLANK(JP!AD566),"","x")</f>
        <v/>
      </c>
      <c r="AD562" t="str">
        <f>IF(ISBLANK(JP!AE566),"","x")</f>
        <v/>
      </c>
      <c r="AE562" t="str">
        <f>IF(ISBLANK(JP!AF566),"","x")</f>
        <v/>
      </c>
      <c r="AF562" t="str">
        <f>IF(ISBLANK(JP!AG566),"","x")</f>
        <v/>
      </c>
      <c r="AG562" t="str">
        <f>IF(ISBLANK(JP!AH566),"","x")</f>
        <v/>
      </c>
      <c r="AH562" t="str">
        <f>IF(ISBLANK(JP!AJ566),"","x")</f>
        <v/>
      </c>
      <c r="AI562" t="str">
        <f>IF(ISBLANK(JP!AK566),"","x")</f>
        <v/>
      </c>
      <c r="AJ562" t="str">
        <f>IF(ISBLANK(JP!AL566),"","x")</f>
        <v/>
      </c>
      <c r="AK562" t="str">
        <f>IF(ISBLANK(JP!AM566),"","x")</f>
        <v/>
      </c>
      <c r="AL562" t="str">
        <f>IF(ISBLANK(JP!AN566),"","x")</f>
        <v/>
      </c>
      <c r="AM562" t="str">
        <f>IF(ISBLANK(JP!AO566),"","x")</f>
        <v/>
      </c>
      <c r="AN562" t="str">
        <f>IF(ISBLANK(JP!AP566),"","x")</f>
        <v/>
      </c>
      <c r="AO562" t="str">
        <f>IF(ISBLANK(JP!AR566),"","x")</f>
        <v/>
      </c>
      <c r="AP562" t="str">
        <f>IF(ISBLANK(JP!AS566),"","x")</f>
        <v/>
      </c>
      <c r="AQ562" t="str">
        <f>IF(ISBLANK(JP!AT566),"","x")</f>
        <v/>
      </c>
      <c r="AR562" t="str">
        <f>IF(ISBLANK(JP!AU566),"","x")</f>
        <v/>
      </c>
      <c r="AS562" t="str">
        <f>IF(ISBLANK(JP!AV566),"","x")</f>
        <v/>
      </c>
      <c r="AT562" t="str">
        <f>IF(ISBLANK(JP!AW566),"","x")</f>
        <v/>
      </c>
      <c r="AU562" t="str">
        <f>IF(ISBLANK(JP!AX566),"","x")</f>
        <v/>
      </c>
    </row>
    <row r="563" spans="2:47">
      <c r="B563" t="str">
        <f>IF(ISBLANK(JP!AZ567),"",JP!AZ567)</f>
        <v/>
      </c>
      <c r="C563" t="str">
        <f>IF(ISBLANK(JP!BA567),"",JP!BA567)</f>
        <v/>
      </c>
      <c r="D563" t="str">
        <f>IF(ISBLANK(JP!BC567),"",JP!BC567)</f>
        <v/>
      </c>
      <c r="E563" t="str">
        <f>IF(ISBLANK(JP!BB567),"",JP!BB567)</f>
        <v/>
      </c>
      <c r="F563" t="str">
        <f>IF(ISBLANK(JP!D567),"","x")</f>
        <v/>
      </c>
      <c r="G563" t="str">
        <f>IF(ISBLANK(JP!E567),"","x")</f>
        <v/>
      </c>
      <c r="H563" t="str">
        <f>IF(ISBLANK(JP!F567),"","x")</f>
        <v/>
      </c>
      <c r="I563" t="str">
        <f>IF(ISBLANK(JP!G567),"","x")</f>
        <v/>
      </c>
      <c r="J563" t="str">
        <f>IF(ISBLANK(JP!H567),"","x")</f>
        <v/>
      </c>
      <c r="K563" t="str">
        <f>IF(ISBLANK(JP!I567),"","x")</f>
        <v/>
      </c>
      <c r="L563" t="str">
        <f>IF(ISBLANK(JP!J567),"","x")</f>
        <v/>
      </c>
      <c r="M563" t="str">
        <f>IF(ISBLANK(JP!L567),"","x")</f>
        <v/>
      </c>
      <c r="N563" t="str">
        <f>IF(ISBLANK(JP!M567),"","x")</f>
        <v/>
      </c>
      <c r="O563" t="str">
        <f>IF(ISBLANK(JP!N567),"","x")</f>
        <v/>
      </c>
      <c r="P563" t="str">
        <f>IF(ISBLANK(JP!O567),"","x")</f>
        <v/>
      </c>
      <c r="Q563" t="str">
        <f>IF(ISBLANK(JP!P567),"","x")</f>
        <v/>
      </c>
      <c r="R563" t="str">
        <f>IF(ISBLANK(JP!Q567),"","x")</f>
        <v/>
      </c>
      <c r="S563" t="str">
        <f>IF(ISBLANK(JP!R567),"","x")</f>
        <v/>
      </c>
      <c r="T563" t="str">
        <f>IF(ISBLANK(JP!T567),"","x")</f>
        <v/>
      </c>
      <c r="U563" t="str">
        <f>IF(ISBLANK(JP!U567),"","x")</f>
        <v/>
      </c>
      <c r="V563" t="str">
        <f>IF(ISBLANK(JP!V567),"","x")</f>
        <v/>
      </c>
      <c r="W563" t="str">
        <f>IF(ISBLANK(JP!W567),"","x")</f>
        <v/>
      </c>
      <c r="X563" t="str">
        <f>IF(ISBLANK(JP!X567),"","x")</f>
        <v/>
      </c>
      <c r="Y563" t="str">
        <f>IF(ISBLANK(JP!Y567),"","x")</f>
        <v/>
      </c>
      <c r="Z563" t="str">
        <f>IF(ISBLANK(JP!Z567),"","x")</f>
        <v/>
      </c>
      <c r="AA563" t="str">
        <f>IF(ISBLANK(JP!AB567),"","x")</f>
        <v/>
      </c>
      <c r="AB563" t="str">
        <f>IF(ISBLANK(JP!AC567),"","x")</f>
        <v/>
      </c>
      <c r="AC563" t="str">
        <f>IF(ISBLANK(JP!AD567),"","x")</f>
        <v/>
      </c>
      <c r="AD563" t="str">
        <f>IF(ISBLANK(JP!AE567),"","x")</f>
        <v/>
      </c>
      <c r="AE563" t="str">
        <f>IF(ISBLANK(JP!AF567),"","x")</f>
        <v/>
      </c>
      <c r="AF563" t="str">
        <f>IF(ISBLANK(JP!AG567),"","x")</f>
        <v/>
      </c>
      <c r="AG563" t="str">
        <f>IF(ISBLANK(JP!AH567),"","x")</f>
        <v/>
      </c>
      <c r="AH563" t="str">
        <f>IF(ISBLANK(JP!AJ567),"","x")</f>
        <v/>
      </c>
      <c r="AI563" t="str">
        <f>IF(ISBLANK(JP!AK567),"","x")</f>
        <v/>
      </c>
      <c r="AJ563" t="str">
        <f>IF(ISBLANK(JP!AL567),"","x")</f>
        <v/>
      </c>
      <c r="AK563" t="str">
        <f>IF(ISBLANK(JP!AM567),"","x")</f>
        <v/>
      </c>
      <c r="AL563" t="str">
        <f>IF(ISBLANK(JP!AN567),"","x")</f>
        <v/>
      </c>
      <c r="AM563" t="str">
        <f>IF(ISBLANK(JP!AO567),"","x")</f>
        <v/>
      </c>
      <c r="AN563" t="str">
        <f>IF(ISBLANK(JP!AP567),"","x")</f>
        <v/>
      </c>
      <c r="AO563" t="str">
        <f>IF(ISBLANK(JP!AR567),"","x")</f>
        <v/>
      </c>
      <c r="AP563" t="str">
        <f>IF(ISBLANK(JP!AS567),"","x")</f>
        <v/>
      </c>
      <c r="AQ563" t="str">
        <f>IF(ISBLANK(JP!AT567),"","x")</f>
        <v/>
      </c>
      <c r="AR563" t="str">
        <f>IF(ISBLANK(JP!AU567),"","x")</f>
        <v/>
      </c>
      <c r="AS563" t="str">
        <f>IF(ISBLANK(JP!AV567),"","x")</f>
        <v/>
      </c>
      <c r="AT563" t="str">
        <f>IF(ISBLANK(JP!AW567),"","x")</f>
        <v/>
      </c>
      <c r="AU563" t="str">
        <f>IF(ISBLANK(JP!AX567),"","x")</f>
        <v/>
      </c>
    </row>
    <row r="564" spans="2:47">
      <c r="B564" t="str">
        <f>IF(ISBLANK(JP!AZ568),"",JP!AZ568)</f>
        <v/>
      </c>
      <c r="C564" t="str">
        <f>IF(ISBLANK(JP!BA568),"",JP!BA568)</f>
        <v/>
      </c>
      <c r="D564" t="str">
        <f>IF(ISBLANK(JP!BC568),"",JP!BC568)</f>
        <v/>
      </c>
      <c r="E564" t="str">
        <f>IF(ISBLANK(JP!BB568),"",JP!BB568)</f>
        <v/>
      </c>
      <c r="F564" t="str">
        <f>IF(ISBLANK(JP!D568),"","x")</f>
        <v/>
      </c>
      <c r="G564" t="str">
        <f>IF(ISBLANK(JP!E568),"","x")</f>
        <v/>
      </c>
      <c r="H564" t="str">
        <f>IF(ISBLANK(JP!F568),"","x")</f>
        <v/>
      </c>
      <c r="I564" t="str">
        <f>IF(ISBLANK(JP!G568),"","x")</f>
        <v/>
      </c>
      <c r="J564" t="str">
        <f>IF(ISBLANK(JP!H568),"","x")</f>
        <v/>
      </c>
      <c r="K564" t="str">
        <f>IF(ISBLANK(JP!I568),"","x")</f>
        <v/>
      </c>
      <c r="L564" t="str">
        <f>IF(ISBLANK(JP!J568),"","x")</f>
        <v/>
      </c>
      <c r="M564" t="str">
        <f>IF(ISBLANK(JP!L568),"","x")</f>
        <v/>
      </c>
      <c r="N564" t="str">
        <f>IF(ISBLANK(JP!M568),"","x")</f>
        <v/>
      </c>
      <c r="O564" t="str">
        <f>IF(ISBLANK(JP!N568),"","x")</f>
        <v/>
      </c>
      <c r="P564" t="str">
        <f>IF(ISBLANK(JP!O568),"","x")</f>
        <v/>
      </c>
      <c r="Q564" t="str">
        <f>IF(ISBLANK(JP!P568),"","x")</f>
        <v/>
      </c>
      <c r="R564" t="str">
        <f>IF(ISBLANK(JP!Q568),"","x")</f>
        <v/>
      </c>
      <c r="S564" t="str">
        <f>IF(ISBLANK(JP!R568),"","x")</f>
        <v/>
      </c>
      <c r="T564" t="str">
        <f>IF(ISBLANK(JP!T568),"","x")</f>
        <v/>
      </c>
      <c r="U564" t="str">
        <f>IF(ISBLANK(JP!U568),"","x")</f>
        <v/>
      </c>
      <c r="V564" t="str">
        <f>IF(ISBLANK(JP!V568),"","x")</f>
        <v/>
      </c>
      <c r="W564" t="str">
        <f>IF(ISBLANK(JP!W568),"","x")</f>
        <v/>
      </c>
      <c r="X564" t="str">
        <f>IF(ISBLANK(JP!X568),"","x")</f>
        <v/>
      </c>
      <c r="Y564" t="str">
        <f>IF(ISBLANK(JP!Y568),"","x")</f>
        <v/>
      </c>
      <c r="Z564" t="str">
        <f>IF(ISBLANK(JP!Z568),"","x")</f>
        <v/>
      </c>
      <c r="AA564" t="str">
        <f>IF(ISBLANK(JP!AB568),"","x")</f>
        <v/>
      </c>
      <c r="AB564" t="str">
        <f>IF(ISBLANK(JP!AC568),"","x")</f>
        <v/>
      </c>
      <c r="AC564" t="str">
        <f>IF(ISBLANK(JP!AD568),"","x")</f>
        <v/>
      </c>
      <c r="AD564" t="str">
        <f>IF(ISBLANK(JP!AE568),"","x")</f>
        <v/>
      </c>
      <c r="AE564" t="str">
        <f>IF(ISBLANK(JP!AF568),"","x")</f>
        <v/>
      </c>
      <c r="AF564" t="str">
        <f>IF(ISBLANK(JP!AG568),"","x")</f>
        <v/>
      </c>
      <c r="AG564" t="str">
        <f>IF(ISBLANK(JP!AH568),"","x")</f>
        <v/>
      </c>
      <c r="AH564" t="str">
        <f>IF(ISBLANK(JP!AJ568),"","x")</f>
        <v/>
      </c>
      <c r="AI564" t="str">
        <f>IF(ISBLANK(JP!AK568),"","x")</f>
        <v/>
      </c>
      <c r="AJ564" t="str">
        <f>IF(ISBLANK(JP!AL568),"","x")</f>
        <v/>
      </c>
      <c r="AK564" t="str">
        <f>IF(ISBLANK(JP!AM568),"","x")</f>
        <v/>
      </c>
      <c r="AL564" t="str">
        <f>IF(ISBLANK(JP!AN568),"","x")</f>
        <v/>
      </c>
      <c r="AM564" t="str">
        <f>IF(ISBLANK(JP!AO568),"","x")</f>
        <v/>
      </c>
      <c r="AN564" t="str">
        <f>IF(ISBLANK(JP!AP568),"","x")</f>
        <v/>
      </c>
      <c r="AO564" t="str">
        <f>IF(ISBLANK(JP!AR568),"","x")</f>
        <v/>
      </c>
      <c r="AP564" t="str">
        <f>IF(ISBLANK(JP!AS568),"","x")</f>
        <v/>
      </c>
      <c r="AQ564" t="str">
        <f>IF(ISBLANK(JP!AT568),"","x")</f>
        <v/>
      </c>
      <c r="AR564" t="str">
        <f>IF(ISBLANK(JP!AU568),"","x")</f>
        <v/>
      </c>
      <c r="AS564" t="str">
        <f>IF(ISBLANK(JP!AV568),"","x")</f>
        <v/>
      </c>
      <c r="AT564" t="str">
        <f>IF(ISBLANK(JP!AW568),"","x")</f>
        <v/>
      </c>
      <c r="AU564" t="str">
        <f>IF(ISBLANK(JP!AX568),"","x")</f>
        <v/>
      </c>
    </row>
    <row r="565" spans="2:47">
      <c r="B565" t="str">
        <f>IF(ISBLANK(JP!AZ569),"",JP!AZ569)</f>
        <v/>
      </c>
      <c r="C565" t="str">
        <f>IF(ISBLANK(JP!BA569),"",JP!BA569)</f>
        <v/>
      </c>
      <c r="D565" t="str">
        <f>IF(ISBLANK(JP!BC569),"",JP!BC569)</f>
        <v/>
      </c>
      <c r="E565" t="str">
        <f>IF(ISBLANK(JP!BB569),"",JP!BB569)</f>
        <v/>
      </c>
      <c r="F565" t="str">
        <f>IF(ISBLANK(JP!D569),"","x")</f>
        <v/>
      </c>
      <c r="G565" t="str">
        <f>IF(ISBLANK(JP!E569),"","x")</f>
        <v/>
      </c>
      <c r="H565" t="str">
        <f>IF(ISBLANK(JP!F569),"","x")</f>
        <v/>
      </c>
      <c r="I565" t="str">
        <f>IF(ISBLANK(JP!G569),"","x")</f>
        <v/>
      </c>
      <c r="J565" t="str">
        <f>IF(ISBLANK(JP!H569),"","x")</f>
        <v/>
      </c>
      <c r="K565" t="str">
        <f>IF(ISBLANK(JP!I569),"","x")</f>
        <v/>
      </c>
      <c r="L565" t="str">
        <f>IF(ISBLANK(JP!J569),"","x")</f>
        <v/>
      </c>
      <c r="M565" t="str">
        <f>IF(ISBLANK(JP!L569),"","x")</f>
        <v/>
      </c>
      <c r="N565" t="str">
        <f>IF(ISBLANK(JP!M569),"","x")</f>
        <v/>
      </c>
      <c r="O565" t="str">
        <f>IF(ISBLANK(JP!N569),"","x")</f>
        <v/>
      </c>
      <c r="P565" t="str">
        <f>IF(ISBLANK(JP!O569),"","x")</f>
        <v/>
      </c>
      <c r="Q565" t="str">
        <f>IF(ISBLANK(JP!P569),"","x")</f>
        <v/>
      </c>
      <c r="R565" t="str">
        <f>IF(ISBLANK(JP!Q569),"","x")</f>
        <v/>
      </c>
      <c r="S565" t="str">
        <f>IF(ISBLANK(JP!R569),"","x")</f>
        <v/>
      </c>
      <c r="T565" t="str">
        <f>IF(ISBLANK(JP!T569),"","x")</f>
        <v/>
      </c>
      <c r="U565" t="str">
        <f>IF(ISBLANK(JP!U569),"","x")</f>
        <v/>
      </c>
      <c r="V565" t="str">
        <f>IF(ISBLANK(JP!V569),"","x")</f>
        <v/>
      </c>
      <c r="W565" t="str">
        <f>IF(ISBLANK(JP!W569),"","x")</f>
        <v/>
      </c>
      <c r="X565" t="str">
        <f>IF(ISBLANK(JP!X569),"","x")</f>
        <v/>
      </c>
      <c r="Y565" t="str">
        <f>IF(ISBLANK(JP!Y569),"","x")</f>
        <v/>
      </c>
      <c r="Z565" t="str">
        <f>IF(ISBLANK(JP!Z569),"","x")</f>
        <v/>
      </c>
      <c r="AA565" t="str">
        <f>IF(ISBLANK(JP!AB569),"","x")</f>
        <v/>
      </c>
      <c r="AB565" t="str">
        <f>IF(ISBLANK(JP!AC569),"","x")</f>
        <v/>
      </c>
      <c r="AC565" t="str">
        <f>IF(ISBLANK(JP!AD569),"","x")</f>
        <v/>
      </c>
      <c r="AD565" t="str">
        <f>IF(ISBLANK(JP!AE569),"","x")</f>
        <v/>
      </c>
      <c r="AE565" t="str">
        <f>IF(ISBLANK(JP!AF569),"","x")</f>
        <v/>
      </c>
      <c r="AF565" t="str">
        <f>IF(ISBLANK(JP!AG569),"","x")</f>
        <v/>
      </c>
      <c r="AG565" t="str">
        <f>IF(ISBLANK(JP!AH569),"","x")</f>
        <v/>
      </c>
      <c r="AH565" t="str">
        <f>IF(ISBLANK(JP!AJ569),"","x")</f>
        <v/>
      </c>
      <c r="AI565" t="str">
        <f>IF(ISBLANK(JP!AK569),"","x")</f>
        <v/>
      </c>
      <c r="AJ565" t="str">
        <f>IF(ISBLANK(JP!AL569),"","x")</f>
        <v/>
      </c>
      <c r="AK565" t="str">
        <f>IF(ISBLANK(JP!AM569),"","x")</f>
        <v/>
      </c>
      <c r="AL565" t="str">
        <f>IF(ISBLANK(JP!AN569),"","x")</f>
        <v/>
      </c>
      <c r="AM565" t="str">
        <f>IF(ISBLANK(JP!AO569),"","x")</f>
        <v/>
      </c>
      <c r="AN565" t="str">
        <f>IF(ISBLANK(JP!AP569),"","x")</f>
        <v/>
      </c>
      <c r="AO565" t="str">
        <f>IF(ISBLANK(JP!AR569),"","x")</f>
        <v/>
      </c>
      <c r="AP565" t="str">
        <f>IF(ISBLANK(JP!AS569),"","x")</f>
        <v/>
      </c>
      <c r="AQ565" t="str">
        <f>IF(ISBLANK(JP!AT569),"","x")</f>
        <v/>
      </c>
      <c r="AR565" t="str">
        <f>IF(ISBLANK(JP!AU569),"","x")</f>
        <v/>
      </c>
      <c r="AS565" t="str">
        <f>IF(ISBLANK(JP!AV569),"","x")</f>
        <v/>
      </c>
      <c r="AT565" t="str">
        <f>IF(ISBLANK(JP!AW569),"","x")</f>
        <v/>
      </c>
      <c r="AU565" t="str">
        <f>IF(ISBLANK(JP!AX569),"","x")</f>
        <v/>
      </c>
    </row>
    <row r="566" spans="2:47">
      <c r="B566" t="str">
        <f>IF(ISBLANK(JP!AZ570),"",JP!AZ570)</f>
        <v/>
      </c>
      <c r="C566" t="str">
        <f>IF(ISBLANK(JP!BA570),"",JP!BA570)</f>
        <v/>
      </c>
      <c r="D566" t="str">
        <f>IF(ISBLANK(JP!BC570),"",JP!BC570)</f>
        <v/>
      </c>
      <c r="E566" t="str">
        <f>IF(ISBLANK(JP!BB570),"",JP!BB570)</f>
        <v/>
      </c>
      <c r="F566" t="str">
        <f>IF(ISBLANK(JP!D570),"","x")</f>
        <v/>
      </c>
      <c r="G566" t="str">
        <f>IF(ISBLANK(JP!E570),"","x")</f>
        <v/>
      </c>
      <c r="H566" t="str">
        <f>IF(ISBLANK(JP!F570),"","x")</f>
        <v/>
      </c>
      <c r="I566" t="str">
        <f>IF(ISBLANK(JP!G570),"","x")</f>
        <v/>
      </c>
      <c r="J566" t="str">
        <f>IF(ISBLANK(JP!H570),"","x")</f>
        <v/>
      </c>
      <c r="K566" t="str">
        <f>IF(ISBLANK(JP!I570),"","x")</f>
        <v/>
      </c>
      <c r="L566" t="str">
        <f>IF(ISBLANK(JP!J570),"","x")</f>
        <v/>
      </c>
      <c r="M566" t="str">
        <f>IF(ISBLANK(JP!L570),"","x")</f>
        <v/>
      </c>
      <c r="N566" t="str">
        <f>IF(ISBLANK(JP!M570),"","x")</f>
        <v/>
      </c>
      <c r="O566" t="str">
        <f>IF(ISBLANK(JP!N570),"","x")</f>
        <v/>
      </c>
      <c r="P566" t="str">
        <f>IF(ISBLANK(JP!O570),"","x")</f>
        <v/>
      </c>
      <c r="Q566" t="str">
        <f>IF(ISBLANK(JP!P570),"","x")</f>
        <v/>
      </c>
      <c r="R566" t="str">
        <f>IF(ISBLANK(JP!Q570),"","x")</f>
        <v/>
      </c>
      <c r="S566" t="str">
        <f>IF(ISBLANK(JP!R570),"","x")</f>
        <v/>
      </c>
      <c r="T566" t="str">
        <f>IF(ISBLANK(JP!T570),"","x")</f>
        <v/>
      </c>
      <c r="U566" t="str">
        <f>IF(ISBLANK(JP!U570),"","x")</f>
        <v/>
      </c>
      <c r="V566" t="str">
        <f>IF(ISBLANK(JP!V570),"","x")</f>
        <v/>
      </c>
      <c r="W566" t="str">
        <f>IF(ISBLANK(JP!W570),"","x")</f>
        <v/>
      </c>
      <c r="X566" t="str">
        <f>IF(ISBLANK(JP!X570),"","x")</f>
        <v/>
      </c>
      <c r="Y566" t="str">
        <f>IF(ISBLANK(JP!Y570),"","x")</f>
        <v/>
      </c>
      <c r="Z566" t="str">
        <f>IF(ISBLANK(JP!Z570),"","x")</f>
        <v/>
      </c>
      <c r="AA566" t="str">
        <f>IF(ISBLANK(JP!AB570),"","x")</f>
        <v/>
      </c>
      <c r="AB566" t="str">
        <f>IF(ISBLANK(JP!AC570),"","x")</f>
        <v/>
      </c>
      <c r="AC566" t="str">
        <f>IF(ISBLANK(JP!AD570),"","x")</f>
        <v/>
      </c>
      <c r="AD566" t="str">
        <f>IF(ISBLANK(JP!AE570),"","x")</f>
        <v/>
      </c>
      <c r="AE566" t="str">
        <f>IF(ISBLANK(JP!AF570),"","x")</f>
        <v/>
      </c>
      <c r="AF566" t="str">
        <f>IF(ISBLANK(JP!AG570),"","x")</f>
        <v/>
      </c>
      <c r="AG566" t="str">
        <f>IF(ISBLANK(JP!AH570),"","x")</f>
        <v/>
      </c>
      <c r="AH566" t="str">
        <f>IF(ISBLANK(JP!AJ570),"","x")</f>
        <v/>
      </c>
      <c r="AI566" t="str">
        <f>IF(ISBLANK(JP!AK570),"","x")</f>
        <v/>
      </c>
      <c r="AJ566" t="str">
        <f>IF(ISBLANK(JP!AL570),"","x")</f>
        <v/>
      </c>
      <c r="AK566" t="str">
        <f>IF(ISBLANK(JP!AM570),"","x")</f>
        <v/>
      </c>
      <c r="AL566" t="str">
        <f>IF(ISBLANK(JP!AN570),"","x")</f>
        <v/>
      </c>
      <c r="AM566" t="str">
        <f>IF(ISBLANK(JP!AO570),"","x")</f>
        <v/>
      </c>
      <c r="AN566" t="str">
        <f>IF(ISBLANK(JP!AP570),"","x")</f>
        <v/>
      </c>
      <c r="AO566" t="str">
        <f>IF(ISBLANK(JP!AR570),"","x")</f>
        <v/>
      </c>
      <c r="AP566" t="str">
        <f>IF(ISBLANK(JP!AS570),"","x")</f>
        <v/>
      </c>
      <c r="AQ566" t="str">
        <f>IF(ISBLANK(JP!AT570),"","x")</f>
        <v/>
      </c>
      <c r="AR566" t="str">
        <f>IF(ISBLANK(JP!AU570),"","x")</f>
        <v/>
      </c>
      <c r="AS566" t="str">
        <f>IF(ISBLANK(JP!AV570),"","x")</f>
        <v/>
      </c>
      <c r="AT566" t="str">
        <f>IF(ISBLANK(JP!AW570),"","x")</f>
        <v/>
      </c>
      <c r="AU566" t="str">
        <f>IF(ISBLANK(JP!AX570),"","x")</f>
        <v/>
      </c>
    </row>
    <row r="567" spans="2:47">
      <c r="B567" t="str">
        <f>IF(ISBLANK(JP!AZ571),"",JP!AZ571)</f>
        <v/>
      </c>
      <c r="C567" t="str">
        <f>IF(ISBLANK(JP!BA571),"",JP!BA571)</f>
        <v/>
      </c>
      <c r="D567" t="str">
        <f>IF(ISBLANK(JP!BC571),"",JP!BC571)</f>
        <v/>
      </c>
      <c r="E567" t="str">
        <f>IF(ISBLANK(JP!BB571),"",JP!BB571)</f>
        <v/>
      </c>
      <c r="F567" t="str">
        <f>IF(ISBLANK(JP!D571),"","x")</f>
        <v/>
      </c>
      <c r="G567" t="str">
        <f>IF(ISBLANK(JP!E571),"","x")</f>
        <v/>
      </c>
      <c r="H567" t="str">
        <f>IF(ISBLANK(JP!F571),"","x")</f>
        <v/>
      </c>
      <c r="I567" t="str">
        <f>IF(ISBLANK(JP!G571),"","x")</f>
        <v/>
      </c>
      <c r="J567" t="str">
        <f>IF(ISBLANK(JP!H571),"","x")</f>
        <v/>
      </c>
      <c r="K567" t="str">
        <f>IF(ISBLANK(JP!I571),"","x")</f>
        <v/>
      </c>
      <c r="L567" t="str">
        <f>IF(ISBLANK(JP!J571),"","x")</f>
        <v/>
      </c>
      <c r="M567" t="str">
        <f>IF(ISBLANK(JP!L571),"","x")</f>
        <v/>
      </c>
      <c r="N567" t="str">
        <f>IF(ISBLANK(JP!M571),"","x")</f>
        <v/>
      </c>
      <c r="O567" t="str">
        <f>IF(ISBLANK(JP!N571),"","x")</f>
        <v/>
      </c>
      <c r="P567" t="str">
        <f>IF(ISBLANK(JP!O571),"","x")</f>
        <v/>
      </c>
      <c r="Q567" t="str">
        <f>IF(ISBLANK(JP!P571),"","x")</f>
        <v/>
      </c>
      <c r="R567" t="str">
        <f>IF(ISBLANK(JP!Q571),"","x")</f>
        <v/>
      </c>
      <c r="S567" t="str">
        <f>IF(ISBLANK(JP!R571),"","x")</f>
        <v/>
      </c>
      <c r="T567" t="str">
        <f>IF(ISBLANK(JP!T571),"","x")</f>
        <v/>
      </c>
      <c r="U567" t="str">
        <f>IF(ISBLANK(JP!U571),"","x")</f>
        <v/>
      </c>
      <c r="V567" t="str">
        <f>IF(ISBLANK(JP!V571),"","x")</f>
        <v/>
      </c>
      <c r="W567" t="str">
        <f>IF(ISBLANK(JP!W571),"","x")</f>
        <v/>
      </c>
      <c r="X567" t="str">
        <f>IF(ISBLANK(JP!X571),"","x")</f>
        <v/>
      </c>
      <c r="Y567" t="str">
        <f>IF(ISBLANK(JP!Y571),"","x")</f>
        <v/>
      </c>
      <c r="Z567" t="str">
        <f>IF(ISBLANK(JP!Z571),"","x")</f>
        <v/>
      </c>
      <c r="AA567" t="str">
        <f>IF(ISBLANK(JP!AB571),"","x")</f>
        <v/>
      </c>
      <c r="AB567" t="str">
        <f>IF(ISBLANK(JP!AC571),"","x")</f>
        <v/>
      </c>
      <c r="AC567" t="str">
        <f>IF(ISBLANK(JP!AD571),"","x")</f>
        <v/>
      </c>
      <c r="AD567" t="str">
        <f>IF(ISBLANK(JP!AE571),"","x")</f>
        <v/>
      </c>
      <c r="AE567" t="str">
        <f>IF(ISBLANK(JP!AF571),"","x")</f>
        <v/>
      </c>
      <c r="AF567" t="str">
        <f>IF(ISBLANK(JP!AG571),"","x")</f>
        <v/>
      </c>
      <c r="AG567" t="str">
        <f>IF(ISBLANK(JP!AH571),"","x")</f>
        <v/>
      </c>
      <c r="AH567" t="str">
        <f>IF(ISBLANK(JP!AJ571),"","x")</f>
        <v/>
      </c>
      <c r="AI567" t="str">
        <f>IF(ISBLANK(JP!AK571),"","x")</f>
        <v/>
      </c>
      <c r="AJ567" t="str">
        <f>IF(ISBLANK(JP!AL571),"","x")</f>
        <v/>
      </c>
      <c r="AK567" t="str">
        <f>IF(ISBLANK(JP!AM571),"","x")</f>
        <v/>
      </c>
      <c r="AL567" t="str">
        <f>IF(ISBLANK(JP!AN571),"","x")</f>
        <v/>
      </c>
      <c r="AM567" t="str">
        <f>IF(ISBLANK(JP!AO571),"","x")</f>
        <v/>
      </c>
      <c r="AN567" t="str">
        <f>IF(ISBLANK(JP!AP571),"","x")</f>
        <v/>
      </c>
      <c r="AO567" t="str">
        <f>IF(ISBLANK(JP!AR571),"","x")</f>
        <v/>
      </c>
      <c r="AP567" t="str">
        <f>IF(ISBLANK(JP!AS571),"","x")</f>
        <v/>
      </c>
      <c r="AQ567" t="str">
        <f>IF(ISBLANK(JP!AT571),"","x")</f>
        <v/>
      </c>
      <c r="AR567" t="str">
        <f>IF(ISBLANK(JP!AU571),"","x")</f>
        <v/>
      </c>
      <c r="AS567" t="str">
        <f>IF(ISBLANK(JP!AV571),"","x")</f>
        <v/>
      </c>
      <c r="AT567" t="str">
        <f>IF(ISBLANK(JP!AW571),"","x")</f>
        <v/>
      </c>
      <c r="AU567" t="str">
        <f>IF(ISBLANK(JP!AX571),"","x")</f>
        <v/>
      </c>
    </row>
    <row r="568" spans="2:47">
      <c r="B568" t="str">
        <f>IF(ISBLANK(JP!AZ572),"",JP!AZ572)</f>
        <v/>
      </c>
      <c r="C568" t="str">
        <f>IF(ISBLANK(JP!BA572),"",JP!BA572)</f>
        <v/>
      </c>
      <c r="D568" t="str">
        <f>IF(ISBLANK(JP!BC572),"",JP!BC572)</f>
        <v/>
      </c>
      <c r="E568" t="str">
        <f>IF(ISBLANK(JP!BB572),"",JP!BB572)</f>
        <v/>
      </c>
      <c r="F568" t="str">
        <f>IF(ISBLANK(JP!D572),"","x")</f>
        <v/>
      </c>
      <c r="G568" t="str">
        <f>IF(ISBLANK(JP!E572),"","x")</f>
        <v/>
      </c>
      <c r="H568" t="str">
        <f>IF(ISBLANK(JP!F572),"","x")</f>
        <v/>
      </c>
      <c r="I568" t="str">
        <f>IF(ISBLANK(JP!G572),"","x")</f>
        <v/>
      </c>
      <c r="J568" t="str">
        <f>IF(ISBLANK(JP!H572),"","x")</f>
        <v/>
      </c>
      <c r="K568" t="str">
        <f>IF(ISBLANK(JP!I572),"","x")</f>
        <v/>
      </c>
      <c r="L568" t="str">
        <f>IF(ISBLANK(JP!J572),"","x")</f>
        <v/>
      </c>
      <c r="M568" t="str">
        <f>IF(ISBLANK(JP!L572),"","x")</f>
        <v/>
      </c>
      <c r="N568" t="str">
        <f>IF(ISBLANK(JP!M572),"","x")</f>
        <v/>
      </c>
      <c r="O568" t="str">
        <f>IF(ISBLANK(JP!N572),"","x")</f>
        <v/>
      </c>
      <c r="P568" t="str">
        <f>IF(ISBLANK(JP!O572),"","x")</f>
        <v/>
      </c>
      <c r="Q568" t="str">
        <f>IF(ISBLANK(JP!P572),"","x")</f>
        <v/>
      </c>
      <c r="R568" t="str">
        <f>IF(ISBLANK(JP!Q572),"","x")</f>
        <v/>
      </c>
      <c r="S568" t="str">
        <f>IF(ISBLANK(JP!R572),"","x")</f>
        <v/>
      </c>
      <c r="T568" t="str">
        <f>IF(ISBLANK(JP!T572),"","x")</f>
        <v/>
      </c>
      <c r="U568" t="str">
        <f>IF(ISBLANK(JP!U572),"","x")</f>
        <v/>
      </c>
      <c r="V568" t="str">
        <f>IF(ISBLANK(JP!V572),"","x")</f>
        <v/>
      </c>
      <c r="W568" t="str">
        <f>IF(ISBLANK(JP!W572),"","x")</f>
        <v/>
      </c>
      <c r="X568" t="str">
        <f>IF(ISBLANK(JP!X572),"","x")</f>
        <v/>
      </c>
      <c r="Y568" t="str">
        <f>IF(ISBLANK(JP!Y572),"","x")</f>
        <v/>
      </c>
      <c r="Z568" t="str">
        <f>IF(ISBLANK(JP!Z572),"","x")</f>
        <v/>
      </c>
      <c r="AA568" t="str">
        <f>IF(ISBLANK(JP!AB572),"","x")</f>
        <v/>
      </c>
      <c r="AB568" t="str">
        <f>IF(ISBLANK(JP!AC572),"","x")</f>
        <v/>
      </c>
      <c r="AC568" t="str">
        <f>IF(ISBLANK(JP!AD572),"","x")</f>
        <v/>
      </c>
      <c r="AD568" t="str">
        <f>IF(ISBLANK(JP!AE572),"","x")</f>
        <v/>
      </c>
      <c r="AE568" t="str">
        <f>IF(ISBLANK(JP!AF572),"","x")</f>
        <v/>
      </c>
      <c r="AF568" t="str">
        <f>IF(ISBLANK(JP!AG572),"","x")</f>
        <v/>
      </c>
      <c r="AG568" t="str">
        <f>IF(ISBLANK(JP!AH572),"","x")</f>
        <v/>
      </c>
      <c r="AH568" t="str">
        <f>IF(ISBLANK(JP!AJ572),"","x")</f>
        <v/>
      </c>
      <c r="AI568" t="str">
        <f>IF(ISBLANK(JP!AK572),"","x")</f>
        <v/>
      </c>
      <c r="AJ568" t="str">
        <f>IF(ISBLANK(JP!AL572),"","x")</f>
        <v/>
      </c>
      <c r="AK568" t="str">
        <f>IF(ISBLANK(JP!AM572),"","x")</f>
        <v/>
      </c>
      <c r="AL568" t="str">
        <f>IF(ISBLANK(JP!AN572),"","x")</f>
        <v/>
      </c>
      <c r="AM568" t="str">
        <f>IF(ISBLANK(JP!AO572),"","x")</f>
        <v/>
      </c>
      <c r="AN568" t="str">
        <f>IF(ISBLANK(JP!AP572),"","x")</f>
        <v/>
      </c>
      <c r="AO568" t="str">
        <f>IF(ISBLANK(JP!AR572),"","x")</f>
        <v/>
      </c>
      <c r="AP568" t="str">
        <f>IF(ISBLANK(JP!AS572),"","x")</f>
        <v/>
      </c>
      <c r="AQ568" t="str">
        <f>IF(ISBLANK(JP!AT572),"","x")</f>
        <v/>
      </c>
      <c r="AR568" t="str">
        <f>IF(ISBLANK(JP!AU572),"","x")</f>
        <v/>
      </c>
      <c r="AS568" t="str">
        <f>IF(ISBLANK(JP!AV572),"","x")</f>
        <v/>
      </c>
      <c r="AT568" t="str">
        <f>IF(ISBLANK(JP!AW572),"","x")</f>
        <v/>
      </c>
      <c r="AU568" t="str">
        <f>IF(ISBLANK(JP!AX572),"","x")</f>
        <v/>
      </c>
    </row>
    <row r="569" spans="2:47">
      <c r="B569" t="str">
        <f>IF(ISBLANK(JP!AZ573),"",JP!AZ573)</f>
        <v/>
      </c>
      <c r="C569" t="str">
        <f>IF(ISBLANK(JP!BA573),"",JP!BA573)</f>
        <v/>
      </c>
      <c r="D569" t="str">
        <f>IF(ISBLANK(JP!BC573),"",JP!BC573)</f>
        <v/>
      </c>
      <c r="E569" t="str">
        <f>IF(ISBLANK(JP!BB573),"",JP!BB573)</f>
        <v/>
      </c>
      <c r="F569" t="str">
        <f>IF(ISBLANK(JP!D573),"","x")</f>
        <v/>
      </c>
      <c r="G569" t="str">
        <f>IF(ISBLANK(JP!E573),"","x")</f>
        <v/>
      </c>
      <c r="H569" t="str">
        <f>IF(ISBLANK(JP!F573),"","x")</f>
        <v/>
      </c>
      <c r="I569" t="str">
        <f>IF(ISBLANK(JP!G573),"","x")</f>
        <v/>
      </c>
      <c r="J569" t="str">
        <f>IF(ISBLANK(JP!H573),"","x")</f>
        <v/>
      </c>
      <c r="K569" t="str">
        <f>IF(ISBLANK(JP!I573),"","x")</f>
        <v/>
      </c>
      <c r="L569" t="str">
        <f>IF(ISBLANK(JP!J573),"","x")</f>
        <v/>
      </c>
      <c r="M569" t="str">
        <f>IF(ISBLANK(JP!L573),"","x")</f>
        <v/>
      </c>
      <c r="N569" t="str">
        <f>IF(ISBLANK(JP!M573),"","x")</f>
        <v/>
      </c>
      <c r="O569" t="str">
        <f>IF(ISBLANK(JP!N573),"","x")</f>
        <v/>
      </c>
      <c r="P569" t="str">
        <f>IF(ISBLANK(JP!O573),"","x")</f>
        <v/>
      </c>
      <c r="Q569" t="str">
        <f>IF(ISBLANK(JP!P573),"","x")</f>
        <v/>
      </c>
      <c r="R569" t="str">
        <f>IF(ISBLANK(JP!Q573),"","x")</f>
        <v/>
      </c>
      <c r="S569" t="str">
        <f>IF(ISBLANK(JP!R573),"","x")</f>
        <v/>
      </c>
      <c r="T569" t="str">
        <f>IF(ISBLANK(JP!T573),"","x")</f>
        <v/>
      </c>
      <c r="U569" t="str">
        <f>IF(ISBLANK(JP!U573),"","x")</f>
        <v/>
      </c>
      <c r="V569" t="str">
        <f>IF(ISBLANK(JP!V573),"","x")</f>
        <v/>
      </c>
      <c r="W569" t="str">
        <f>IF(ISBLANK(JP!W573),"","x")</f>
        <v/>
      </c>
      <c r="X569" t="str">
        <f>IF(ISBLANK(JP!X573),"","x")</f>
        <v/>
      </c>
      <c r="Y569" t="str">
        <f>IF(ISBLANK(JP!Y573),"","x")</f>
        <v/>
      </c>
      <c r="Z569" t="str">
        <f>IF(ISBLANK(JP!Z573),"","x")</f>
        <v/>
      </c>
      <c r="AA569" t="str">
        <f>IF(ISBLANK(JP!AB573),"","x")</f>
        <v/>
      </c>
      <c r="AB569" t="str">
        <f>IF(ISBLANK(JP!AC573),"","x")</f>
        <v/>
      </c>
      <c r="AC569" t="str">
        <f>IF(ISBLANK(JP!AD573),"","x")</f>
        <v/>
      </c>
      <c r="AD569" t="str">
        <f>IF(ISBLANK(JP!AE573),"","x")</f>
        <v/>
      </c>
      <c r="AE569" t="str">
        <f>IF(ISBLANK(JP!AF573),"","x")</f>
        <v/>
      </c>
      <c r="AF569" t="str">
        <f>IF(ISBLANK(JP!AG573),"","x")</f>
        <v/>
      </c>
      <c r="AG569" t="str">
        <f>IF(ISBLANK(JP!AH573),"","x")</f>
        <v/>
      </c>
      <c r="AH569" t="str">
        <f>IF(ISBLANK(JP!AJ573),"","x")</f>
        <v/>
      </c>
      <c r="AI569" t="str">
        <f>IF(ISBLANK(JP!AK573),"","x")</f>
        <v/>
      </c>
      <c r="AJ569" t="str">
        <f>IF(ISBLANK(JP!AL573),"","x")</f>
        <v/>
      </c>
      <c r="AK569" t="str">
        <f>IF(ISBLANK(JP!AM573),"","x")</f>
        <v/>
      </c>
      <c r="AL569" t="str">
        <f>IF(ISBLANK(JP!AN573),"","x")</f>
        <v/>
      </c>
      <c r="AM569" t="str">
        <f>IF(ISBLANK(JP!AO573),"","x")</f>
        <v/>
      </c>
      <c r="AN569" t="str">
        <f>IF(ISBLANK(JP!AP573),"","x")</f>
        <v/>
      </c>
      <c r="AO569" t="str">
        <f>IF(ISBLANK(JP!AR573),"","x")</f>
        <v/>
      </c>
      <c r="AP569" t="str">
        <f>IF(ISBLANK(JP!AS573),"","x")</f>
        <v/>
      </c>
      <c r="AQ569" t="str">
        <f>IF(ISBLANK(JP!AT573),"","x")</f>
        <v/>
      </c>
      <c r="AR569" t="str">
        <f>IF(ISBLANK(JP!AU573),"","x")</f>
        <v/>
      </c>
      <c r="AS569" t="str">
        <f>IF(ISBLANK(JP!AV573),"","x")</f>
        <v/>
      </c>
      <c r="AT569" t="str">
        <f>IF(ISBLANK(JP!AW573),"","x")</f>
        <v/>
      </c>
      <c r="AU569" t="str">
        <f>IF(ISBLANK(JP!AX573),"","x")</f>
        <v/>
      </c>
    </row>
    <row r="570" spans="2:47">
      <c r="B570" t="str">
        <f>IF(ISBLANK(JP!AZ574),"",JP!AZ574)</f>
        <v/>
      </c>
      <c r="C570" t="str">
        <f>IF(ISBLANK(JP!BA574),"",JP!BA574)</f>
        <v/>
      </c>
      <c r="D570" t="str">
        <f>IF(ISBLANK(JP!BC574),"",JP!BC574)</f>
        <v/>
      </c>
      <c r="E570" t="str">
        <f>IF(ISBLANK(JP!BB574),"",JP!BB574)</f>
        <v/>
      </c>
      <c r="F570" t="str">
        <f>IF(ISBLANK(JP!D574),"","x")</f>
        <v/>
      </c>
      <c r="G570" t="str">
        <f>IF(ISBLANK(JP!E574),"","x")</f>
        <v/>
      </c>
      <c r="H570" t="str">
        <f>IF(ISBLANK(JP!F574),"","x")</f>
        <v/>
      </c>
      <c r="I570" t="str">
        <f>IF(ISBLANK(JP!G574),"","x")</f>
        <v/>
      </c>
      <c r="J570" t="str">
        <f>IF(ISBLANK(JP!H574),"","x")</f>
        <v/>
      </c>
      <c r="K570" t="str">
        <f>IF(ISBLANK(JP!I574),"","x")</f>
        <v/>
      </c>
      <c r="L570" t="str">
        <f>IF(ISBLANK(JP!J574),"","x")</f>
        <v/>
      </c>
      <c r="M570" t="str">
        <f>IF(ISBLANK(JP!L574),"","x")</f>
        <v/>
      </c>
      <c r="N570" t="str">
        <f>IF(ISBLANK(JP!M574),"","x")</f>
        <v/>
      </c>
      <c r="O570" t="str">
        <f>IF(ISBLANK(JP!N574),"","x")</f>
        <v/>
      </c>
      <c r="P570" t="str">
        <f>IF(ISBLANK(JP!O574),"","x")</f>
        <v/>
      </c>
      <c r="Q570" t="str">
        <f>IF(ISBLANK(JP!P574),"","x")</f>
        <v/>
      </c>
      <c r="R570" t="str">
        <f>IF(ISBLANK(JP!Q574),"","x")</f>
        <v/>
      </c>
      <c r="S570" t="str">
        <f>IF(ISBLANK(JP!R574),"","x")</f>
        <v/>
      </c>
      <c r="T570" t="str">
        <f>IF(ISBLANK(JP!T574),"","x")</f>
        <v/>
      </c>
      <c r="U570" t="str">
        <f>IF(ISBLANK(JP!U574),"","x")</f>
        <v/>
      </c>
      <c r="V570" t="str">
        <f>IF(ISBLANK(JP!V574),"","x")</f>
        <v/>
      </c>
      <c r="W570" t="str">
        <f>IF(ISBLANK(JP!W574),"","x")</f>
        <v/>
      </c>
      <c r="X570" t="str">
        <f>IF(ISBLANK(JP!X574),"","x")</f>
        <v/>
      </c>
      <c r="Y570" t="str">
        <f>IF(ISBLANK(JP!Y574),"","x")</f>
        <v/>
      </c>
      <c r="Z570" t="str">
        <f>IF(ISBLANK(JP!Z574),"","x")</f>
        <v/>
      </c>
      <c r="AA570" t="str">
        <f>IF(ISBLANK(JP!AB574),"","x")</f>
        <v/>
      </c>
      <c r="AB570" t="str">
        <f>IF(ISBLANK(JP!AC574),"","x")</f>
        <v/>
      </c>
      <c r="AC570" t="str">
        <f>IF(ISBLANK(JP!AD574),"","x")</f>
        <v/>
      </c>
      <c r="AD570" t="str">
        <f>IF(ISBLANK(JP!AE574),"","x")</f>
        <v/>
      </c>
      <c r="AE570" t="str">
        <f>IF(ISBLANK(JP!AF574),"","x")</f>
        <v/>
      </c>
      <c r="AF570" t="str">
        <f>IF(ISBLANK(JP!AG574),"","x")</f>
        <v/>
      </c>
      <c r="AG570" t="str">
        <f>IF(ISBLANK(JP!AH574),"","x")</f>
        <v/>
      </c>
      <c r="AH570" t="str">
        <f>IF(ISBLANK(JP!AJ574),"","x")</f>
        <v/>
      </c>
      <c r="AI570" t="str">
        <f>IF(ISBLANK(JP!AK574),"","x")</f>
        <v/>
      </c>
      <c r="AJ570" t="str">
        <f>IF(ISBLANK(JP!AL574),"","x")</f>
        <v/>
      </c>
      <c r="AK570" t="str">
        <f>IF(ISBLANK(JP!AM574),"","x")</f>
        <v/>
      </c>
      <c r="AL570" t="str">
        <f>IF(ISBLANK(JP!AN574),"","x")</f>
        <v/>
      </c>
      <c r="AM570" t="str">
        <f>IF(ISBLANK(JP!AO574),"","x")</f>
        <v/>
      </c>
      <c r="AN570" t="str">
        <f>IF(ISBLANK(JP!AP574),"","x")</f>
        <v/>
      </c>
      <c r="AO570" t="str">
        <f>IF(ISBLANK(JP!AR574),"","x")</f>
        <v/>
      </c>
      <c r="AP570" t="str">
        <f>IF(ISBLANK(JP!AS574),"","x")</f>
        <v/>
      </c>
      <c r="AQ570" t="str">
        <f>IF(ISBLANK(JP!AT574),"","x")</f>
        <v/>
      </c>
      <c r="AR570" t="str">
        <f>IF(ISBLANK(JP!AU574),"","x")</f>
        <v/>
      </c>
      <c r="AS570" t="str">
        <f>IF(ISBLANK(JP!AV574),"","x")</f>
        <v/>
      </c>
      <c r="AT570" t="str">
        <f>IF(ISBLANK(JP!AW574),"","x")</f>
        <v/>
      </c>
      <c r="AU570" t="str">
        <f>IF(ISBLANK(JP!AX574),"","x")</f>
        <v/>
      </c>
    </row>
    <row r="571" spans="2:47">
      <c r="B571" t="str">
        <f>IF(ISBLANK(JP!AZ575),"",JP!AZ575)</f>
        <v/>
      </c>
      <c r="C571" t="str">
        <f>IF(ISBLANK(JP!BA575),"",JP!BA575)</f>
        <v/>
      </c>
      <c r="D571" t="str">
        <f>IF(ISBLANK(JP!BC575),"",JP!BC575)</f>
        <v/>
      </c>
      <c r="E571" t="str">
        <f>IF(ISBLANK(JP!BB575),"",JP!BB575)</f>
        <v/>
      </c>
      <c r="F571" t="str">
        <f>IF(ISBLANK(JP!D575),"","x")</f>
        <v/>
      </c>
      <c r="G571" t="str">
        <f>IF(ISBLANK(JP!E575),"","x")</f>
        <v/>
      </c>
      <c r="H571" t="str">
        <f>IF(ISBLANK(JP!F575),"","x")</f>
        <v/>
      </c>
      <c r="I571" t="str">
        <f>IF(ISBLANK(JP!G575),"","x")</f>
        <v/>
      </c>
      <c r="J571" t="str">
        <f>IF(ISBLANK(JP!H575),"","x")</f>
        <v/>
      </c>
      <c r="K571" t="str">
        <f>IF(ISBLANK(JP!I575),"","x")</f>
        <v/>
      </c>
      <c r="L571" t="str">
        <f>IF(ISBLANK(JP!J575),"","x")</f>
        <v/>
      </c>
      <c r="M571" t="str">
        <f>IF(ISBLANK(JP!L575),"","x")</f>
        <v/>
      </c>
      <c r="N571" t="str">
        <f>IF(ISBLANK(JP!M575),"","x")</f>
        <v/>
      </c>
      <c r="O571" t="str">
        <f>IF(ISBLANK(JP!N575),"","x")</f>
        <v/>
      </c>
      <c r="P571" t="str">
        <f>IF(ISBLANK(JP!O575),"","x")</f>
        <v/>
      </c>
      <c r="Q571" t="str">
        <f>IF(ISBLANK(JP!P575),"","x")</f>
        <v/>
      </c>
      <c r="R571" t="str">
        <f>IF(ISBLANK(JP!Q575),"","x")</f>
        <v/>
      </c>
      <c r="S571" t="str">
        <f>IF(ISBLANK(JP!R575),"","x")</f>
        <v/>
      </c>
      <c r="T571" t="str">
        <f>IF(ISBLANK(JP!T575),"","x")</f>
        <v/>
      </c>
      <c r="U571" t="str">
        <f>IF(ISBLANK(JP!U575),"","x")</f>
        <v/>
      </c>
      <c r="V571" t="str">
        <f>IF(ISBLANK(JP!V575),"","x")</f>
        <v/>
      </c>
      <c r="W571" t="str">
        <f>IF(ISBLANK(JP!W575),"","x")</f>
        <v/>
      </c>
      <c r="X571" t="str">
        <f>IF(ISBLANK(JP!X575),"","x")</f>
        <v/>
      </c>
      <c r="Y571" t="str">
        <f>IF(ISBLANK(JP!Y575),"","x")</f>
        <v/>
      </c>
      <c r="Z571" t="str">
        <f>IF(ISBLANK(JP!Z575),"","x")</f>
        <v/>
      </c>
      <c r="AA571" t="str">
        <f>IF(ISBLANK(JP!AB575),"","x")</f>
        <v/>
      </c>
      <c r="AB571" t="str">
        <f>IF(ISBLANK(JP!AC575),"","x")</f>
        <v/>
      </c>
      <c r="AC571" t="str">
        <f>IF(ISBLANK(JP!AD575),"","x")</f>
        <v/>
      </c>
      <c r="AD571" t="str">
        <f>IF(ISBLANK(JP!AE575),"","x")</f>
        <v/>
      </c>
      <c r="AE571" t="str">
        <f>IF(ISBLANK(JP!AF575),"","x")</f>
        <v/>
      </c>
      <c r="AF571" t="str">
        <f>IF(ISBLANK(JP!AG575),"","x")</f>
        <v/>
      </c>
      <c r="AG571" t="str">
        <f>IF(ISBLANK(JP!AH575),"","x")</f>
        <v/>
      </c>
      <c r="AH571" t="str">
        <f>IF(ISBLANK(JP!AJ575),"","x")</f>
        <v/>
      </c>
      <c r="AI571" t="str">
        <f>IF(ISBLANK(JP!AK575),"","x")</f>
        <v/>
      </c>
      <c r="AJ571" t="str">
        <f>IF(ISBLANK(JP!AL575),"","x")</f>
        <v/>
      </c>
      <c r="AK571" t="str">
        <f>IF(ISBLANK(JP!AM575),"","x")</f>
        <v/>
      </c>
      <c r="AL571" t="str">
        <f>IF(ISBLANK(JP!AN575),"","x")</f>
        <v/>
      </c>
      <c r="AM571" t="str">
        <f>IF(ISBLANK(JP!AO575),"","x")</f>
        <v/>
      </c>
      <c r="AN571" t="str">
        <f>IF(ISBLANK(JP!AP575),"","x")</f>
        <v/>
      </c>
      <c r="AO571" t="str">
        <f>IF(ISBLANK(JP!AR575),"","x")</f>
        <v/>
      </c>
      <c r="AP571" t="str">
        <f>IF(ISBLANK(JP!AS575),"","x")</f>
        <v/>
      </c>
      <c r="AQ571" t="str">
        <f>IF(ISBLANK(JP!AT575),"","x")</f>
        <v/>
      </c>
      <c r="AR571" t="str">
        <f>IF(ISBLANK(JP!AU575),"","x")</f>
        <v/>
      </c>
      <c r="AS571" t="str">
        <f>IF(ISBLANK(JP!AV575),"","x")</f>
        <v/>
      </c>
      <c r="AT571" t="str">
        <f>IF(ISBLANK(JP!AW575),"","x")</f>
        <v/>
      </c>
      <c r="AU571" t="str">
        <f>IF(ISBLANK(JP!AX575),"","x")</f>
        <v/>
      </c>
    </row>
    <row r="572" spans="2:47">
      <c r="B572" t="str">
        <f>IF(ISBLANK(JP!AZ576),"",JP!AZ576)</f>
        <v/>
      </c>
      <c r="C572" t="str">
        <f>IF(ISBLANK(JP!BA576),"",JP!BA576)</f>
        <v/>
      </c>
      <c r="D572" t="str">
        <f>IF(ISBLANK(JP!BC576),"",JP!BC576)</f>
        <v/>
      </c>
      <c r="E572" t="str">
        <f>IF(ISBLANK(JP!BB576),"",JP!BB576)</f>
        <v/>
      </c>
      <c r="F572" t="str">
        <f>IF(ISBLANK(JP!D576),"","x")</f>
        <v/>
      </c>
      <c r="G572" t="str">
        <f>IF(ISBLANK(JP!E576),"","x")</f>
        <v/>
      </c>
      <c r="H572" t="str">
        <f>IF(ISBLANK(JP!F576),"","x")</f>
        <v/>
      </c>
      <c r="I572" t="str">
        <f>IF(ISBLANK(JP!G576),"","x")</f>
        <v/>
      </c>
      <c r="J572" t="str">
        <f>IF(ISBLANK(JP!H576),"","x")</f>
        <v/>
      </c>
      <c r="K572" t="str">
        <f>IF(ISBLANK(JP!I576),"","x")</f>
        <v/>
      </c>
      <c r="L572" t="str">
        <f>IF(ISBLANK(JP!J576),"","x")</f>
        <v/>
      </c>
      <c r="M572" t="str">
        <f>IF(ISBLANK(JP!L576),"","x")</f>
        <v/>
      </c>
      <c r="N572" t="str">
        <f>IF(ISBLANK(JP!M576),"","x")</f>
        <v/>
      </c>
      <c r="O572" t="str">
        <f>IF(ISBLANK(JP!N576),"","x")</f>
        <v/>
      </c>
      <c r="P572" t="str">
        <f>IF(ISBLANK(JP!O576),"","x")</f>
        <v/>
      </c>
      <c r="Q572" t="str">
        <f>IF(ISBLANK(JP!P576),"","x")</f>
        <v/>
      </c>
      <c r="R572" t="str">
        <f>IF(ISBLANK(JP!Q576),"","x")</f>
        <v/>
      </c>
      <c r="S572" t="str">
        <f>IF(ISBLANK(JP!R576),"","x")</f>
        <v/>
      </c>
      <c r="T572" t="str">
        <f>IF(ISBLANK(JP!T576),"","x")</f>
        <v/>
      </c>
      <c r="U572" t="str">
        <f>IF(ISBLANK(JP!U576),"","x")</f>
        <v/>
      </c>
      <c r="V572" t="str">
        <f>IF(ISBLANK(JP!V576),"","x")</f>
        <v/>
      </c>
      <c r="W572" t="str">
        <f>IF(ISBLANK(JP!W576),"","x")</f>
        <v/>
      </c>
      <c r="X572" t="str">
        <f>IF(ISBLANK(JP!X576),"","x")</f>
        <v/>
      </c>
      <c r="Y572" t="str">
        <f>IF(ISBLANK(JP!Y576),"","x")</f>
        <v/>
      </c>
      <c r="Z572" t="str">
        <f>IF(ISBLANK(JP!Z576),"","x")</f>
        <v/>
      </c>
      <c r="AA572" t="str">
        <f>IF(ISBLANK(JP!AB576),"","x")</f>
        <v/>
      </c>
      <c r="AB572" t="str">
        <f>IF(ISBLANK(JP!AC576),"","x")</f>
        <v/>
      </c>
      <c r="AC572" t="str">
        <f>IF(ISBLANK(JP!AD576),"","x")</f>
        <v/>
      </c>
      <c r="AD572" t="str">
        <f>IF(ISBLANK(JP!AE576),"","x")</f>
        <v/>
      </c>
      <c r="AE572" t="str">
        <f>IF(ISBLANK(JP!AF576),"","x")</f>
        <v/>
      </c>
      <c r="AF572" t="str">
        <f>IF(ISBLANK(JP!AG576),"","x")</f>
        <v/>
      </c>
      <c r="AG572" t="str">
        <f>IF(ISBLANK(JP!AH576),"","x")</f>
        <v/>
      </c>
      <c r="AH572" t="str">
        <f>IF(ISBLANK(JP!AJ576),"","x")</f>
        <v/>
      </c>
      <c r="AI572" t="str">
        <f>IF(ISBLANK(JP!AK576),"","x")</f>
        <v/>
      </c>
      <c r="AJ572" t="str">
        <f>IF(ISBLANK(JP!AL576),"","x")</f>
        <v/>
      </c>
      <c r="AK572" t="str">
        <f>IF(ISBLANK(JP!AM576),"","x")</f>
        <v/>
      </c>
      <c r="AL572" t="str">
        <f>IF(ISBLANK(JP!AN576),"","x")</f>
        <v/>
      </c>
      <c r="AM572" t="str">
        <f>IF(ISBLANK(JP!AO576),"","x")</f>
        <v/>
      </c>
      <c r="AN572" t="str">
        <f>IF(ISBLANK(JP!AP576),"","x")</f>
        <v/>
      </c>
      <c r="AO572" t="str">
        <f>IF(ISBLANK(JP!AR576),"","x")</f>
        <v/>
      </c>
      <c r="AP572" t="str">
        <f>IF(ISBLANK(JP!AS576),"","x")</f>
        <v/>
      </c>
      <c r="AQ572" t="str">
        <f>IF(ISBLANK(JP!AT576),"","x")</f>
        <v/>
      </c>
      <c r="AR572" t="str">
        <f>IF(ISBLANK(JP!AU576),"","x")</f>
        <v/>
      </c>
      <c r="AS572" t="str">
        <f>IF(ISBLANK(JP!AV576),"","x")</f>
        <v/>
      </c>
      <c r="AT572" t="str">
        <f>IF(ISBLANK(JP!AW576),"","x")</f>
        <v/>
      </c>
      <c r="AU572" t="str">
        <f>IF(ISBLANK(JP!AX576),"","x")</f>
        <v/>
      </c>
    </row>
    <row r="573" spans="2:47">
      <c r="B573" t="str">
        <f>IF(ISBLANK(JP!AZ577),"",JP!AZ577)</f>
        <v/>
      </c>
      <c r="C573" t="str">
        <f>IF(ISBLANK(JP!BA577),"",JP!BA577)</f>
        <v/>
      </c>
      <c r="D573" t="str">
        <f>IF(ISBLANK(JP!BC577),"",JP!BC577)</f>
        <v/>
      </c>
      <c r="E573" t="str">
        <f>IF(ISBLANK(JP!BB577),"",JP!BB577)</f>
        <v/>
      </c>
      <c r="F573" t="str">
        <f>IF(ISBLANK(JP!D577),"","x")</f>
        <v/>
      </c>
      <c r="G573" t="str">
        <f>IF(ISBLANK(JP!E577),"","x")</f>
        <v/>
      </c>
      <c r="H573" t="str">
        <f>IF(ISBLANK(JP!F577),"","x")</f>
        <v/>
      </c>
      <c r="I573" t="str">
        <f>IF(ISBLANK(JP!G577),"","x")</f>
        <v/>
      </c>
      <c r="J573" t="str">
        <f>IF(ISBLANK(JP!H577),"","x")</f>
        <v/>
      </c>
      <c r="K573" t="str">
        <f>IF(ISBLANK(JP!I577),"","x")</f>
        <v/>
      </c>
      <c r="L573" t="str">
        <f>IF(ISBLANK(JP!J577),"","x")</f>
        <v/>
      </c>
      <c r="M573" t="str">
        <f>IF(ISBLANK(JP!L577),"","x")</f>
        <v/>
      </c>
      <c r="N573" t="str">
        <f>IF(ISBLANK(JP!M577),"","x")</f>
        <v/>
      </c>
      <c r="O573" t="str">
        <f>IF(ISBLANK(JP!N577),"","x")</f>
        <v/>
      </c>
      <c r="P573" t="str">
        <f>IF(ISBLANK(JP!O577),"","x")</f>
        <v/>
      </c>
      <c r="Q573" t="str">
        <f>IF(ISBLANK(JP!P577),"","x")</f>
        <v/>
      </c>
      <c r="R573" t="str">
        <f>IF(ISBLANK(JP!Q577),"","x")</f>
        <v/>
      </c>
      <c r="S573" t="str">
        <f>IF(ISBLANK(JP!R577),"","x")</f>
        <v/>
      </c>
      <c r="T573" t="str">
        <f>IF(ISBLANK(JP!T577),"","x")</f>
        <v/>
      </c>
      <c r="U573" t="str">
        <f>IF(ISBLANK(JP!U577),"","x")</f>
        <v/>
      </c>
      <c r="V573" t="str">
        <f>IF(ISBLANK(JP!V577),"","x")</f>
        <v/>
      </c>
      <c r="W573" t="str">
        <f>IF(ISBLANK(JP!W577),"","x")</f>
        <v/>
      </c>
      <c r="X573" t="str">
        <f>IF(ISBLANK(JP!X577),"","x")</f>
        <v/>
      </c>
      <c r="Y573" t="str">
        <f>IF(ISBLANK(JP!Y577),"","x")</f>
        <v/>
      </c>
      <c r="Z573" t="str">
        <f>IF(ISBLANK(JP!Z577),"","x")</f>
        <v/>
      </c>
      <c r="AA573" t="str">
        <f>IF(ISBLANK(JP!AB577),"","x")</f>
        <v/>
      </c>
      <c r="AB573" t="str">
        <f>IF(ISBLANK(JP!AC577),"","x")</f>
        <v/>
      </c>
      <c r="AC573" t="str">
        <f>IF(ISBLANK(JP!AD577),"","x")</f>
        <v/>
      </c>
      <c r="AD573" t="str">
        <f>IF(ISBLANK(JP!AE577),"","x")</f>
        <v/>
      </c>
      <c r="AE573" t="str">
        <f>IF(ISBLANK(JP!AF577),"","x")</f>
        <v/>
      </c>
      <c r="AF573" t="str">
        <f>IF(ISBLANK(JP!AG577),"","x")</f>
        <v/>
      </c>
      <c r="AG573" t="str">
        <f>IF(ISBLANK(JP!AH577),"","x")</f>
        <v/>
      </c>
      <c r="AH573" t="str">
        <f>IF(ISBLANK(JP!AJ577),"","x")</f>
        <v/>
      </c>
      <c r="AI573" t="str">
        <f>IF(ISBLANK(JP!AK577),"","x")</f>
        <v/>
      </c>
      <c r="AJ573" t="str">
        <f>IF(ISBLANK(JP!AL577),"","x")</f>
        <v/>
      </c>
      <c r="AK573" t="str">
        <f>IF(ISBLANK(JP!AM577),"","x")</f>
        <v/>
      </c>
      <c r="AL573" t="str">
        <f>IF(ISBLANK(JP!AN577),"","x")</f>
        <v/>
      </c>
      <c r="AM573" t="str">
        <f>IF(ISBLANK(JP!AO577),"","x")</f>
        <v/>
      </c>
      <c r="AN573" t="str">
        <f>IF(ISBLANK(JP!AP577),"","x")</f>
        <v/>
      </c>
      <c r="AO573" t="str">
        <f>IF(ISBLANK(JP!AR577),"","x")</f>
        <v/>
      </c>
      <c r="AP573" t="str">
        <f>IF(ISBLANK(JP!AS577),"","x")</f>
        <v/>
      </c>
      <c r="AQ573" t="str">
        <f>IF(ISBLANK(JP!AT577),"","x")</f>
        <v/>
      </c>
      <c r="AR573" t="str">
        <f>IF(ISBLANK(JP!AU577),"","x")</f>
        <v/>
      </c>
      <c r="AS573" t="str">
        <f>IF(ISBLANK(JP!AV577),"","x")</f>
        <v/>
      </c>
      <c r="AT573" t="str">
        <f>IF(ISBLANK(JP!AW577),"","x")</f>
        <v/>
      </c>
      <c r="AU573" t="str">
        <f>IF(ISBLANK(JP!AX577),"","x")</f>
        <v/>
      </c>
    </row>
    <row r="574" spans="2:47">
      <c r="B574" t="str">
        <f>IF(ISBLANK(JP!AZ578),"",JP!AZ578)</f>
        <v/>
      </c>
      <c r="C574" t="str">
        <f>IF(ISBLANK(JP!BA578),"",JP!BA578)</f>
        <v/>
      </c>
      <c r="D574" t="str">
        <f>IF(ISBLANK(JP!BC578),"",JP!BC578)</f>
        <v/>
      </c>
      <c r="E574" t="str">
        <f>IF(ISBLANK(JP!BB578),"",JP!BB578)</f>
        <v/>
      </c>
      <c r="F574" t="str">
        <f>IF(ISBLANK(JP!D578),"","x")</f>
        <v/>
      </c>
      <c r="G574" t="str">
        <f>IF(ISBLANK(JP!E578),"","x")</f>
        <v/>
      </c>
      <c r="H574" t="str">
        <f>IF(ISBLANK(JP!F578),"","x")</f>
        <v/>
      </c>
      <c r="I574" t="str">
        <f>IF(ISBLANK(JP!G578),"","x")</f>
        <v/>
      </c>
      <c r="J574" t="str">
        <f>IF(ISBLANK(JP!H578),"","x")</f>
        <v/>
      </c>
      <c r="K574" t="str">
        <f>IF(ISBLANK(JP!I578),"","x")</f>
        <v/>
      </c>
      <c r="L574" t="str">
        <f>IF(ISBLANK(JP!J578),"","x")</f>
        <v/>
      </c>
      <c r="M574" t="str">
        <f>IF(ISBLANK(JP!L578),"","x")</f>
        <v/>
      </c>
      <c r="N574" t="str">
        <f>IF(ISBLANK(JP!M578),"","x")</f>
        <v/>
      </c>
      <c r="O574" t="str">
        <f>IF(ISBLANK(JP!N578),"","x")</f>
        <v/>
      </c>
      <c r="P574" t="str">
        <f>IF(ISBLANK(JP!O578),"","x")</f>
        <v/>
      </c>
      <c r="Q574" t="str">
        <f>IF(ISBLANK(JP!P578),"","x")</f>
        <v/>
      </c>
      <c r="R574" t="str">
        <f>IF(ISBLANK(JP!Q578),"","x")</f>
        <v/>
      </c>
      <c r="S574" t="str">
        <f>IF(ISBLANK(JP!R578),"","x")</f>
        <v/>
      </c>
      <c r="T574" t="str">
        <f>IF(ISBLANK(JP!T578),"","x")</f>
        <v/>
      </c>
      <c r="U574" t="str">
        <f>IF(ISBLANK(JP!U578),"","x")</f>
        <v/>
      </c>
      <c r="V574" t="str">
        <f>IF(ISBLANK(JP!V578),"","x")</f>
        <v/>
      </c>
      <c r="W574" t="str">
        <f>IF(ISBLANK(JP!W578),"","x")</f>
        <v/>
      </c>
      <c r="X574" t="str">
        <f>IF(ISBLANK(JP!X578),"","x")</f>
        <v/>
      </c>
      <c r="Y574" t="str">
        <f>IF(ISBLANK(JP!Y578),"","x")</f>
        <v/>
      </c>
      <c r="Z574" t="str">
        <f>IF(ISBLANK(JP!Z578),"","x")</f>
        <v/>
      </c>
      <c r="AA574" t="str">
        <f>IF(ISBLANK(JP!AB578),"","x")</f>
        <v/>
      </c>
      <c r="AB574" t="str">
        <f>IF(ISBLANK(JP!AC578),"","x")</f>
        <v/>
      </c>
      <c r="AC574" t="str">
        <f>IF(ISBLANK(JP!AD578),"","x")</f>
        <v/>
      </c>
      <c r="AD574" t="str">
        <f>IF(ISBLANK(JP!AE578),"","x")</f>
        <v/>
      </c>
      <c r="AE574" t="str">
        <f>IF(ISBLANK(JP!AF578),"","x")</f>
        <v/>
      </c>
      <c r="AF574" t="str">
        <f>IF(ISBLANK(JP!AG578),"","x")</f>
        <v/>
      </c>
      <c r="AG574" t="str">
        <f>IF(ISBLANK(JP!AH578),"","x")</f>
        <v/>
      </c>
      <c r="AH574" t="str">
        <f>IF(ISBLANK(JP!AJ578),"","x")</f>
        <v/>
      </c>
      <c r="AI574" t="str">
        <f>IF(ISBLANK(JP!AK578),"","x")</f>
        <v/>
      </c>
      <c r="AJ574" t="str">
        <f>IF(ISBLANK(JP!AL578),"","x")</f>
        <v/>
      </c>
      <c r="AK574" t="str">
        <f>IF(ISBLANK(JP!AM578),"","x")</f>
        <v/>
      </c>
      <c r="AL574" t="str">
        <f>IF(ISBLANK(JP!AN578),"","x")</f>
        <v/>
      </c>
      <c r="AM574" t="str">
        <f>IF(ISBLANK(JP!AO578),"","x")</f>
        <v/>
      </c>
      <c r="AN574" t="str">
        <f>IF(ISBLANK(JP!AP578),"","x")</f>
        <v/>
      </c>
      <c r="AO574" t="str">
        <f>IF(ISBLANK(JP!AR578),"","x")</f>
        <v/>
      </c>
      <c r="AP574" t="str">
        <f>IF(ISBLANK(JP!AS578),"","x")</f>
        <v/>
      </c>
      <c r="AQ574" t="str">
        <f>IF(ISBLANK(JP!AT578),"","x")</f>
        <v/>
      </c>
      <c r="AR574" t="str">
        <f>IF(ISBLANK(JP!AU578),"","x")</f>
        <v/>
      </c>
      <c r="AS574" t="str">
        <f>IF(ISBLANK(JP!AV578),"","x")</f>
        <v/>
      </c>
      <c r="AT574" t="str">
        <f>IF(ISBLANK(JP!AW578),"","x")</f>
        <v/>
      </c>
      <c r="AU574" t="str">
        <f>IF(ISBLANK(JP!AX578),"","x")</f>
        <v/>
      </c>
    </row>
    <row r="575" spans="2:47">
      <c r="B575" t="str">
        <f>IF(ISBLANK(JP!AZ579),"",JP!AZ579)</f>
        <v/>
      </c>
      <c r="C575" t="str">
        <f>IF(ISBLANK(JP!BA579),"",JP!BA579)</f>
        <v/>
      </c>
      <c r="D575" t="str">
        <f>IF(ISBLANK(JP!BC579),"",JP!BC579)</f>
        <v/>
      </c>
      <c r="E575" t="str">
        <f>IF(ISBLANK(JP!BB579),"",JP!BB579)</f>
        <v/>
      </c>
      <c r="F575" t="str">
        <f>IF(ISBLANK(JP!D579),"","x")</f>
        <v/>
      </c>
      <c r="G575" t="str">
        <f>IF(ISBLANK(JP!E579),"","x")</f>
        <v/>
      </c>
      <c r="H575" t="str">
        <f>IF(ISBLANK(JP!F579),"","x")</f>
        <v/>
      </c>
      <c r="I575" t="str">
        <f>IF(ISBLANK(JP!G579),"","x")</f>
        <v/>
      </c>
      <c r="J575" t="str">
        <f>IF(ISBLANK(JP!H579),"","x")</f>
        <v/>
      </c>
      <c r="K575" t="str">
        <f>IF(ISBLANK(JP!I579),"","x")</f>
        <v/>
      </c>
      <c r="L575" t="str">
        <f>IF(ISBLANK(JP!J579),"","x")</f>
        <v/>
      </c>
      <c r="M575" t="str">
        <f>IF(ISBLANK(JP!L579),"","x")</f>
        <v/>
      </c>
      <c r="N575" t="str">
        <f>IF(ISBLANK(JP!M579),"","x")</f>
        <v/>
      </c>
      <c r="O575" t="str">
        <f>IF(ISBLANK(JP!N579),"","x")</f>
        <v/>
      </c>
      <c r="P575" t="str">
        <f>IF(ISBLANK(JP!O579),"","x")</f>
        <v/>
      </c>
      <c r="Q575" t="str">
        <f>IF(ISBLANK(JP!P579),"","x")</f>
        <v/>
      </c>
      <c r="R575" t="str">
        <f>IF(ISBLANK(JP!Q579),"","x")</f>
        <v/>
      </c>
      <c r="S575" t="str">
        <f>IF(ISBLANK(JP!R579),"","x")</f>
        <v/>
      </c>
      <c r="T575" t="str">
        <f>IF(ISBLANK(JP!T579),"","x")</f>
        <v/>
      </c>
      <c r="U575" t="str">
        <f>IF(ISBLANK(JP!U579),"","x")</f>
        <v/>
      </c>
      <c r="V575" t="str">
        <f>IF(ISBLANK(JP!V579),"","x")</f>
        <v/>
      </c>
      <c r="W575" t="str">
        <f>IF(ISBLANK(JP!W579),"","x")</f>
        <v/>
      </c>
      <c r="X575" t="str">
        <f>IF(ISBLANK(JP!X579),"","x")</f>
        <v/>
      </c>
      <c r="Y575" t="str">
        <f>IF(ISBLANK(JP!Y579),"","x")</f>
        <v/>
      </c>
      <c r="Z575" t="str">
        <f>IF(ISBLANK(JP!Z579),"","x")</f>
        <v/>
      </c>
      <c r="AA575" t="str">
        <f>IF(ISBLANK(JP!AB579),"","x")</f>
        <v/>
      </c>
      <c r="AB575" t="str">
        <f>IF(ISBLANK(JP!AC579),"","x")</f>
        <v/>
      </c>
      <c r="AC575" t="str">
        <f>IF(ISBLANK(JP!AD579),"","x")</f>
        <v/>
      </c>
      <c r="AD575" t="str">
        <f>IF(ISBLANK(JP!AE579),"","x")</f>
        <v/>
      </c>
      <c r="AE575" t="str">
        <f>IF(ISBLANK(JP!AF579),"","x")</f>
        <v/>
      </c>
      <c r="AF575" t="str">
        <f>IF(ISBLANK(JP!AG579),"","x")</f>
        <v/>
      </c>
      <c r="AG575" t="str">
        <f>IF(ISBLANK(JP!AH579),"","x")</f>
        <v/>
      </c>
      <c r="AH575" t="str">
        <f>IF(ISBLANK(JP!AJ579),"","x")</f>
        <v/>
      </c>
      <c r="AI575" t="str">
        <f>IF(ISBLANK(JP!AK579),"","x")</f>
        <v/>
      </c>
      <c r="AJ575" t="str">
        <f>IF(ISBLANK(JP!AL579),"","x")</f>
        <v/>
      </c>
      <c r="AK575" t="str">
        <f>IF(ISBLANK(JP!AM579),"","x")</f>
        <v/>
      </c>
      <c r="AL575" t="str">
        <f>IF(ISBLANK(JP!AN579),"","x")</f>
        <v/>
      </c>
      <c r="AM575" t="str">
        <f>IF(ISBLANK(JP!AO579),"","x")</f>
        <v/>
      </c>
      <c r="AN575" t="str">
        <f>IF(ISBLANK(JP!AP579),"","x")</f>
        <v/>
      </c>
      <c r="AO575" t="str">
        <f>IF(ISBLANK(JP!AR579),"","x")</f>
        <v/>
      </c>
      <c r="AP575" t="str">
        <f>IF(ISBLANK(JP!AS579),"","x")</f>
        <v/>
      </c>
      <c r="AQ575" t="str">
        <f>IF(ISBLANK(JP!AT579),"","x")</f>
        <v/>
      </c>
      <c r="AR575" t="str">
        <f>IF(ISBLANK(JP!AU579),"","x")</f>
        <v/>
      </c>
      <c r="AS575" t="str">
        <f>IF(ISBLANK(JP!AV579),"","x")</f>
        <v/>
      </c>
      <c r="AT575" t="str">
        <f>IF(ISBLANK(JP!AW579),"","x")</f>
        <v/>
      </c>
      <c r="AU575" t="str">
        <f>IF(ISBLANK(JP!AX579),"","x")</f>
        <v/>
      </c>
    </row>
    <row r="576" spans="2:47">
      <c r="B576" t="str">
        <f>IF(ISBLANK(JP!AZ580),"",JP!AZ580)</f>
        <v/>
      </c>
      <c r="C576" t="str">
        <f>IF(ISBLANK(JP!BA580),"",JP!BA580)</f>
        <v/>
      </c>
      <c r="D576" t="str">
        <f>IF(ISBLANK(JP!BC580),"",JP!BC580)</f>
        <v/>
      </c>
      <c r="E576" t="str">
        <f>IF(ISBLANK(JP!BB580),"",JP!BB580)</f>
        <v/>
      </c>
      <c r="F576" t="str">
        <f>IF(ISBLANK(JP!D580),"","x")</f>
        <v/>
      </c>
      <c r="G576" t="str">
        <f>IF(ISBLANK(JP!E580),"","x")</f>
        <v/>
      </c>
      <c r="H576" t="str">
        <f>IF(ISBLANK(JP!F580),"","x")</f>
        <v/>
      </c>
      <c r="I576" t="str">
        <f>IF(ISBLANK(JP!G580),"","x")</f>
        <v/>
      </c>
      <c r="J576" t="str">
        <f>IF(ISBLANK(JP!H580),"","x")</f>
        <v/>
      </c>
      <c r="K576" t="str">
        <f>IF(ISBLANK(JP!I580),"","x")</f>
        <v/>
      </c>
      <c r="L576" t="str">
        <f>IF(ISBLANK(JP!J580),"","x")</f>
        <v/>
      </c>
      <c r="M576" t="str">
        <f>IF(ISBLANK(JP!L580),"","x")</f>
        <v/>
      </c>
      <c r="N576" t="str">
        <f>IF(ISBLANK(JP!M580),"","x")</f>
        <v/>
      </c>
      <c r="O576" t="str">
        <f>IF(ISBLANK(JP!N580),"","x")</f>
        <v/>
      </c>
      <c r="P576" t="str">
        <f>IF(ISBLANK(JP!O580),"","x")</f>
        <v/>
      </c>
      <c r="Q576" t="str">
        <f>IF(ISBLANK(JP!P580),"","x")</f>
        <v/>
      </c>
      <c r="R576" t="str">
        <f>IF(ISBLANK(JP!Q580),"","x")</f>
        <v/>
      </c>
      <c r="S576" t="str">
        <f>IF(ISBLANK(JP!R580),"","x")</f>
        <v/>
      </c>
      <c r="T576" t="str">
        <f>IF(ISBLANK(JP!T580),"","x")</f>
        <v/>
      </c>
      <c r="U576" t="str">
        <f>IF(ISBLANK(JP!U580),"","x")</f>
        <v/>
      </c>
      <c r="V576" t="str">
        <f>IF(ISBLANK(JP!V580),"","x")</f>
        <v/>
      </c>
      <c r="W576" t="str">
        <f>IF(ISBLANK(JP!W580),"","x")</f>
        <v/>
      </c>
      <c r="X576" t="str">
        <f>IF(ISBLANK(JP!X580),"","x")</f>
        <v/>
      </c>
      <c r="Y576" t="str">
        <f>IF(ISBLANK(JP!Y580),"","x")</f>
        <v/>
      </c>
      <c r="Z576" t="str">
        <f>IF(ISBLANK(JP!Z580),"","x")</f>
        <v/>
      </c>
      <c r="AA576" t="str">
        <f>IF(ISBLANK(JP!AB580),"","x")</f>
        <v/>
      </c>
      <c r="AB576" t="str">
        <f>IF(ISBLANK(JP!AC580),"","x")</f>
        <v/>
      </c>
      <c r="AC576" t="str">
        <f>IF(ISBLANK(JP!AD580),"","x")</f>
        <v/>
      </c>
      <c r="AD576" t="str">
        <f>IF(ISBLANK(JP!AE580),"","x")</f>
        <v/>
      </c>
      <c r="AE576" t="str">
        <f>IF(ISBLANK(JP!AF580),"","x")</f>
        <v/>
      </c>
      <c r="AF576" t="str">
        <f>IF(ISBLANK(JP!AG580),"","x")</f>
        <v/>
      </c>
      <c r="AG576" t="str">
        <f>IF(ISBLANK(JP!AH580),"","x")</f>
        <v/>
      </c>
      <c r="AH576" t="str">
        <f>IF(ISBLANK(JP!AJ580),"","x")</f>
        <v/>
      </c>
      <c r="AI576" t="str">
        <f>IF(ISBLANK(JP!AK580),"","x")</f>
        <v/>
      </c>
      <c r="AJ576" t="str">
        <f>IF(ISBLANK(JP!AL580),"","x")</f>
        <v/>
      </c>
      <c r="AK576" t="str">
        <f>IF(ISBLANK(JP!AM580),"","x")</f>
        <v/>
      </c>
      <c r="AL576" t="str">
        <f>IF(ISBLANK(JP!AN580),"","x")</f>
        <v/>
      </c>
      <c r="AM576" t="str">
        <f>IF(ISBLANK(JP!AO580),"","x")</f>
        <v/>
      </c>
      <c r="AN576" t="str">
        <f>IF(ISBLANK(JP!AP580),"","x")</f>
        <v/>
      </c>
      <c r="AO576" t="str">
        <f>IF(ISBLANK(JP!AR580),"","x")</f>
        <v/>
      </c>
      <c r="AP576" t="str">
        <f>IF(ISBLANK(JP!AS580),"","x")</f>
        <v/>
      </c>
      <c r="AQ576" t="str">
        <f>IF(ISBLANK(JP!AT580),"","x")</f>
        <v/>
      </c>
      <c r="AR576" t="str">
        <f>IF(ISBLANK(JP!AU580),"","x")</f>
        <v/>
      </c>
      <c r="AS576" t="str">
        <f>IF(ISBLANK(JP!AV580),"","x")</f>
        <v/>
      </c>
      <c r="AT576" t="str">
        <f>IF(ISBLANK(JP!AW580),"","x")</f>
        <v/>
      </c>
      <c r="AU576" t="str">
        <f>IF(ISBLANK(JP!AX580),"","x")</f>
        <v/>
      </c>
    </row>
    <row r="577" spans="2:47">
      <c r="B577" t="str">
        <f>IF(ISBLANK(JP!AZ581),"",JP!AZ581)</f>
        <v/>
      </c>
      <c r="C577" t="str">
        <f>IF(ISBLANK(JP!BA581),"",JP!BA581)</f>
        <v/>
      </c>
      <c r="D577" t="str">
        <f>IF(ISBLANK(JP!BC581),"",JP!BC581)</f>
        <v/>
      </c>
      <c r="E577" t="str">
        <f>IF(ISBLANK(JP!BB581),"",JP!BB581)</f>
        <v/>
      </c>
      <c r="F577" t="str">
        <f>IF(ISBLANK(JP!D581),"","x")</f>
        <v/>
      </c>
      <c r="G577" t="str">
        <f>IF(ISBLANK(JP!E581),"","x")</f>
        <v/>
      </c>
      <c r="H577" t="str">
        <f>IF(ISBLANK(JP!F581),"","x")</f>
        <v/>
      </c>
      <c r="I577" t="str">
        <f>IF(ISBLANK(JP!G581),"","x")</f>
        <v/>
      </c>
      <c r="J577" t="str">
        <f>IF(ISBLANK(JP!H581),"","x")</f>
        <v/>
      </c>
      <c r="K577" t="str">
        <f>IF(ISBLANK(JP!I581),"","x")</f>
        <v/>
      </c>
      <c r="L577" t="str">
        <f>IF(ISBLANK(JP!J581),"","x")</f>
        <v/>
      </c>
      <c r="M577" t="str">
        <f>IF(ISBLANK(JP!L581),"","x")</f>
        <v/>
      </c>
      <c r="N577" t="str">
        <f>IF(ISBLANK(JP!M581),"","x")</f>
        <v/>
      </c>
      <c r="O577" t="str">
        <f>IF(ISBLANK(JP!N581),"","x")</f>
        <v/>
      </c>
      <c r="P577" t="str">
        <f>IF(ISBLANK(JP!O581),"","x")</f>
        <v/>
      </c>
      <c r="Q577" t="str">
        <f>IF(ISBLANK(JP!P581),"","x")</f>
        <v/>
      </c>
      <c r="R577" t="str">
        <f>IF(ISBLANK(JP!Q581),"","x")</f>
        <v/>
      </c>
      <c r="S577" t="str">
        <f>IF(ISBLANK(JP!R581),"","x")</f>
        <v/>
      </c>
      <c r="T577" t="str">
        <f>IF(ISBLANK(JP!T581),"","x")</f>
        <v/>
      </c>
      <c r="U577" t="str">
        <f>IF(ISBLANK(JP!U581),"","x")</f>
        <v/>
      </c>
      <c r="V577" t="str">
        <f>IF(ISBLANK(JP!V581),"","x")</f>
        <v/>
      </c>
      <c r="W577" t="str">
        <f>IF(ISBLANK(JP!W581),"","x")</f>
        <v/>
      </c>
      <c r="X577" t="str">
        <f>IF(ISBLANK(JP!X581),"","x")</f>
        <v/>
      </c>
      <c r="Y577" t="str">
        <f>IF(ISBLANK(JP!Y581),"","x")</f>
        <v/>
      </c>
      <c r="Z577" t="str">
        <f>IF(ISBLANK(JP!Z581),"","x")</f>
        <v/>
      </c>
      <c r="AA577" t="str">
        <f>IF(ISBLANK(JP!AB581),"","x")</f>
        <v/>
      </c>
      <c r="AB577" t="str">
        <f>IF(ISBLANK(JP!AC581),"","x")</f>
        <v/>
      </c>
      <c r="AC577" t="str">
        <f>IF(ISBLANK(JP!AD581),"","x")</f>
        <v/>
      </c>
      <c r="AD577" t="str">
        <f>IF(ISBLANK(JP!AE581),"","x")</f>
        <v/>
      </c>
      <c r="AE577" t="str">
        <f>IF(ISBLANK(JP!AF581),"","x")</f>
        <v/>
      </c>
      <c r="AF577" t="str">
        <f>IF(ISBLANK(JP!AG581),"","x")</f>
        <v/>
      </c>
      <c r="AG577" t="str">
        <f>IF(ISBLANK(JP!AH581),"","x")</f>
        <v/>
      </c>
      <c r="AH577" t="str">
        <f>IF(ISBLANK(JP!AJ581),"","x")</f>
        <v/>
      </c>
      <c r="AI577" t="str">
        <f>IF(ISBLANK(JP!AK581),"","x")</f>
        <v/>
      </c>
      <c r="AJ577" t="str">
        <f>IF(ISBLANK(JP!AL581),"","x")</f>
        <v/>
      </c>
      <c r="AK577" t="str">
        <f>IF(ISBLANK(JP!AM581),"","x")</f>
        <v/>
      </c>
      <c r="AL577" t="str">
        <f>IF(ISBLANK(JP!AN581),"","x")</f>
        <v/>
      </c>
      <c r="AM577" t="str">
        <f>IF(ISBLANK(JP!AO581),"","x")</f>
        <v/>
      </c>
      <c r="AN577" t="str">
        <f>IF(ISBLANK(JP!AP581),"","x")</f>
        <v/>
      </c>
      <c r="AO577" t="str">
        <f>IF(ISBLANK(JP!AR581),"","x")</f>
        <v/>
      </c>
      <c r="AP577" t="str">
        <f>IF(ISBLANK(JP!AS581),"","x")</f>
        <v/>
      </c>
      <c r="AQ577" t="str">
        <f>IF(ISBLANK(JP!AT581),"","x")</f>
        <v/>
      </c>
      <c r="AR577" t="str">
        <f>IF(ISBLANK(JP!AU581),"","x")</f>
        <v/>
      </c>
      <c r="AS577" t="str">
        <f>IF(ISBLANK(JP!AV581),"","x")</f>
        <v/>
      </c>
      <c r="AT577" t="str">
        <f>IF(ISBLANK(JP!AW581),"","x")</f>
        <v/>
      </c>
      <c r="AU577" t="str">
        <f>IF(ISBLANK(JP!AX581),"","x")</f>
        <v/>
      </c>
    </row>
    <row r="578" spans="2:47">
      <c r="B578" t="str">
        <f>IF(ISBLANK(JP!AZ582),"",JP!AZ582)</f>
        <v/>
      </c>
      <c r="C578" t="str">
        <f>IF(ISBLANK(JP!BA582),"",JP!BA582)</f>
        <v/>
      </c>
      <c r="D578" t="str">
        <f>IF(ISBLANK(JP!BC582),"",JP!BC582)</f>
        <v/>
      </c>
      <c r="E578" t="str">
        <f>IF(ISBLANK(JP!BB582),"",JP!BB582)</f>
        <v/>
      </c>
      <c r="F578" t="str">
        <f>IF(ISBLANK(JP!D582),"","x")</f>
        <v/>
      </c>
      <c r="G578" t="str">
        <f>IF(ISBLANK(JP!E582),"","x")</f>
        <v/>
      </c>
      <c r="H578" t="str">
        <f>IF(ISBLANK(JP!F582),"","x")</f>
        <v/>
      </c>
      <c r="I578" t="str">
        <f>IF(ISBLANK(JP!G582),"","x")</f>
        <v/>
      </c>
      <c r="J578" t="str">
        <f>IF(ISBLANK(JP!H582),"","x")</f>
        <v/>
      </c>
      <c r="K578" t="str">
        <f>IF(ISBLANK(JP!I582),"","x")</f>
        <v/>
      </c>
      <c r="L578" t="str">
        <f>IF(ISBLANK(JP!J582),"","x")</f>
        <v/>
      </c>
      <c r="M578" t="str">
        <f>IF(ISBLANK(JP!L582),"","x")</f>
        <v/>
      </c>
      <c r="N578" t="str">
        <f>IF(ISBLANK(JP!M582),"","x")</f>
        <v/>
      </c>
      <c r="O578" t="str">
        <f>IF(ISBLANK(JP!N582),"","x")</f>
        <v/>
      </c>
      <c r="P578" t="str">
        <f>IF(ISBLANK(JP!O582),"","x")</f>
        <v/>
      </c>
      <c r="Q578" t="str">
        <f>IF(ISBLANK(JP!P582),"","x")</f>
        <v/>
      </c>
      <c r="R578" t="str">
        <f>IF(ISBLANK(JP!Q582),"","x")</f>
        <v/>
      </c>
      <c r="S578" t="str">
        <f>IF(ISBLANK(JP!R582),"","x")</f>
        <v/>
      </c>
      <c r="T578" t="str">
        <f>IF(ISBLANK(JP!T582),"","x")</f>
        <v/>
      </c>
      <c r="U578" t="str">
        <f>IF(ISBLANK(JP!U582),"","x")</f>
        <v/>
      </c>
      <c r="V578" t="str">
        <f>IF(ISBLANK(JP!V582),"","x")</f>
        <v/>
      </c>
      <c r="W578" t="str">
        <f>IF(ISBLANK(JP!W582),"","x")</f>
        <v/>
      </c>
      <c r="X578" t="str">
        <f>IF(ISBLANK(JP!X582),"","x")</f>
        <v/>
      </c>
      <c r="Y578" t="str">
        <f>IF(ISBLANK(JP!Y582),"","x")</f>
        <v/>
      </c>
      <c r="Z578" t="str">
        <f>IF(ISBLANK(JP!Z582),"","x")</f>
        <v/>
      </c>
      <c r="AA578" t="str">
        <f>IF(ISBLANK(JP!AB582),"","x")</f>
        <v/>
      </c>
      <c r="AB578" t="str">
        <f>IF(ISBLANK(JP!AC582),"","x")</f>
        <v/>
      </c>
      <c r="AC578" t="str">
        <f>IF(ISBLANK(JP!AD582),"","x")</f>
        <v/>
      </c>
      <c r="AD578" t="str">
        <f>IF(ISBLANK(JP!AE582),"","x")</f>
        <v/>
      </c>
      <c r="AE578" t="str">
        <f>IF(ISBLANK(JP!AF582),"","x")</f>
        <v/>
      </c>
      <c r="AF578" t="str">
        <f>IF(ISBLANK(JP!AG582),"","x")</f>
        <v/>
      </c>
      <c r="AG578" t="str">
        <f>IF(ISBLANK(JP!AH582),"","x")</f>
        <v/>
      </c>
      <c r="AH578" t="str">
        <f>IF(ISBLANK(JP!AJ582),"","x")</f>
        <v/>
      </c>
      <c r="AI578" t="str">
        <f>IF(ISBLANK(JP!AK582),"","x")</f>
        <v/>
      </c>
      <c r="AJ578" t="str">
        <f>IF(ISBLANK(JP!AL582),"","x")</f>
        <v/>
      </c>
      <c r="AK578" t="str">
        <f>IF(ISBLANK(JP!AM582),"","x")</f>
        <v/>
      </c>
      <c r="AL578" t="str">
        <f>IF(ISBLANK(JP!AN582),"","x")</f>
        <v/>
      </c>
      <c r="AM578" t="str">
        <f>IF(ISBLANK(JP!AO582),"","x")</f>
        <v/>
      </c>
      <c r="AN578" t="str">
        <f>IF(ISBLANK(JP!AP582),"","x")</f>
        <v/>
      </c>
      <c r="AO578" t="str">
        <f>IF(ISBLANK(JP!AR582),"","x")</f>
        <v/>
      </c>
      <c r="AP578" t="str">
        <f>IF(ISBLANK(JP!AS582),"","x")</f>
        <v/>
      </c>
      <c r="AQ578" t="str">
        <f>IF(ISBLANK(JP!AT582),"","x")</f>
        <v/>
      </c>
      <c r="AR578" t="str">
        <f>IF(ISBLANK(JP!AU582),"","x")</f>
        <v/>
      </c>
      <c r="AS578" t="str">
        <f>IF(ISBLANK(JP!AV582),"","x")</f>
        <v/>
      </c>
      <c r="AT578" t="str">
        <f>IF(ISBLANK(JP!AW582),"","x")</f>
        <v/>
      </c>
      <c r="AU578" t="str">
        <f>IF(ISBLANK(JP!AX582),"","x")</f>
        <v/>
      </c>
    </row>
    <row r="579" spans="2:47">
      <c r="B579" t="str">
        <f>IF(ISBLANK(JP!AZ583),"",JP!AZ583)</f>
        <v/>
      </c>
      <c r="C579" t="str">
        <f>IF(ISBLANK(JP!BA583),"",JP!BA583)</f>
        <v/>
      </c>
      <c r="D579" t="str">
        <f>IF(ISBLANK(JP!BC583),"",JP!BC583)</f>
        <v/>
      </c>
      <c r="E579" t="str">
        <f>IF(ISBLANK(JP!BB583),"",JP!BB583)</f>
        <v/>
      </c>
      <c r="F579" t="str">
        <f>IF(ISBLANK(JP!D583),"","x")</f>
        <v/>
      </c>
      <c r="G579" t="str">
        <f>IF(ISBLANK(JP!E583),"","x")</f>
        <v/>
      </c>
      <c r="H579" t="str">
        <f>IF(ISBLANK(JP!F583),"","x")</f>
        <v/>
      </c>
      <c r="I579" t="str">
        <f>IF(ISBLANK(JP!G583),"","x")</f>
        <v/>
      </c>
      <c r="J579" t="str">
        <f>IF(ISBLANK(JP!H583),"","x")</f>
        <v/>
      </c>
      <c r="K579" t="str">
        <f>IF(ISBLANK(JP!I583),"","x")</f>
        <v/>
      </c>
      <c r="L579" t="str">
        <f>IF(ISBLANK(JP!J583),"","x")</f>
        <v/>
      </c>
      <c r="M579" t="str">
        <f>IF(ISBLANK(JP!L583),"","x")</f>
        <v/>
      </c>
      <c r="N579" t="str">
        <f>IF(ISBLANK(JP!M583),"","x")</f>
        <v/>
      </c>
      <c r="O579" t="str">
        <f>IF(ISBLANK(JP!N583),"","x")</f>
        <v/>
      </c>
      <c r="P579" t="str">
        <f>IF(ISBLANK(JP!O583),"","x")</f>
        <v/>
      </c>
      <c r="Q579" t="str">
        <f>IF(ISBLANK(JP!P583),"","x")</f>
        <v/>
      </c>
      <c r="R579" t="str">
        <f>IF(ISBLANK(JP!Q583),"","x")</f>
        <v/>
      </c>
      <c r="S579" t="str">
        <f>IF(ISBLANK(JP!R583),"","x")</f>
        <v/>
      </c>
      <c r="T579" t="str">
        <f>IF(ISBLANK(JP!T583),"","x")</f>
        <v/>
      </c>
      <c r="U579" t="str">
        <f>IF(ISBLANK(JP!U583),"","x")</f>
        <v/>
      </c>
      <c r="V579" t="str">
        <f>IF(ISBLANK(JP!V583),"","x")</f>
        <v/>
      </c>
      <c r="W579" t="str">
        <f>IF(ISBLANK(JP!W583),"","x")</f>
        <v/>
      </c>
      <c r="X579" t="str">
        <f>IF(ISBLANK(JP!X583),"","x")</f>
        <v/>
      </c>
      <c r="Y579" t="str">
        <f>IF(ISBLANK(JP!Y583),"","x")</f>
        <v/>
      </c>
      <c r="Z579" t="str">
        <f>IF(ISBLANK(JP!Z583),"","x")</f>
        <v/>
      </c>
      <c r="AA579" t="str">
        <f>IF(ISBLANK(JP!AB583),"","x")</f>
        <v/>
      </c>
      <c r="AB579" t="str">
        <f>IF(ISBLANK(JP!AC583),"","x")</f>
        <v/>
      </c>
      <c r="AC579" t="str">
        <f>IF(ISBLANK(JP!AD583),"","x")</f>
        <v/>
      </c>
      <c r="AD579" t="str">
        <f>IF(ISBLANK(JP!AE583),"","x")</f>
        <v/>
      </c>
      <c r="AE579" t="str">
        <f>IF(ISBLANK(JP!AF583),"","x")</f>
        <v/>
      </c>
      <c r="AF579" t="str">
        <f>IF(ISBLANK(JP!AG583),"","x")</f>
        <v/>
      </c>
      <c r="AG579" t="str">
        <f>IF(ISBLANK(JP!AH583),"","x")</f>
        <v/>
      </c>
      <c r="AH579" t="str">
        <f>IF(ISBLANK(JP!AJ583),"","x")</f>
        <v/>
      </c>
      <c r="AI579" t="str">
        <f>IF(ISBLANK(JP!AK583),"","x")</f>
        <v/>
      </c>
      <c r="AJ579" t="str">
        <f>IF(ISBLANK(JP!AL583),"","x")</f>
        <v/>
      </c>
      <c r="AK579" t="str">
        <f>IF(ISBLANK(JP!AM583),"","x")</f>
        <v/>
      </c>
      <c r="AL579" t="str">
        <f>IF(ISBLANK(JP!AN583),"","x")</f>
        <v/>
      </c>
      <c r="AM579" t="str">
        <f>IF(ISBLANK(JP!AO583),"","x")</f>
        <v/>
      </c>
      <c r="AN579" t="str">
        <f>IF(ISBLANK(JP!AP583),"","x")</f>
        <v/>
      </c>
      <c r="AO579" t="str">
        <f>IF(ISBLANK(JP!AR583),"","x")</f>
        <v/>
      </c>
      <c r="AP579" t="str">
        <f>IF(ISBLANK(JP!AS583),"","x")</f>
        <v/>
      </c>
      <c r="AQ579" t="str">
        <f>IF(ISBLANK(JP!AT583),"","x")</f>
        <v/>
      </c>
      <c r="AR579" t="str">
        <f>IF(ISBLANK(JP!AU583),"","x")</f>
        <v/>
      </c>
      <c r="AS579" t="str">
        <f>IF(ISBLANK(JP!AV583),"","x")</f>
        <v/>
      </c>
      <c r="AT579" t="str">
        <f>IF(ISBLANK(JP!AW583),"","x")</f>
        <v/>
      </c>
      <c r="AU579" t="str">
        <f>IF(ISBLANK(JP!AX583),"","x")</f>
        <v/>
      </c>
    </row>
    <row r="580" spans="2:47">
      <c r="B580" t="str">
        <f>IF(ISBLANK(JP!AZ584),"",JP!AZ584)</f>
        <v/>
      </c>
      <c r="C580" t="str">
        <f>IF(ISBLANK(JP!BA584),"",JP!BA584)</f>
        <v/>
      </c>
      <c r="D580" t="str">
        <f>IF(ISBLANK(JP!BC584),"",JP!BC584)</f>
        <v/>
      </c>
      <c r="E580" t="str">
        <f>IF(ISBLANK(JP!BB584),"",JP!BB584)</f>
        <v/>
      </c>
      <c r="F580" t="str">
        <f>IF(ISBLANK(JP!D584),"","x")</f>
        <v/>
      </c>
      <c r="G580" t="str">
        <f>IF(ISBLANK(JP!E584),"","x")</f>
        <v/>
      </c>
      <c r="H580" t="str">
        <f>IF(ISBLANK(JP!F584),"","x")</f>
        <v/>
      </c>
      <c r="I580" t="str">
        <f>IF(ISBLANK(JP!G584),"","x")</f>
        <v/>
      </c>
      <c r="J580" t="str">
        <f>IF(ISBLANK(JP!H584),"","x")</f>
        <v/>
      </c>
      <c r="K580" t="str">
        <f>IF(ISBLANK(JP!I584),"","x")</f>
        <v/>
      </c>
      <c r="L580" t="str">
        <f>IF(ISBLANK(JP!J584),"","x")</f>
        <v/>
      </c>
      <c r="M580" t="str">
        <f>IF(ISBLANK(JP!L584),"","x")</f>
        <v/>
      </c>
      <c r="N580" t="str">
        <f>IF(ISBLANK(JP!M584),"","x")</f>
        <v/>
      </c>
      <c r="O580" t="str">
        <f>IF(ISBLANK(JP!N584),"","x")</f>
        <v/>
      </c>
      <c r="P580" t="str">
        <f>IF(ISBLANK(JP!O584),"","x")</f>
        <v/>
      </c>
      <c r="Q580" t="str">
        <f>IF(ISBLANK(JP!P584),"","x")</f>
        <v/>
      </c>
      <c r="R580" t="str">
        <f>IF(ISBLANK(JP!Q584),"","x")</f>
        <v/>
      </c>
      <c r="S580" t="str">
        <f>IF(ISBLANK(JP!R584),"","x")</f>
        <v/>
      </c>
      <c r="T580" t="str">
        <f>IF(ISBLANK(JP!T584),"","x")</f>
        <v/>
      </c>
      <c r="U580" t="str">
        <f>IF(ISBLANK(JP!U584),"","x")</f>
        <v/>
      </c>
      <c r="V580" t="str">
        <f>IF(ISBLANK(JP!V584),"","x")</f>
        <v/>
      </c>
      <c r="W580" t="str">
        <f>IF(ISBLANK(JP!W584),"","x")</f>
        <v/>
      </c>
      <c r="X580" t="str">
        <f>IF(ISBLANK(JP!X584),"","x")</f>
        <v/>
      </c>
      <c r="Y580" t="str">
        <f>IF(ISBLANK(JP!Y584),"","x")</f>
        <v/>
      </c>
      <c r="Z580" t="str">
        <f>IF(ISBLANK(JP!Z584),"","x")</f>
        <v/>
      </c>
      <c r="AA580" t="str">
        <f>IF(ISBLANK(JP!AB584),"","x")</f>
        <v/>
      </c>
      <c r="AB580" t="str">
        <f>IF(ISBLANK(JP!AC584),"","x")</f>
        <v/>
      </c>
      <c r="AC580" t="str">
        <f>IF(ISBLANK(JP!AD584),"","x")</f>
        <v/>
      </c>
      <c r="AD580" t="str">
        <f>IF(ISBLANK(JP!AE584),"","x")</f>
        <v/>
      </c>
      <c r="AE580" t="str">
        <f>IF(ISBLANK(JP!AF584),"","x")</f>
        <v/>
      </c>
      <c r="AF580" t="str">
        <f>IF(ISBLANK(JP!AG584),"","x")</f>
        <v/>
      </c>
      <c r="AG580" t="str">
        <f>IF(ISBLANK(JP!AH584),"","x")</f>
        <v/>
      </c>
      <c r="AH580" t="str">
        <f>IF(ISBLANK(JP!AJ584),"","x")</f>
        <v/>
      </c>
      <c r="AI580" t="str">
        <f>IF(ISBLANK(JP!AK584),"","x")</f>
        <v/>
      </c>
      <c r="AJ580" t="str">
        <f>IF(ISBLANK(JP!AL584),"","x")</f>
        <v/>
      </c>
      <c r="AK580" t="str">
        <f>IF(ISBLANK(JP!AM584),"","x")</f>
        <v/>
      </c>
      <c r="AL580" t="str">
        <f>IF(ISBLANK(JP!AN584),"","x")</f>
        <v/>
      </c>
      <c r="AM580" t="str">
        <f>IF(ISBLANK(JP!AO584),"","x")</f>
        <v/>
      </c>
      <c r="AN580" t="str">
        <f>IF(ISBLANK(JP!AP584),"","x")</f>
        <v/>
      </c>
      <c r="AO580" t="str">
        <f>IF(ISBLANK(JP!AR584),"","x")</f>
        <v/>
      </c>
      <c r="AP580" t="str">
        <f>IF(ISBLANK(JP!AS584),"","x")</f>
        <v/>
      </c>
      <c r="AQ580" t="str">
        <f>IF(ISBLANK(JP!AT584),"","x")</f>
        <v/>
      </c>
      <c r="AR580" t="str">
        <f>IF(ISBLANK(JP!AU584),"","x")</f>
        <v/>
      </c>
      <c r="AS580" t="str">
        <f>IF(ISBLANK(JP!AV584),"","x")</f>
        <v/>
      </c>
      <c r="AT580" t="str">
        <f>IF(ISBLANK(JP!AW584),"","x")</f>
        <v/>
      </c>
      <c r="AU580" t="str">
        <f>IF(ISBLANK(JP!AX584),"","x")</f>
        <v/>
      </c>
    </row>
    <row r="581" spans="2:47">
      <c r="B581" t="str">
        <f>IF(ISBLANK(JP!AZ585),"",JP!AZ585)</f>
        <v/>
      </c>
      <c r="C581" t="str">
        <f>IF(ISBLANK(JP!BA585),"",JP!BA585)</f>
        <v/>
      </c>
      <c r="D581" t="str">
        <f>IF(ISBLANK(JP!BC585),"",JP!BC585)</f>
        <v/>
      </c>
      <c r="E581" t="str">
        <f>IF(ISBLANK(JP!BB585),"",JP!BB585)</f>
        <v/>
      </c>
      <c r="F581" t="str">
        <f>IF(ISBLANK(JP!D585),"","x")</f>
        <v/>
      </c>
      <c r="G581" t="str">
        <f>IF(ISBLANK(JP!E585),"","x")</f>
        <v/>
      </c>
      <c r="H581" t="str">
        <f>IF(ISBLANK(JP!F585),"","x")</f>
        <v/>
      </c>
      <c r="I581" t="str">
        <f>IF(ISBLANK(JP!G585),"","x")</f>
        <v/>
      </c>
      <c r="J581" t="str">
        <f>IF(ISBLANK(JP!H585),"","x")</f>
        <v/>
      </c>
      <c r="K581" t="str">
        <f>IF(ISBLANK(JP!I585),"","x")</f>
        <v/>
      </c>
      <c r="L581" t="str">
        <f>IF(ISBLANK(JP!J585),"","x")</f>
        <v/>
      </c>
      <c r="M581" t="str">
        <f>IF(ISBLANK(JP!L585),"","x")</f>
        <v/>
      </c>
      <c r="N581" t="str">
        <f>IF(ISBLANK(JP!M585),"","x")</f>
        <v/>
      </c>
      <c r="O581" t="str">
        <f>IF(ISBLANK(JP!N585),"","x")</f>
        <v/>
      </c>
      <c r="P581" t="str">
        <f>IF(ISBLANK(JP!O585),"","x")</f>
        <v/>
      </c>
      <c r="Q581" t="str">
        <f>IF(ISBLANK(JP!P585),"","x")</f>
        <v/>
      </c>
      <c r="R581" t="str">
        <f>IF(ISBLANK(JP!Q585),"","x")</f>
        <v/>
      </c>
      <c r="S581" t="str">
        <f>IF(ISBLANK(JP!R585),"","x")</f>
        <v/>
      </c>
      <c r="T581" t="str">
        <f>IF(ISBLANK(JP!T585),"","x")</f>
        <v/>
      </c>
      <c r="U581" t="str">
        <f>IF(ISBLANK(JP!U585),"","x")</f>
        <v/>
      </c>
      <c r="V581" t="str">
        <f>IF(ISBLANK(JP!V585),"","x")</f>
        <v/>
      </c>
      <c r="W581" t="str">
        <f>IF(ISBLANK(JP!W585),"","x")</f>
        <v/>
      </c>
      <c r="X581" t="str">
        <f>IF(ISBLANK(JP!X585),"","x")</f>
        <v/>
      </c>
      <c r="Y581" t="str">
        <f>IF(ISBLANK(JP!Y585),"","x")</f>
        <v/>
      </c>
      <c r="Z581" t="str">
        <f>IF(ISBLANK(JP!Z585),"","x")</f>
        <v/>
      </c>
      <c r="AA581" t="str">
        <f>IF(ISBLANK(JP!AB585),"","x")</f>
        <v/>
      </c>
      <c r="AB581" t="str">
        <f>IF(ISBLANK(JP!AC585),"","x")</f>
        <v/>
      </c>
      <c r="AC581" t="str">
        <f>IF(ISBLANK(JP!AD585),"","x")</f>
        <v/>
      </c>
      <c r="AD581" t="str">
        <f>IF(ISBLANK(JP!AE585),"","x")</f>
        <v/>
      </c>
      <c r="AE581" t="str">
        <f>IF(ISBLANK(JP!AF585),"","x")</f>
        <v/>
      </c>
      <c r="AF581" t="str">
        <f>IF(ISBLANK(JP!AG585),"","x")</f>
        <v/>
      </c>
      <c r="AG581" t="str">
        <f>IF(ISBLANK(JP!AH585),"","x")</f>
        <v/>
      </c>
      <c r="AH581" t="str">
        <f>IF(ISBLANK(JP!AJ585),"","x")</f>
        <v/>
      </c>
      <c r="AI581" t="str">
        <f>IF(ISBLANK(JP!AK585),"","x")</f>
        <v/>
      </c>
      <c r="AJ581" t="str">
        <f>IF(ISBLANK(JP!AL585),"","x")</f>
        <v/>
      </c>
      <c r="AK581" t="str">
        <f>IF(ISBLANK(JP!AM585),"","x")</f>
        <v/>
      </c>
      <c r="AL581" t="str">
        <f>IF(ISBLANK(JP!AN585),"","x")</f>
        <v/>
      </c>
      <c r="AM581" t="str">
        <f>IF(ISBLANK(JP!AO585),"","x")</f>
        <v/>
      </c>
      <c r="AN581" t="str">
        <f>IF(ISBLANK(JP!AP585),"","x")</f>
        <v/>
      </c>
      <c r="AO581" t="str">
        <f>IF(ISBLANK(JP!AR585),"","x")</f>
        <v/>
      </c>
      <c r="AP581" t="str">
        <f>IF(ISBLANK(JP!AS585),"","x")</f>
        <v/>
      </c>
      <c r="AQ581" t="str">
        <f>IF(ISBLANK(JP!AT585),"","x")</f>
        <v/>
      </c>
      <c r="AR581" t="str">
        <f>IF(ISBLANK(JP!AU585),"","x")</f>
        <v/>
      </c>
      <c r="AS581" t="str">
        <f>IF(ISBLANK(JP!AV585),"","x")</f>
        <v/>
      </c>
      <c r="AT581" t="str">
        <f>IF(ISBLANK(JP!AW585),"","x")</f>
        <v/>
      </c>
      <c r="AU581" t="str">
        <f>IF(ISBLANK(JP!AX585),"","x")</f>
        <v/>
      </c>
    </row>
    <row r="582" spans="2:47">
      <c r="B582" t="str">
        <f>IF(ISBLANK(JP!AZ586),"",JP!AZ586)</f>
        <v/>
      </c>
      <c r="C582" t="str">
        <f>IF(ISBLANK(JP!BA586),"",JP!BA586)</f>
        <v/>
      </c>
      <c r="D582" t="str">
        <f>IF(ISBLANK(JP!BC586),"",JP!BC586)</f>
        <v/>
      </c>
      <c r="E582" t="str">
        <f>IF(ISBLANK(JP!BB586),"",JP!BB586)</f>
        <v/>
      </c>
      <c r="F582" t="str">
        <f>IF(ISBLANK(JP!D586),"","x")</f>
        <v/>
      </c>
      <c r="G582" t="str">
        <f>IF(ISBLANK(JP!E586),"","x")</f>
        <v/>
      </c>
      <c r="H582" t="str">
        <f>IF(ISBLANK(JP!F586),"","x")</f>
        <v/>
      </c>
      <c r="I582" t="str">
        <f>IF(ISBLANK(JP!G586),"","x")</f>
        <v/>
      </c>
      <c r="J582" t="str">
        <f>IF(ISBLANK(JP!H586),"","x")</f>
        <v/>
      </c>
      <c r="K582" t="str">
        <f>IF(ISBLANK(JP!I586),"","x")</f>
        <v/>
      </c>
      <c r="L582" t="str">
        <f>IF(ISBLANK(JP!J586),"","x")</f>
        <v/>
      </c>
      <c r="M582" t="str">
        <f>IF(ISBLANK(JP!L586),"","x")</f>
        <v/>
      </c>
      <c r="N582" t="str">
        <f>IF(ISBLANK(JP!M586),"","x")</f>
        <v/>
      </c>
      <c r="O582" t="str">
        <f>IF(ISBLANK(JP!N586),"","x")</f>
        <v/>
      </c>
      <c r="P582" t="str">
        <f>IF(ISBLANK(JP!O586),"","x")</f>
        <v/>
      </c>
      <c r="Q582" t="str">
        <f>IF(ISBLANK(JP!P586),"","x")</f>
        <v/>
      </c>
      <c r="R582" t="str">
        <f>IF(ISBLANK(JP!Q586),"","x")</f>
        <v/>
      </c>
      <c r="S582" t="str">
        <f>IF(ISBLANK(JP!R586),"","x")</f>
        <v/>
      </c>
      <c r="T582" t="str">
        <f>IF(ISBLANK(JP!T586),"","x")</f>
        <v/>
      </c>
      <c r="U582" t="str">
        <f>IF(ISBLANK(JP!U586),"","x")</f>
        <v/>
      </c>
      <c r="V582" t="str">
        <f>IF(ISBLANK(JP!V586),"","x")</f>
        <v/>
      </c>
      <c r="W582" t="str">
        <f>IF(ISBLANK(JP!W586),"","x")</f>
        <v/>
      </c>
      <c r="X582" t="str">
        <f>IF(ISBLANK(JP!X586),"","x")</f>
        <v/>
      </c>
      <c r="Y582" t="str">
        <f>IF(ISBLANK(JP!Y586),"","x")</f>
        <v/>
      </c>
      <c r="Z582" t="str">
        <f>IF(ISBLANK(JP!Z586),"","x")</f>
        <v/>
      </c>
      <c r="AA582" t="str">
        <f>IF(ISBLANK(JP!AB586),"","x")</f>
        <v/>
      </c>
      <c r="AB582" t="str">
        <f>IF(ISBLANK(JP!AC586),"","x")</f>
        <v/>
      </c>
      <c r="AC582" t="str">
        <f>IF(ISBLANK(JP!AD586),"","x")</f>
        <v/>
      </c>
      <c r="AD582" t="str">
        <f>IF(ISBLANK(JP!AE586),"","x")</f>
        <v/>
      </c>
      <c r="AE582" t="str">
        <f>IF(ISBLANK(JP!AF586),"","x")</f>
        <v/>
      </c>
      <c r="AF582" t="str">
        <f>IF(ISBLANK(JP!AG586),"","x")</f>
        <v/>
      </c>
      <c r="AG582" t="str">
        <f>IF(ISBLANK(JP!AH586),"","x")</f>
        <v/>
      </c>
      <c r="AH582" t="str">
        <f>IF(ISBLANK(JP!AJ586),"","x")</f>
        <v/>
      </c>
      <c r="AI582" t="str">
        <f>IF(ISBLANK(JP!AK586),"","x")</f>
        <v/>
      </c>
      <c r="AJ582" t="str">
        <f>IF(ISBLANK(JP!AL586),"","x")</f>
        <v/>
      </c>
      <c r="AK582" t="str">
        <f>IF(ISBLANK(JP!AM586),"","x")</f>
        <v/>
      </c>
      <c r="AL582" t="str">
        <f>IF(ISBLANK(JP!AN586),"","x")</f>
        <v/>
      </c>
      <c r="AM582" t="str">
        <f>IF(ISBLANK(JP!AO586),"","x")</f>
        <v/>
      </c>
      <c r="AN582" t="str">
        <f>IF(ISBLANK(JP!AP586),"","x")</f>
        <v/>
      </c>
      <c r="AO582" t="str">
        <f>IF(ISBLANK(JP!AR586),"","x")</f>
        <v/>
      </c>
      <c r="AP582" t="str">
        <f>IF(ISBLANK(JP!AS586),"","x")</f>
        <v/>
      </c>
      <c r="AQ582" t="str">
        <f>IF(ISBLANK(JP!AT586),"","x")</f>
        <v/>
      </c>
      <c r="AR582" t="str">
        <f>IF(ISBLANK(JP!AU586),"","x")</f>
        <v/>
      </c>
      <c r="AS582" t="str">
        <f>IF(ISBLANK(JP!AV586),"","x")</f>
        <v/>
      </c>
      <c r="AT582" t="str">
        <f>IF(ISBLANK(JP!AW586),"","x")</f>
        <v/>
      </c>
      <c r="AU582" t="str">
        <f>IF(ISBLANK(JP!AX586),"","x")</f>
        <v/>
      </c>
    </row>
    <row r="583" spans="2:47">
      <c r="B583" t="str">
        <f>IF(ISBLANK(JP!AZ587),"",JP!AZ587)</f>
        <v/>
      </c>
      <c r="C583" t="str">
        <f>IF(ISBLANK(JP!BA587),"",JP!BA587)</f>
        <v/>
      </c>
      <c r="D583" t="str">
        <f>IF(ISBLANK(JP!BC587),"",JP!BC587)</f>
        <v/>
      </c>
      <c r="E583" t="str">
        <f>IF(ISBLANK(JP!BB587),"",JP!BB587)</f>
        <v/>
      </c>
      <c r="F583" t="str">
        <f>IF(ISBLANK(JP!D587),"","x")</f>
        <v/>
      </c>
      <c r="G583" t="str">
        <f>IF(ISBLANK(JP!E587),"","x")</f>
        <v/>
      </c>
      <c r="H583" t="str">
        <f>IF(ISBLANK(JP!F587),"","x")</f>
        <v/>
      </c>
      <c r="I583" t="str">
        <f>IF(ISBLANK(JP!G587),"","x")</f>
        <v/>
      </c>
      <c r="J583" t="str">
        <f>IF(ISBLANK(JP!H587),"","x")</f>
        <v/>
      </c>
      <c r="K583" t="str">
        <f>IF(ISBLANK(JP!I587),"","x")</f>
        <v/>
      </c>
      <c r="L583" t="str">
        <f>IF(ISBLANK(JP!J587),"","x")</f>
        <v/>
      </c>
      <c r="M583" t="str">
        <f>IF(ISBLANK(JP!L587),"","x")</f>
        <v/>
      </c>
      <c r="N583" t="str">
        <f>IF(ISBLANK(JP!M587),"","x")</f>
        <v/>
      </c>
      <c r="O583" t="str">
        <f>IF(ISBLANK(JP!N587),"","x")</f>
        <v/>
      </c>
      <c r="P583" t="str">
        <f>IF(ISBLANK(JP!O587),"","x")</f>
        <v/>
      </c>
      <c r="Q583" t="str">
        <f>IF(ISBLANK(JP!P587),"","x")</f>
        <v/>
      </c>
      <c r="R583" t="str">
        <f>IF(ISBLANK(JP!Q587),"","x")</f>
        <v/>
      </c>
      <c r="S583" t="str">
        <f>IF(ISBLANK(JP!R587),"","x")</f>
        <v/>
      </c>
      <c r="T583" t="str">
        <f>IF(ISBLANK(JP!T587),"","x")</f>
        <v/>
      </c>
      <c r="U583" t="str">
        <f>IF(ISBLANK(JP!U587),"","x")</f>
        <v/>
      </c>
      <c r="V583" t="str">
        <f>IF(ISBLANK(JP!V587),"","x")</f>
        <v/>
      </c>
      <c r="W583" t="str">
        <f>IF(ISBLANK(JP!W587),"","x")</f>
        <v/>
      </c>
      <c r="X583" t="str">
        <f>IF(ISBLANK(JP!X587),"","x")</f>
        <v/>
      </c>
      <c r="Y583" t="str">
        <f>IF(ISBLANK(JP!Y587),"","x")</f>
        <v/>
      </c>
      <c r="Z583" t="str">
        <f>IF(ISBLANK(JP!Z587),"","x")</f>
        <v/>
      </c>
      <c r="AA583" t="str">
        <f>IF(ISBLANK(JP!AB587),"","x")</f>
        <v/>
      </c>
      <c r="AB583" t="str">
        <f>IF(ISBLANK(JP!AC587),"","x")</f>
        <v/>
      </c>
      <c r="AC583" t="str">
        <f>IF(ISBLANK(JP!AD587),"","x")</f>
        <v/>
      </c>
      <c r="AD583" t="str">
        <f>IF(ISBLANK(JP!AE587),"","x")</f>
        <v/>
      </c>
      <c r="AE583" t="str">
        <f>IF(ISBLANK(JP!AF587),"","x")</f>
        <v/>
      </c>
      <c r="AF583" t="str">
        <f>IF(ISBLANK(JP!AG587),"","x")</f>
        <v/>
      </c>
      <c r="AG583" t="str">
        <f>IF(ISBLANK(JP!AH587),"","x")</f>
        <v/>
      </c>
      <c r="AH583" t="str">
        <f>IF(ISBLANK(JP!AJ587),"","x")</f>
        <v/>
      </c>
      <c r="AI583" t="str">
        <f>IF(ISBLANK(JP!AK587),"","x")</f>
        <v/>
      </c>
      <c r="AJ583" t="str">
        <f>IF(ISBLANK(JP!AL587),"","x")</f>
        <v/>
      </c>
      <c r="AK583" t="str">
        <f>IF(ISBLANK(JP!AM587),"","x")</f>
        <v/>
      </c>
      <c r="AL583" t="str">
        <f>IF(ISBLANK(JP!AN587),"","x")</f>
        <v/>
      </c>
      <c r="AM583" t="str">
        <f>IF(ISBLANK(JP!AO587),"","x")</f>
        <v/>
      </c>
      <c r="AN583" t="str">
        <f>IF(ISBLANK(JP!AP587),"","x")</f>
        <v/>
      </c>
      <c r="AO583" t="str">
        <f>IF(ISBLANK(JP!AR587),"","x")</f>
        <v/>
      </c>
      <c r="AP583" t="str">
        <f>IF(ISBLANK(JP!AS587),"","x")</f>
        <v/>
      </c>
      <c r="AQ583" t="str">
        <f>IF(ISBLANK(JP!AT587),"","x")</f>
        <v/>
      </c>
      <c r="AR583" t="str">
        <f>IF(ISBLANK(JP!AU587),"","x")</f>
        <v/>
      </c>
      <c r="AS583" t="str">
        <f>IF(ISBLANK(JP!AV587),"","x")</f>
        <v/>
      </c>
      <c r="AT583" t="str">
        <f>IF(ISBLANK(JP!AW587),"","x")</f>
        <v/>
      </c>
      <c r="AU583" t="str">
        <f>IF(ISBLANK(JP!AX587),"","x")</f>
        <v/>
      </c>
    </row>
    <row r="584" spans="2:47">
      <c r="B584" t="str">
        <f>IF(ISBLANK(JP!AZ588),"",JP!AZ588)</f>
        <v/>
      </c>
      <c r="C584" t="str">
        <f>IF(ISBLANK(JP!BA588),"",JP!BA588)</f>
        <v/>
      </c>
      <c r="D584" t="str">
        <f>IF(ISBLANK(JP!BC588),"",JP!BC588)</f>
        <v/>
      </c>
      <c r="E584" t="str">
        <f>IF(ISBLANK(JP!BB588),"",JP!BB588)</f>
        <v/>
      </c>
      <c r="F584" t="str">
        <f>IF(ISBLANK(JP!D588),"","x")</f>
        <v/>
      </c>
      <c r="G584" t="str">
        <f>IF(ISBLANK(JP!E588),"","x")</f>
        <v/>
      </c>
      <c r="H584" t="str">
        <f>IF(ISBLANK(JP!F588),"","x")</f>
        <v/>
      </c>
      <c r="I584" t="str">
        <f>IF(ISBLANK(JP!G588),"","x")</f>
        <v/>
      </c>
      <c r="J584" t="str">
        <f>IF(ISBLANK(JP!H588),"","x")</f>
        <v/>
      </c>
      <c r="K584" t="str">
        <f>IF(ISBLANK(JP!I588),"","x")</f>
        <v/>
      </c>
      <c r="L584" t="str">
        <f>IF(ISBLANK(JP!J588),"","x")</f>
        <v/>
      </c>
      <c r="M584" t="str">
        <f>IF(ISBLANK(JP!L588),"","x")</f>
        <v/>
      </c>
      <c r="N584" t="str">
        <f>IF(ISBLANK(JP!M588),"","x")</f>
        <v/>
      </c>
      <c r="O584" t="str">
        <f>IF(ISBLANK(JP!N588),"","x")</f>
        <v/>
      </c>
      <c r="P584" t="str">
        <f>IF(ISBLANK(JP!O588),"","x")</f>
        <v/>
      </c>
      <c r="Q584" t="str">
        <f>IF(ISBLANK(JP!P588),"","x")</f>
        <v/>
      </c>
      <c r="R584" t="str">
        <f>IF(ISBLANK(JP!Q588),"","x")</f>
        <v/>
      </c>
      <c r="S584" t="str">
        <f>IF(ISBLANK(JP!R588),"","x")</f>
        <v/>
      </c>
      <c r="T584" t="str">
        <f>IF(ISBLANK(JP!T588),"","x")</f>
        <v/>
      </c>
      <c r="U584" t="str">
        <f>IF(ISBLANK(JP!U588),"","x")</f>
        <v/>
      </c>
      <c r="V584" t="str">
        <f>IF(ISBLANK(JP!V588),"","x")</f>
        <v/>
      </c>
      <c r="W584" t="str">
        <f>IF(ISBLANK(JP!W588),"","x")</f>
        <v/>
      </c>
      <c r="X584" t="str">
        <f>IF(ISBLANK(JP!X588),"","x")</f>
        <v/>
      </c>
      <c r="Y584" t="str">
        <f>IF(ISBLANK(JP!Y588),"","x")</f>
        <v/>
      </c>
      <c r="Z584" t="str">
        <f>IF(ISBLANK(JP!Z588),"","x")</f>
        <v/>
      </c>
      <c r="AA584" t="str">
        <f>IF(ISBLANK(JP!AB588),"","x")</f>
        <v/>
      </c>
      <c r="AB584" t="str">
        <f>IF(ISBLANK(JP!AC588),"","x")</f>
        <v/>
      </c>
      <c r="AC584" t="str">
        <f>IF(ISBLANK(JP!AD588),"","x")</f>
        <v/>
      </c>
      <c r="AD584" t="str">
        <f>IF(ISBLANK(JP!AE588),"","x")</f>
        <v/>
      </c>
      <c r="AE584" t="str">
        <f>IF(ISBLANK(JP!AF588),"","x")</f>
        <v/>
      </c>
      <c r="AF584" t="str">
        <f>IF(ISBLANK(JP!AG588),"","x")</f>
        <v/>
      </c>
      <c r="AG584" t="str">
        <f>IF(ISBLANK(JP!AH588),"","x")</f>
        <v/>
      </c>
      <c r="AH584" t="str">
        <f>IF(ISBLANK(JP!AJ588),"","x")</f>
        <v/>
      </c>
      <c r="AI584" t="str">
        <f>IF(ISBLANK(JP!AK588),"","x")</f>
        <v/>
      </c>
      <c r="AJ584" t="str">
        <f>IF(ISBLANK(JP!AL588),"","x")</f>
        <v/>
      </c>
      <c r="AK584" t="str">
        <f>IF(ISBLANK(JP!AM588),"","x")</f>
        <v/>
      </c>
      <c r="AL584" t="str">
        <f>IF(ISBLANK(JP!AN588),"","x")</f>
        <v/>
      </c>
      <c r="AM584" t="str">
        <f>IF(ISBLANK(JP!AO588),"","x")</f>
        <v/>
      </c>
      <c r="AN584" t="str">
        <f>IF(ISBLANK(JP!AP588),"","x")</f>
        <v/>
      </c>
      <c r="AO584" t="str">
        <f>IF(ISBLANK(JP!AR588),"","x")</f>
        <v/>
      </c>
      <c r="AP584" t="str">
        <f>IF(ISBLANK(JP!AS588),"","x")</f>
        <v/>
      </c>
      <c r="AQ584" t="str">
        <f>IF(ISBLANK(JP!AT588),"","x")</f>
        <v/>
      </c>
      <c r="AR584" t="str">
        <f>IF(ISBLANK(JP!AU588),"","x")</f>
        <v/>
      </c>
      <c r="AS584" t="str">
        <f>IF(ISBLANK(JP!AV588),"","x")</f>
        <v/>
      </c>
      <c r="AT584" t="str">
        <f>IF(ISBLANK(JP!AW588),"","x")</f>
        <v/>
      </c>
      <c r="AU584" t="str">
        <f>IF(ISBLANK(JP!AX588),"","x")</f>
        <v/>
      </c>
    </row>
    <row r="585" spans="2:47">
      <c r="B585" t="str">
        <f>IF(ISBLANK(JP!AZ589),"",JP!AZ589)</f>
        <v/>
      </c>
      <c r="C585" t="str">
        <f>IF(ISBLANK(JP!BA589),"",JP!BA589)</f>
        <v/>
      </c>
      <c r="D585" t="str">
        <f>IF(ISBLANK(JP!BC589),"",JP!BC589)</f>
        <v/>
      </c>
      <c r="E585" t="str">
        <f>IF(ISBLANK(JP!BB589),"",JP!BB589)</f>
        <v/>
      </c>
      <c r="F585" t="str">
        <f>IF(ISBLANK(JP!D589),"","x")</f>
        <v/>
      </c>
      <c r="G585" t="str">
        <f>IF(ISBLANK(JP!E589),"","x")</f>
        <v/>
      </c>
      <c r="H585" t="str">
        <f>IF(ISBLANK(JP!F589),"","x")</f>
        <v/>
      </c>
      <c r="I585" t="str">
        <f>IF(ISBLANK(JP!G589),"","x")</f>
        <v/>
      </c>
      <c r="J585" t="str">
        <f>IF(ISBLANK(JP!H589),"","x")</f>
        <v/>
      </c>
      <c r="K585" t="str">
        <f>IF(ISBLANK(JP!I589),"","x")</f>
        <v/>
      </c>
      <c r="L585" t="str">
        <f>IF(ISBLANK(JP!J589),"","x")</f>
        <v/>
      </c>
      <c r="M585" t="str">
        <f>IF(ISBLANK(JP!L589),"","x")</f>
        <v/>
      </c>
      <c r="N585" t="str">
        <f>IF(ISBLANK(JP!M589),"","x")</f>
        <v/>
      </c>
      <c r="O585" t="str">
        <f>IF(ISBLANK(JP!N589),"","x")</f>
        <v/>
      </c>
      <c r="P585" t="str">
        <f>IF(ISBLANK(JP!O589),"","x")</f>
        <v/>
      </c>
      <c r="Q585" t="str">
        <f>IF(ISBLANK(JP!P589),"","x")</f>
        <v/>
      </c>
      <c r="R585" t="str">
        <f>IF(ISBLANK(JP!Q589),"","x")</f>
        <v/>
      </c>
      <c r="S585" t="str">
        <f>IF(ISBLANK(JP!R589),"","x")</f>
        <v/>
      </c>
      <c r="T585" t="str">
        <f>IF(ISBLANK(JP!T589),"","x")</f>
        <v/>
      </c>
      <c r="U585" t="str">
        <f>IF(ISBLANK(JP!U589),"","x")</f>
        <v/>
      </c>
      <c r="V585" t="str">
        <f>IF(ISBLANK(JP!V589),"","x")</f>
        <v/>
      </c>
      <c r="W585" t="str">
        <f>IF(ISBLANK(JP!W589),"","x")</f>
        <v/>
      </c>
      <c r="X585" t="str">
        <f>IF(ISBLANK(JP!X589),"","x")</f>
        <v/>
      </c>
      <c r="Y585" t="str">
        <f>IF(ISBLANK(JP!Y589),"","x")</f>
        <v/>
      </c>
      <c r="Z585" t="str">
        <f>IF(ISBLANK(JP!Z589),"","x")</f>
        <v/>
      </c>
      <c r="AA585" t="str">
        <f>IF(ISBLANK(JP!AB589),"","x")</f>
        <v/>
      </c>
      <c r="AB585" t="str">
        <f>IF(ISBLANK(JP!AC589),"","x")</f>
        <v/>
      </c>
      <c r="AC585" t="str">
        <f>IF(ISBLANK(JP!AD589),"","x")</f>
        <v/>
      </c>
      <c r="AD585" t="str">
        <f>IF(ISBLANK(JP!AE589),"","x")</f>
        <v/>
      </c>
      <c r="AE585" t="str">
        <f>IF(ISBLANK(JP!AF589),"","x")</f>
        <v/>
      </c>
      <c r="AF585" t="str">
        <f>IF(ISBLANK(JP!AG589),"","x")</f>
        <v/>
      </c>
      <c r="AG585" t="str">
        <f>IF(ISBLANK(JP!AH589),"","x")</f>
        <v/>
      </c>
      <c r="AH585" t="str">
        <f>IF(ISBLANK(JP!AJ589),"","x")</f>
        <v/>
      </c>
      <c r="AI585" t="str">
        <f>IF(ISBLANK(JP!AK589),"","x")</f>
        <v/>
      </c>
      <c r="AJ585" t="str">
        <f>IF(ISBLANK(JP!AL589),"","x")</f>
        <v/>
      </c>
      <c r="AK585" t="str">
        <f>IF(ISBLANK(JP!AM589),"","x")</f>
        <v/>
      </c>
      <c r="AL585" t="str">
        <f>IF(ISBLANK(JP!AN589),"","x")</f>
        <v/>
      </c>
      <c r="AM585" t="str">
        <f>IF(ISBLANK(JP!AO589),"","x")</f>
        <v/>
      </c>
      <c r="AN585" t="str">
        <f>IF(ISBLANK(JP!AP589),"","x")</f>
        <v/>
      </c>
      <c r="AO585" t="str">
        <f>IF(ISBLANK(JP!AR589),"","x")</f>
        <v/>
      </c>
      <c r="AP585" t="str">
        <f>IF(ISBLANK(JP!AS589),"","x")</f>
        <v/>
      </c>
      <c r="AQ585" t="str">
        <f>IF(ISBLANK(JP!AT589),"","x")</f>
        <v/>
      </c>
      <c r="AR585" t="str">
        <f>IF(ISBLANK(JP!AU589),"","x")</f>
        <v/>
      </c>
      <c r="AS585" t="str">
        <f>IF(ISBLANK(JP!AV589),"","x")</f>
        <v/>
      </c>
      <c r="AT585" t="str">
        <f>IF(ISBLANK(JP!AW589),"","x")</f>
        <v/>
      </c>
      <c r="AU585" t="str">
        <f>IF(ISBLANK(JP!AX589),"","x")</f>
        <v/>
      </c>
    </row>
    <row r="586" spans="2:47">
      <c r="B586" t="str">
        <f>IF(ISBLANK(JP!AZ590),"",JP!AZ590)</f>
        <v/>
      </c>
      <c r="C586" t="str">
        <f>IF(ISBLANK(JP!BA590),"",JP!BA590)</f>
        <v/>
      </c>
      <c r="D586" t="str">
        <f>IF(ISBLANK(JP!BC590),"",JP!BC590)</f>
        <v/>
      </c>
      <c r="E586" t="str">
        <f>IF(ISBLANK(JP!BB590),"",JP!BB590)</f>
        <v/>
      </c>
      <c r="F586" t="str">
        <f>IF(ISBLANK(JP!D590),"","x")</f>
        <v/>
      </c>
      <c r="G586" t="str">
        <f>IF(ISBLANK(JP!E590),"","x")</f>
        <v/>
      </c>
      <c r="H586" t="str">
        <f>IF(ISBLANK(JP!F590),"","x")</f>
        <v/>
      </c>
      <c r="I586" t="str">
        <f>IF(ISBLANK(JP!G590),"","x")</f>
        <v/>
      </c>
      <c r="J586" t="str">
        <f>IF(ISBLANK(JP!H590),"","x")</f>
        <v/>
      </c>
      <c r="K586" t="str">
        <f>IF(ISBLANK(JP!I590),"","x")</f>
        <v/>
      </c>
      <c r="L586" t="str">
        <f>IF(ISBLANK(JP!J590),"","x")</f>
        <v/>
      </c>
      <c r="M586" t="str">
        <f>IF(ISBLANK(JP!L590),"","x")</f>
        <v/>
      </c>
      <c r="N586" t="str">
        <f>IF(ISBLANK(JP!M590),"","x")</f>
        <v/>
      </c>
      <c r="O586" t="str">
        <f>IF(ISBLANK(JP!N590),"","x")</f>
        <v/>
      </c>
      <c r="P586" t="str">
        <f>IF(ISBLANK(JP!O590),"","x")</f>
        <v/>
      </c>
      <c r="Q586" t="str">
        <f>IF(ISBLANK(JP!P590),"","x")</f>
        <v/>
      </c>
      <c r="R586" t="str">
        <f>IF(ISBLANK(JP!Q590),"","x")</f>
        <v/>
      </c>
      <c r="S586" t="str">
        <f>IF(ISBLANK(JP!R590),"","x")</f>
        <v/>
      </c>
      <c r="T586" t="str">
        <f>IF(ISBLANK(JP!T590),"","x")</f>
        <v/>
      </c>
      <c r="U586" t="str">
        <f>IF(ISBLANK(JP!U590),"","x")</f>
        <v/>
      </c>
      <c r="V586" t="str">
        <f>IF(ISBLANK(JP!V590),"","x")</f>
        <v/>
      </c>
      <c r="W586" t="str">
        <f>IF(ISBLANK(JP!W590),"","x")</f>
        <v/>
      </c>
      <c r="X586" t="str">
        <f>IF(ISBLANK(JP!X590),"","x")</f>
        <v/>
      </c>
      <c r="Y586" t="str">
        <f>IF(ISBLANK(JP!Y590),"","x")</f>
        <v/>
      </c>
      <c r="Z586" t="str">
        <f>IF(ISBLANK(JP!Z590),"","x")</f>
        <v/>
      </c>
      <c r="AA586" t="str">
        <f>IF(ISBLANK(JP!AB590),"","x")</f>
        <v/>
      </c>
      <c r="AB586" t="str">
        <f>IF(ISBLANK(JP!AC590),"","x")</f>
        <v/>
      </c>
      <c r="AC586" t="str">
        <f>IF(ISBLANK(JP!AD590),"","x")</f>
        <v/>
      </c>
      <c r="AD586" t="str">
        <f>IF(ISBLANK(JP!AE590),"","x")</f>
        <v/>
      </c>
      <c r="AE586" t="str">
        <f>IF(ISBLANK(JP!AF590),"","x")</f>
        <v/>
      </c>
      <c r="AF586" t="str">
        <f>IF(ISBLANK(JP!AG590),"","x")</f>
        <v/>
      </c>
      <c r="AG586" t="str">
        <f>IF(ISBLANK(JP!AH590),"","x")</f>
        <v/>
      </c>
      <c r="AH586" t="str">
        <f>IF(ISBLANK(JP!AJ590),"","x")</f>
        <v/>
      </c>
      <c r="AI586" t="str">
        <f>IF(ISBLANK(JP!AK590),"","x")</f>
        <v/>
      </c>
      <c r="AJ586" t="str">
        <f>IF(ISBLANK(JP!AL590),"","x")</f>
        <v/>
      </c>
      <c r="AK586" t="str">
        <f>IF(ISBLANK(JP!AM590),"","x")</f>
        <v/>
      </c>
      <c r="AL586" t="str">
        <f>IF(ISBLANK(JP!AN590),"","x")</f>
        <v/>
      </c>
      <c r="AM586" t="str">
        <f>IF(ISBLANK(JP!AO590),"","x")</f>
        <v/>
      </c>
      <c r="AN586" t="str">
        <f>IF(ISBLANK(JP!AP590),"","x")</f>
        <v/>
      </c>
      <c r="AO586" t="str">
        <f>IF(ISBLANK(JP!AR590),"","x")</f>
        <v/>
      </c>
      <c r="AP586" t="str">
        <f>IF(ISBLANK(JP!AS590),"","x")</f>
        <v/>
      </c>
      <c r="AQ586" t="str">
        <f>IF(ISBLANK(JP!AT590),"","x")</f>
        <v/>
      </c>
      <c r="AR586" t="str">
        <f>IF(ISBLANK(JP!AU590),"","x")</f>
        <v/>
      </c>
      <c r="AS586" t="str">
        <f>IF(ISBLANK(JP!AV590),"","x")</f>
        <v/>
      </c>
      <c r="AT586" t="str">
        <f>IF(ISBLANK(JP!AW590),"","x")</f>
        <v/>
      </c>
      <c r="AU586" t="str">
        <f>IF(ISBLANK(JP!AX590),"","x")</f>
        <v/>
      </c>
    </row>
    <row r="587" spans="2:47">
      <c r="B587" t="str">
        <f>IF(ISBLANK(JP!AZ591),"",JP!AZ591)</f>
        <v/>
      </c>
      <c r="C587" t="str">
        <f>IF(ISBLANK(JP!BA591),"",JP!BA591)</f>
        <v/>
      </c>
      <c r="D587" t="str">
        <f>IF(ISBLANK(JP!BC591),"",JP!BC591)</f>
        <v/>
      </c>
      <c r="E587" t="str">
        <f>IF(ISBLANK(JP!BB591),"",JP!BB591)</f>
        <v/>
      </c>
      <c r="F587" t="str">
        <f>IF(ISBLANK(JP!D591),"","x")</f>
        <v/>
      </c>
      <c r="G587" t="str">
        <f>IF(ISBLANK(JP!E591),"","x")</f>
        <v/>
      </c>
      <c r="H587" t="str">
        <f>IF(ISBLANK(JP!F591),"","x")</f>
        <v/>
      </c>
      <c r="I587" t="str">
        <f>IF(ISBLANK(JP!G591),"","x")</f>
        <v/>
      </c>
      <c r="J587" t="str">
        <f>IF(ISBLANK(JP!H591),"","x")</f>
        <v/>
      </c>
      <c r="K587" t="str">
        <f>IF(ISBLANK(JP!I591),"","x")</f>
        <v/>
      </c>
      <c r="L587" t="str">
        <f>IF(ISBLANK(JP!J591),"","x")</f>
        <v/>
      </c>
      <c r="M587" t="str">
        <f>IF(ISBLANK(JP!L591),"","x")</f>
        <v/>
      </c>
      <c r="N587" t="str">
        <f>IF(ISBLANK(JP!M591),"","x")</f>
        <v/>
      </c>
      <c r="O587" t="str">
        <f>IF(ISBLANK(JP!N591),"","x")</f>
        <v/>
      </c>
      <c r="P587" t="str">
        <f>IF(ISBLANK(JP!O591),"","x")</f>
        <v/>
      </c>
      <c r="Q587" t="str">
        <f>IF(ISBLANK(JP!P591),"","x")</f>
        <v/>
      </c>
      <c r="R587" t="str">
        <f>IF(ISBLANK(JP!Q591),"","x")</f>
        <v/>
      </c>
      <c r="S587" t="str">
        <f>IF(ISBLANK(JP!R591),"","x")</f>
        <v/>
      </c>
      <c r="T587" t="str">
        <f>IF(ISBLANK(JP!T591),"","x")</f>
        <v/>
      </c>
      <c r="U587" t="str">
        <f>IF(ISBLANK(JP!U591),"","x")</f>
        <v/>
      </c>
      <c r="V587" t="str">
        <f>IF(ISBLANK(JP!V591),"","x")</f>
        <v/>
      </c>
      <c r="W587" t="str">
        <f>IF(ISBLANK(JP!W591),"","x")</f>
        <v/>
      </c>
      <c r="X587" t="str">
        <f>IF(ISBLANK(JP!X591),"","x")</f>
        <v/>
      </c>
      <c r="Y587" t="str">
        <f>IF(ISBLANK(JP!Y591),"","x")</f>
        <v/>
      </c>
      <c r="Z587" t="str">
        <f>IF(ISBLANK(JP!Z591),"","x")</f>
        <v/>
      </c>
      <c r="AA587" t="str">
        <f>IF(ISBLANK(JP!AB591),"","x")</f>
        <v/>
      </c>
      <c r="AB587" t="str">
        <f>IF(ISBLANK(JP!AC591),"","x")</f>
        <v/>
      </c>
      <c r="AC587" t="str">
        <f>IF(ISBLANK(JP!AD591),"","x")</f>
        <v/>
      </c>
      <c r="AD587" t="str">
        <f>IF(ISBLANK(JP!AE591),"","x")</f>
        <v/>
      </c>
      <c r="AE587" t="str">
        <f>IF(ISBLANK(JP!AF591),"","x")</f>
        <v/>
      </c>
      <c r="AF587" t="str">
        <f>IF(ISBLANK(JP!AG591),"","x")</f>
        <v/>
      </c>
      <c r="AG587" t="str">
        <f>IF(ISBLANK(JP!AH591),"","x")</f>
        <v/>
      </c>
      <c r="AH587" t="str">
        <f>IF(ISBLANK(JP!AJ591),"","x")</f>
        <v/>
      </c>
      <c r="AI587" t="str">
        <f>IF(ISBLANK(JP!AK591),"","x")</f>
        <v/>
      </c>
      <c r="AJ587" t="str">
        <f>IF(ISBLANK(JP!AL591),"","x")</f>
        <v/>
      </c>
      <c r="AK587" t="str">
        <f>IF(ISBLANK(JP!AM591),"","x")</f>
        <v/>
      </c>
      <c r="AL587" t="str">
        <f>IF(ISBLANK(JP!AN591),"","x")</f>
        <v/>
      </c>
      <c r="AM587" t="str">
        <f>IF(ISBLANK(JP!AO591),"","x")</f>
        <v/>
      </c>
      <c r="AN587" t="str">
        <f>IF(ISBLANK(JP!AP591),"","x")</f>
        <v/>
      </c>
      <c r="AO587" t="str">
        <f>IF(ISBLANK(JP!AR591),"","x")</f>
        <v/>
      </c>
      <c r="AP587" t="str">
        <f>IF(ISBLANK(JP!AS591),"","x")</f>
        <v/>
      </c>
      <c r="AQ587" t="str">
        <f>IF(ISBLANK(JP!AT591),"","x")</f>
        <v/>
      </c>
      <c r="AR587" t="str">
        <f>IF(ISBLANK(JP!AU591),"","x")</f>
        <v/>
      </c>
      <c r="AS587" t="str">
        <f>IF(ISBLANK(JP!AV591),"","x")</f>
        <v/>
      </c>
      <c r="AT587" t="str">
        <f>IF(ISBLANK(JP!AW591),"","x")</f>
        <v/>
      </c>
      <c r="AU587" t="str">
        <f>IF(ISBLANK(JP!AX591),"","x")</f>
        <v/>
      </c>
    </row>
    <row r="588" spans="2:47">
      <c r="B588" t="str">
        <f>IF(ISBLANK(JP!AZ592),"",JP!AZ592)</f>
        <v/>
      </c>
      <c r="C588" t="str">
        <f>IF(ISBLANK(JP!BA592),"",JP!BA592)</f>
        <v/>
      </c>
      <c r="D588" t="str">
        <f>IF(ISBLANK(JP!BC592),"",JP!BC592)</f>
        <v/>
      </c>
      <c r="E588" t="str">
        <f>IF(ISBLANK(JP!BB592),"",JP!BB592)</f>
        <v/>
      </c>
      <c r="F588" t="str">
        <f>IF(ISBLANK(JP!D592),"","x")</f>
        <v/>
      </c>
      <c r="G588" t="str">
        <f>IF(ISBLANK(JP!E592),"","x")</f>
        <v/>
      </c>
      <c r="H588" t="str">
        <f>IF(ISBLANK(JP!F592),"","x")</f>
        <v/>
      </c>
      <c r="I588" t="str">
        <f>IF(ISBLANK(JP!G592),"","x")</f>
        <v/>
      </c>
      <c r="J588" t="str">
        <f>IF(ISBLANK(JP!H592),"","x")</f>
        <v/>
      </c>
      <c r="K588" t="str">
        <f>IF(ISBLANK(JP!I592),"","x")</f>
        <v/>
      </c>
      <c r="L588" t="str">
        <f>IF(ISBLANK(JP!J592),"","x")</f>
        <v/>
      </c>
      <c r="M588" t="str">
        <f>IF(ISBLANK(JP!L592),"","x")</f>
        <v/>
      </c>
      <c r="N588" t="str">
        <f>IF(ISBLANK(JP!M592),"","x")</f>
        <v/>
      </c>
      <c r="O588" t="str">
        <f>IF(ISBLANK(JP!N592),"","x")</f>
        <v/>
      </c>
      <c r="P588" t="str">
        <f>IF(ISBLANK(JP!O592),"","x")</f>
        <v/>
      </c>
      <c r="Q588" t="str">
        <f>IF(ISBLANK(JP!P592),"","x")</f>
        <v/>
      </c>
      <c r="R588" t="str">
        <f>IF(ISBLANK(JP!Q592),"","x")</f>
        <v/>
      </c>
      <c r="S588" t="str">
        <f>IF(ISBLANK(JP!R592),"","x")</f>
        <v/>
      </c>
      <c r="T588" t="str">
        <f>IF(ISBLANK(JP!T592),"","x")</f>
        <v/>
      </c>
      <c r="U588" t="str">
        <f>IF(ISBLANK(JP!U592),"","x")</f>
        <v/>
      </c>
      <c r="V588" t="str">
        <f>IF(ISBLANK(JP!V592),"","x")</f>
        <v/>
      </c>
      <c r="W588" t="str">
        <f>IF(ISBLANK(JP!W592),"","x")</f>
        <v/>
      </c>
      <c r="X588" t="str">
        <f>IF(ISBLANK(JP!X592),"","x")</f>
        <v/>
      </c>
      <c r="Y588" t="str">
        <f>IF(ISBLANK(JP!Y592),"","x")</f>
        <v/>
      </c>
      <c r="Z588" t="str">
        <f>IF(ISBLANK(JP!Z592),"","x")</f>
        <v/>
      </c>
      <c r="AA588" t="str">
        <f>IF(ISBLANK(JP!AB592),"","x")</f>
        <v/>
      </c>
      <c r="AB588" t="str">
        <f>IF(ISBLANK(JP!AC592),"","x")</f>
        <v/>
      </c>
      <c r="AC588" t="str">
        <f>IF(ISBLANK(JP!AD592),"","x")</f>
        <v/>
      </c>
      <c r="AD588" t="str">
        <f>IF(ISBLANK(JP!AE592),"","x")</f>
        <v/>
      </c>
      <c r="AE588" t="str">
        <f>IF(ISBLANK(JP!AF592),"","x")</f>
        <v/>
      </c>
      <c r="AF588" t="str">
        <f>IF(ISBLANK(JP!AG592),"","x")</f>
        <v/>
      </c>
      <c r="AG588" t="str">
        <f>IF(ISBLANK(JP!AH592),"","x")</f>
        <v/>
      </c>
      <c r="AH588" t="str">
        <f>IF(ISBLANK(JP!AJ592),"","x")</f>
        <v/>
      </c>
      <c r="AI588" t="str">
        <f>IF(ISBLANK(JP!AK592),"","x")</f>
        <v/>
      </c>
      <c r="AJ588" t="str">
        <f>IF(ISBLANK(JP!AL592),"","x")</f>
        <v/>
      </c>
      <c r="AK588" t="str">
        <f>IF(ISBLANK(JP!AM592),"","x")</f>
        <v/>
      </c>
      <c r="AL588" t="str">
        <f>IF(ISBLANK(JP!AN592),"","x")</f>
        <v/>
      </c>
      <c r="AM588" t="str">
        <f>IF(ISBLANK(JP!AO592),"","x")</f>
        <v/>
      </c>
      <c r="AN588" t="str">
        <f>IF(ISBLANK(JP!AP592),"","x")</f>
        <v/>
      </c>
      <c r="AO588" t="str">
        <f>IF(ISBLANK(JP!AR592),"","x")</f>
        <v/>
      </c>
      <c r="AP588" t="str">
        <f>IF(ISBLANK(JP!AS592),"","x")</f>
        <v/>
      </c>
      <c r="AQ588" t="str">
        <f>IF(ISBLANK(JP!AT592),"","x")</f>
        <v/>
      </c>
      <c r="AR588" t="str">
        <f>IF(ISBLANK(JP!AU592),"","x")</f>
        <v/>
      </c>
      <c r="AS588" t="str">
        <f>IF(ISBLANK(JP!AV592),"","x")</f>
        <v/>
      </c>
      <c r="AT588" t="str">
        <f>IF(ISBLANK(JP!AW592),"","x")</f>
        <v/>
      </c>
      <c r="AU588" t="str">
        <f>IF(ISBLANK(JP!AX592),"","x")</f>
        <v/>
      </c>
    </row>
    <row r="589" spans="2:47">
      <c r="B589" t="str">
        <f>IF(ISBLANK(JP!AZ593),"",JP!AZ593)</f>
        <v/>
      </c>
      <c r="C589" t="str">
        <f>IF(ISBLANK(JP!BA593),"",JP!BA593)</f>
        <v/>
      </c>
      <c r="D589" t="str">
        <f>IF(ISBLANK(JP!BC593),"",JP!BC593)</f>
        <v/>
      </c>
      <c r="E589" t="str">
        <f>IF(ISBLANK(JP!BB593),"",JP!BB593)</f>
        <v/>
      </c>
      <c r="F589" t="str">
        <f>IF(ISBLANK(JP!D593),"","x")</f>
        <v/>
      </c>
      <c r="G589" t="str">
        <f>IF(ISBLANK(JP!E593),"","x")</f>
        <v/>
      </c>
      <c r="H589" t="str">
        <f>IF(ISBLANK(JP!F593),"","x")</f>
        <v/>
      </c>
      <c r="I589" t="str">
        <f>IF(ISBLANK(JP!G593),"","x")</f>
        <v/>
      </c>
      <c r="J589" t="str">
        <f>IF(ISBLANK(JP!H593),"","x")</f>
        <v/>
      </c>
      <c r="K589" t="str">
        <f>IF(ISBLANK(JP!I593),"","x")</f>
        <v/>
      </c>
      <c r="L589" t="str">
        <f>IF(ISBLANK(JP!J593),"","x")</f>
        <v/>
      </c>
      <c r="M589" t="str">
        <f>IF(ISBLANK(JP!L593),"","x")</f>
        <v/>
      </c>
      <c r="N589" t="str">
        <f>IF(ISBLANK(JP!M593),"","x")</f>
        <v/>
      </c>
      <c r="O589" t="str">
        <f>IF(ISBLANK(JP!N593),"","x")</f>
        <v/>
      </c>
      <c r="P589" t="str">
        <f>IF(ISBLANK(JP!O593),"","x")</f>
        <v/>
      </c>
      <c r="Q589" t="str">
        <f>IF(ISBLANK(JP!P593),"","x")</f>
        <v/>
      </c>
      <c r="R589" t="str">
        <f>IF(ISBLANK(JP!Q593),"","x")</f>
        <v/>
      </c>
      <c r="S589" t="str">
        <f>IF(ISBLANK(JP!R593),"","x")</f>
        <v/>
      </c>
      <c r="T589" t="str">
        <f>IF(ISBLANK(JP!T593),"","x")</f>
        <v/>
      </c>
      <c r="U589" t="str">
        <f>IF(ISBLANK(JP!U593),"","x")</f>
        <v/>
      </c>
      <c r="V589" t="str">
        <f>IF(ISBLANK(JP!V593),"","x")</f>
        <v/>
      </c>
      <c r="W589" t="str">
        <f>IF(ISBLANK(JP!W593),"","x")</f>
        <v/>
      </c>
      <c r="X589" t="str">
        <f>IF(ISBLANK(JP!X593),"","x")</f>
        <v/>
      </c>
      <c r="Y589" t="str">
        <f>IF(ISBLANK(JP!Y593),"","x")</f>
        <v/>
      </c>
      <c r="Z589" t="str">
        <f>IF(ISBLANK(JP!Z593),"","x")</f>
        <v/>
      </c>
      <c r="AA589" t="str">
        <f>IF(ISBLANK(JP!AB593),"","x")</f>
        <v/>
      </c>
      <c r="AB589" t="str">
        <f>IF(ISBLANK(JP!AC593),"","x")</f>
        <v/>
      </c>
      <c r="AC589" t="str">
        <f>IF(ISBLANK(JP!AD593),"","x")</f>
        <v/>
      </c>
      <c r="AD589" t="str">
        <f>IF(ISBLANK(JP!AE593),"","x")</f>
        <v/>
      </c>
      <c r="AE589" t="str">
        <f>IF(ISBLANK(JP!AF593),"","x")</f>
        <v/>
      </c>
      <c r="AF589" t="str">
        <f>IF(ISBLANK(JP!AG593),"","x")</f>
        <v/>
      </c>
      <c r="AG589" t="str">
        <f>IF(ISBLANK(JP!AH593),"","x")</f>
        <v/>
      </c>
      <c r="AH589" t="str">
        <f>IF(ISBLANK(JP!AJ593),"","x")</f>
        <v/>
      </c>
      <c r="AI589" t="str">
        <f>IF(ISBLANK(JP!AK593),"","x")</f>
        <v/>
      </c>
      <c r="AJ589" t="str">
        <f>IF(ISBLANK(JP!AL593),"","x")</f>
        <v/>
      </c>
      <c r="AK589" t="str">
        <f>IF(ISBLANK(JP!AM593),"","x")</f>
        <v/>
      </c>
      <c r="AL589" t="str">
        <f>IF(ISBLANK(JP!AN593),"","x")</f>
        <v/>
      </c>
      <c r="AM589" t="str">
        <f>IF(ISBLANK(JP!AO593),"","x")</f>
        <v/>
      </c>
      <c r="AN589" t="str">
        <f>IF(ISBLANK(JP!AP593),"","x")</f>
        <v/>
      </c>
      <c r="AO589" t="str">
        <f>IF(ISBLANK(JP!AR593),"","x")</f>
        <v/>
      </c>
      <c r="AP589" t="str">
        <f>IF(ISBLANK(JP!AS593),"","x")</f>
        <v/>
      </c>
      <c r="AQ589" t="str">
        <f>IF(ISBLANK(JP!AT593),"","x")</f>
        <v/>
      </c>
      <c r="AR589" t="str">
        <f>IF(ISBLANK(JP!AU593),"","x")</f>
        <v/>
      </c>
      <c r="AS589" t="str">
        <f>IF(ISBLANK(JP!AV593),"","x")</f>
        <v/>
      </c>
      <c r="AT589" t="str">
        <f>IF(ISBLANK(JP!AW593),"","x")</f>
        <v/>
      </c>
      <c r="AU589" t="str">
        <f>IF(ISBLANK(JP!AX593),"","x")</f>
        <v/>
      </c>
    </row>
    <row r="590" spans="2:47">
      <c r="B590" t="str">
        <f>IF(ISBLANK(JP!AZ594),"",JP!AZ594)</f>
        <v/>
      </c>
      <c r="C590" t="str">
        <f>IF(ISBLANK(JP!BA594),"",JP!BA594)</f>
        <v/>
      </c>
      <c r="D590" t="str">
        <f>IF(ISBLANK(JP!BC594),"",JP!BC594)</f>
        <v/>
      </c>
      <c r="E590" t="str">
        <f>IF(ISBLANK(JP!BB594),"",JP!BB594)</f>
        <v/>
      </c>
      <c r="F590" t="str">
        <f>IF(ISBLANK(JP!D594),"","x")</f>
        <v/>
      </c>
      <c r="G590" t="str">
        <f>IF(ISBLANK(JP!E594),"","x")</f>
        <v/>
      </c>
      <c r="H590" t="str">
        <f>IF(ISBLANK(JP!F594),"","x")</f>
        <v/>
      </c>
      <c r="I590" t="str">
        <f>IF(ISBLANK(JP!G594),"","x")</f>
        <v/>
      </c>
      <c r="J590" t="str">
        <f>IF(ISBLANK(JP!H594),"","x")</f>
        <v/>
      </c>
      <c r="K590" t="str">
        <f>IF(ISBLANK(JP!I594),"","x")</f>
        <v/>
      </c>
      <c r="L590" t="str">
        <f>IF(ISBLANK(JP!J594),"","x")</f>
        <v/>
      </c>
      <c r="M590" t="str">
        <f>IF(ISBLANK(JP!L594),"","x")</f>
        <v/>
      </c>
      <c r="N590" t="str">
        <f>IF(ISBLANK(JP!M594),"","x")</f>
        <v/>
      </c>
      <c r="O590" t="str">
        <f>IF(ISBLANK(JP!N594),"","x")</f>
        <v/>
      </c>
      <c r="P590" t="str">
        <f>IF(ISBLANK(JP!O594),"","x")</f>
        <v/>
      </c>
      <c r="Q590" t="str">
        <f>IF(ISBLANK(JP!P594),"","x")</f>
        <v/>
      </c>
      <c r="R590" t="str">
        <f>IF(ISBLANK(JP!Q594),"","x")</f>
        <v/>
      </c>
      <c r="S590" t="str">
        <f>IF(ISBLANK(JP!R594),"","x")</f>
        <v/>
      </c>
      <c r="T590" t="str">
        <f>IF(ISBLANK(JP!T594),"","x")</f>
        <v/>
      </c>
      <c r="U590" t="str">
        <f>IF(ISBLANK(JP!U594),"","x")</f>
        <v/>
      </c>
      <c r="V590" t="str">
        <f>IF(ISBLANK(JP!V594),"","x")</f>
        <v/>
      </c>
      <c r="W590" t="str">
        <f>IF(ISBLANK(JP!W594),"","x")</f>
        <v/>
      </c>
      <c r="X590" t="str">
        <f>IF(ISBLANK(JP!X594),"","x")</f>
        <v/>
      </c>
      <c r="Y590" t="str">
        <f>IF(ISBLANK(JP!Y594),"","x")</f>
        <v/>
      </c>
      <c r="Z590" t="str">
        <f>IF(ISBLANK(JP!Z594),"","x")</f>
        <v/>
      </c>
      <c r="AA590" t="str">
        <f>IF(ISBLANK(JP!AB594),"","x")</f>
        <v/>
      </c>
      <c r="AB590" t="str">
        <f>IF(ISBLANK(JP!AC594),"","x")</f>
        <v/>
      </c>
      <c r="AC590" t="str">
        <f>IF(ISBLANK(JP!AD594),"","x")</f>
        <v/>
      </c>
      <c r="AD590" t="str">
        <f>IF(ISBLANK(JP!AE594),"","x")</f>
        <v/>
      </c>
      <c r="AE590" t="str">
        <f>IF(ISBLANK(JP!AF594),"","x")</f>
        <v/>
      </c>
      <c r="AF590" t="str">
        <f>IF(ISBLANK(JP!AG594),"","x")</f>
        <v/>
      </c>
      <c r="AG590" t="str">
        <f>IF(ISBLANK(JP!AH594),"","x")</f>
        <v/>
      </c>
      <c r="AH590" t="str">
        <f>IF(ISBLANK(JP!AJ594),"","x")</f>
        <v/>
      </c>
      <c r="AI590" t="str">
        <f>IF(ISBLANK(JP!AK594),"","x")</f>
        <v/>
      </c>
      <c r="AJ590" t="str">
        <f>IF(ISBLANK(JP!AL594),"","x")</f>
        <v/>
      </c>
      <c r="AK590" t="str">
        <f>IF(ISBLANK(JP!AM594),"","x")</f>
        <v/>
      </c>
      <c r="AL590" t="str">
        <f>IF(ISBLANK(JP!AN594),"","x")</f>
        <v/>
      </c>
      <c r="AM590" t="str">
        <f>IF(ISBLANK(JP!AO594),"","x")</f>
        <v/>
      </c>
      <c r="AN590" t="str">
        <f>IF(ISBLANK(JP!AP594),"","x")</f>
        <v/>
      </c>
      <c r="AO590" t="str">
        <f>IF(ISBLANK(JP!AR594),"","x")</f>
        <v/>
      </c>
      <c r="AP590" t="str">
        <f>IF(ISBLANK(JP!AS594),"","x")</f>
        <v/>
      </c>
      <c r="AQ590" t="str">
        <f>IF(ISBLANK(JP!AT594),"","x")</f>
        <v/>
      </c>
      <c r="AR590" t="str">
        <f>IF(ISBLANK(JP!AU594),"","x")</f>
        <v/>
      </c>
      <c r="AS590" t="str">
        <f>IF(ISBLANK(JP!AV594),"","x")</f>
        <v/>
      </c>
      <c r="AT590" t="str">
        <f>IF(ISBLANK(JP!AW594),"","x")</f>
        <v/>
      </c>
      <c r="AU590" t="str">
        <f>IF(ISBLANK(JP!AX594),"","x")</f>
        <v/>
      </c>
    </row>
    <row r="591" spans="2:47">
      <c r="B591" t="str">
        <f>IF(ISBLANK(JP!AZ595),"",JP!AZ595)</f>
        <v/>
      </c>
      <c r="C591" t="str">
        <f>IF(ISBLANK(JP!BA595),"",JP!BA595)</f>
        <v/>
      </c>
      <c r="D591" t="str">
        <f>IF(ISBLANK(JP!BC595),"",JP!BC595)</f>
        <v/>
      </c>
      <c r="E591" t="str">
        <f>IF(ISBLANK(JP!BB595),"",JP!BB595)</f>
        <v/>
      </c>
      <c r="F591" t="str">
        <f>IF(ISBLANK(JP!D595),"","x")</f>
        <v/>
      </c>
      <c r="G591" t="str">
        <f>IF(ISBLANK(JP!E595),"","x")</f>
        <v/>
      </c>
      <c r="H591" t="str">
        <f>IF(ISBLANK(JP!F595),"","x")</f>
        <v/>
      </c>
      <c r="I591" t="str">
        <f>IF(ISBLANK(JP!G595),"","x")</f>
        <v/>
      </c>
      <c r="J591" t="str">
        <f>IF(ISBLANK(JP!H595),"","x")</f>
        <v/>
      </c>
      <c r="K591" t="str">
        <f>IF(ISBLANK(JP!I595),"","x")</f>
        <v/>
      </c>
      <c r="L591" t="str">
        <f>IF(ISBLANK(JP!J595),"","x")</f>
        <v/>
      </c>
      <c r="M591" t="str">
        <f>IF(ISBLANK(JP!L595),"","x")</f>
        <v/>
      </c>
      <c r="N591" t="str">
        <f>IF(ISBLANK(JP!M595),"","x")</f>
        <v/>
      </c>
      <c r="O591" t="str">
        <f>IF(ISBLANK(JP!N595),"","x")</f>
        <v/>
      </c>
      <c r="P591" t="str">
        <f>IF(ISBLANK(JP!O595),"","x")</f>
        <v/>
      </c>
      <c r="Q591" t="str">
        <f>IF(ISBLANK(JP!P595),"","x")</f>
        <v/>
      </c>
      <c r="R591" t="str">
        <f>IF(ISBLANK(JP!Q595),"","x")</f>
        <v/>
      </c>
      <c r="S591" t="str">
        <f>IF(ISBLANK(JP!R595),"","x")</f>
        <v/>
      </c>
      <c r="T591" t="str">
        <f>IF(ISBLANK(JP!T595),"","x")</f>
        <v/>
      </c>
      <c r="U591" t="str">
        <f>IF(ISBLANK(JP!U595),"","x")</f>
        <v/>
      </c>
      <c r="V591" t="str">
        <f>IF(ISBLANK(JP!V595),"","x")</f>
        <v/>
      </c>
      <c r="W591" t="str">
        <f>IF(ISBLANK(JP!W595),"","x")</f>
        <v/>
      </c>
      <c r="X591" t="str">
        <f>IF(ISBLANK(JP!X595),"","x")</f>
        <v/>
      </c>
      <c r="Y591" t="str">
        <f>IF(ISBLANK(JP!Y595),"","x")</f>
        <v/>
      </c>
      <c r="Z591" t="str">
        <f>IF(ISBLANK(JP!Z595),"","x")</f>
        <v/>
      </c>
      <c r="AA591" t="str">
        <f>IF(ISBLANK(JP!AB595),"","x")</f>
        <v/>
      </c>
      <c r="AB591" t="str">
        <f>IF(ISBLANK(JP!AC595),"","x")</f>
        <v/>
      </c>
      <c r="AC591" t="str">
        <f>IF(ISBLANK(JP!AD595),"","x")</f>
        <v/>
      </c>
      <c r="AD591" t="str">
        <f>IF(ISBLANK(JP!AE595),"","x")</f>
        <v/>
      </c>
      <c r="AE591" t="str">
        <f>IF(ISBLANK(JP!AF595),"","x")</f>
        <v/>
      </c>
      <c r="AF591" t="str">
        <f>IF(ISBLANK(JP!AG595),"","x")</f>
        <v/>
      </c>
      <c r="AG591" t="str">
        <f>IF(ISBLANK(JP!AH595),"","x")</f>
        <v/>
      </c>
      <c r="AH591" t="str">
        <f>IF(ISBLANK(JP!AJ595),"","x")</f>
        <v/>
      </c>
      <c r="AI591" t="str">
        <f>IF(ISBLANK(JP!AK595),"","x")</f>
        <v/>
      </c>
      <c r="AJ591" t="str">
        <f>IF(ISBLANK(JP!AL595),"","x")</f>
        <v/>
      </c>
      <c r="AK591" t="str">
        <f>IF(ISBLANK(JP!AM595),"","x")</f>
        <v/>
      </c>
      <c r="AL591" t="str">
        <f>IF(ISBLANK(JP!AN595),"","x")</f>
        <v/>
      </c>
      <c r="AM591" t="str">
        <f>IF(ISBLANK(JP!AO595),"","x")</f>
        <v/>
      </c>
      <c r="AN591" t="str">
        <f>IF(ISBLANK(JP!AP595),"","x")</f>
        <v/>
      </c>
      <c r="AO591" t="str">
        <f>IF(ISBLANK(JP!AR595),"","x")</f>
        <v/>
      </c>
      <c r="AP591" t="str">
        <f>IF(ISBLANK(JP!AS595),"","x")</f>
        <v/>
      </c>
      <c r="AQ591" t="str">
        <f>IF(ISBLANK(JP!AT595),"","x")</f>
        <v/>
      </c>
      <c r="AR591" t="str">
        <f>IF(ISBLANK(JP!AU595),"","x")</f>
        <v/>
      </c>
      <c r="AS591" t="str">
        <f>IF(ISBLANK(JP!AV595),"","x")</f>
        <v/>
      </c>
      <c r="AT591" t="str">
        <f>IF(ISBLANK(JP!AW595),"","x")</f>
        <v/>
      </c>
      <c r="AU591" t="str">
        <f>IF(ISBLANK(JP!AX595),"","x")</f>
        <v/>
      </c>
    </row>
    <row r="592" spans="2:47">
      <c r="B592" t="str">
        <f>IF(ISBLANK(JP!AZ596),"",JP!AZ596)</f>
        <v/>
      </c>
      <c r="C592" t="str">
        <f>IF(ISBLANK(JP!BA596),"",JP!BA596)</f>
        <v/>
      </c>
      <c r="D592" t="str">
        <f>IF(ISBLANK(JP!BC596),"",JP!BC596)</f>
        <v/>
      </c>
      <c r="E592" t="str">
        <f>IF(ISBLANK(JP!BB596),"",JP!BB596)</f>
        <v/>
      </c>
      <c r="F592" t="str">
        <f>IF(ISBLANK(JP!D596),"","x")</f>
        <v/>
      </c>
      <c r="G592" t="str">
        <f>IF(ISBLANK(JP!E596),"","x")</f>
        <v/>
      </c>
      <c r="H592" t="str">
        <f>IF(ISBLANK(JP!F596),"","x")</f>
        <v/>
      </c>
      <c r="I592" t="str">
        <f>IF(ISBLANK(JP!G596),"","x")</f>
        <v/>
      </c>
      <c r="J592" t="str">
        <f>IF(ISBLANK(JP!H596),"","x")</f>
        <v/>
      </c>
      <c r="K592" t="str">
        <f>IF(ISBLANK(JP!I596),"","x")</f>
        <v/>
      </c>
      <c r="L592" t="str">
        <f>IF(ISBLANK(JP!J596),"","x")</f>
        <v/>
      </c>
      <c r="M592" t="str">
        <f>IF(ISBLANK(JP!L596),"","x")</f>
        <v/>
      </c>
      <c r="N592" t="str">
        <f>IF(ISBLANK(JP!M596),"","x")</f>
        <v/>
      </c>
      <c r="O592" t="str">
        <f>IF(ISBLANK(JP!N596),"","x")</f>
        <v/>
      </c>
      <c r="P592" t="str">
        <f>IF(ISBLANK(JP!O596),"","x")</f>
        <v/>
      </c>
      <c r="Q592" t="str">
        <f>IF(ISBLANK(JP!P596),"","x")</f>
        <v/>
      </c>
      <c r="R592" t="str">
        <f>IF(ISBLANK(JP!Q596),"","x")</f>
        <v/>
      </c>
      <c r="S592" t="str">
        <f>IF(ISBLANK(JP!R596),"","x")</f>
        <v/>
      </c>
      <c r="T592" t="str">
        <f>IF(ISBLANK(JP!T596),"","x")</f>
        <v/>
      </c>
      <c r="U592" t="str">
        <f>IF(ISBLANK(JP!U596),"","x")</f>
        <v/>
      </c>
      <c r="V592" t="str">
        <f>IF(ISBLANK(JP!V596),"","x")</f>
        <v/>
      </c>
      <c r="W592" t="str">
        <f>IF(ISBLANK(JP!W596),"","x")</f>
        <v/>
      </c>
      <c r="X592" t="str">
        <f>IF(ISBLANK(JP!X596),"","x")</f>
        <v/>
      </c>
      <c r="Y592" t="str">
        <f>IF(ISBLANK(JP!Y596),"","x")</f>
        <v/>
      </c>
      <c r="Z592" t="str">
        <f>IF(ISBLANK(JP!Z596),"","x")</f>
        <v/>
      </c>
      <c r="AA592" t="str">
        <f>IF(ISBLANK(JP!AB596),"","x")</f>
        <v/>
      </c>
      <c r="AB592" t="str">
        <f>IF(ISBLANK(JP!AC596),"","x")</f>
        <v/>
      </c>
      <c r="AC592" t="str">
        <f>IF(ISBLANK(JP!AD596),"","x")</f>
        <v/>
      </c>
      <c r="AD592" t="str">
        <f>IF(ISBLANK(JP!AE596),"","x")</f>
        <v/>
      </c>
      <c r="AE592" t="str">
        <f>IF(ISBLANK(JP!AF596),"","x")</f>
        <v/>
      </c>
      <c r="AF592" t="str">
        <f>IF(ISBLANK(JP!AG596),"","x")</f>
        <v/>
      </c>
      <c r="AG592" t="str">
        <f>IF(ISBLANK(JP!AH596),"","x")</f>
        <v/>
      </c>
      <c r="AH592" t="str">
        <f>IF(ISBLANK(JP!AJ596),"","x")</f>
        <v/>
      </c>
      <c r="AI592" t="str">
        <f>IF(ISBLANK(JP!AK596),"","x")</f>
        <v/>
      </c>
      <c r="AJ592" t="str">
        <f>IF(ISBLANK(JP!AL596),"","x")</f>
        <v/>
      </c>
      <c r="AK592" t="str">
        <f>IF(ISBLANK(JP!AM596),"","x")</f>
        <v/>
      </c>
      <c r="AL592" t="str">
        <f>IF(ISBLANK(JP!AN596),"","x")</f>
        <v/>
      </c>
      <c r="AM592" t="str">
        <f>IF(ISBLANK(JP!AO596),"","x")</f>
        <v/>
      </c>
      <c r="AN592" t="str">
        <f>IF(ISBLANK(JP!AP596),"","x")</f>
        <v/>
      </c>
      <c r="AO592" t="str">
        <f>IF(ISBLANK(JP!AR596),"","x")</f>
        <v/>
      </c>
      <c r="AP592" t="str">
        <f>IF(ISBLANK(JP!AS596),"","x")</f>
        <v/>
      </c>
      <c r="AQ592" t="str">
        <f>IF(ISBLANK(JP!AT596),"","x")</f>
        <v/>
      </c>
      <c r="AR592" t="str">
        <f>IF(ISBLANK(JP!AU596),"","x")</f>
        <v/>
      </c>
      <c r="AS592" t="str">
        <f>IF(ISBLANK(JP!AV596),"","x")</f>
        <v/>
      </c>
      <c r="AT592" t="str">
        <f>IF(ISBLANK(JP!AW596),"","x")</f>
        <v/>
      </c>
      <c r="AU592" t="str">
        <f>IF(ISBLANK(JP!AX596),"","x")</f>
        <v/>
      </c>
    </row>
    <row r="593" spans="2:47">
      <c r="B593" t="str">
        <f>IF(ISBLANK(JP!AZ597),"",JP!AZ597)</f>
        <v/>
      </c>
      <c r="C593" t="str">
        <f>IF(ISBLANK(JP!BA597),"",JP!BA597)</f>
        <v/>
      </c>
      <c r="D593" t="str">
        <f>IF(ISBLANK(JP!BC597),"",JP!BC597)</f>
        <v/>
      </c>
      <c r="E593" t="str">
        <f>IF(ISBLANK(JP!BB597),"",JP!BB597)</f>
        <v/>
      </c>
      <c r="F593" t="str">
        <f>IF(ISBLANK(JP!D597),"","x")</f>
        <v/>
      </c>
      <c r="G593" t="str">
        <f>IF(ISBLANK(JP!E597),"","x")</f>
        <v/>
      </c>
      <c r="H593" t="str">
        <f>IF(ISBLANK(JP!F597),"","x")</f>
        <v/>
      </c>
      <c r="I593" t="str">
        <f>IF(ISBLANK(JP!G597),"","x")</f>
        <v/>
      </c>
      <c r="J593" t="str">
        <f>IF(ISBLANK(JP!H597),"","x")</f>
        <v/>
      </c>
      <c r="K593" t="str">
        <f>IF(ISBLANK(JP!I597),"","x")</f>
        <v/>
      </c>
      <c r="L593" t="str">
        <f>IF(ISBLANK(JP!J597),"","x")</f>
        <v/>
      </c>
      <c r="M593" t="str">
        <f>IF(ISBLANK(JP!L597),"","x")</f>
        <v/>
      </c>
      <c r="N593" t="str">
        <f>IF(ISBLANK(JP!M597),"","x")</f>
        <v/>
      </c>
      <c r="O593" t="str">
        <f>IF(ISBLANK(JP!N597),"","x")</f>
        <v/>
      </c>
      <c r="P593" t="str">
        <f>IF(ISBLANK(JP!O597),"","x")</f>
        <v/>
      </c>
      <c r="Q593" t="str">
        <f>IF(ISBLANK(JP!P597),"","x")</f>
        <v/>
      </c>
      <c r="R593" t="str">
        <f>IF(ISBLANK(JP!Q597),"","x")</f>
        <v/>
      </c>
      <c r="S593" t="str">
        <f>IF(ISBLANK(JP!R597),"","x")</f>
        <v/>
      </c>
      <c r="T593" t="str">
        <f>IF(ISBLANK(JP!T597),"","x")</f>
        <v/>
      </c>
      <c r="U593" t="str">
        <f>IF(ISBLANK(JP!U597),"","x")</f>
        <v/>
      </c>
      <c r="V593" t="str">
        <f>IF(ISBLANK(JP!V597),"","x")</f>
        <v/>
      </c>
      <c r="W593" t="str">
        <f>IF(ISBLANK(JP!W597),"","x")</f>
        <v/>
      </c>
      <c r="X593" t="str">
        <f>IF(ISBLANK(JP!X597),"","x")</f>
        <v/>
      </c>
      <c r="Y593" t="str">
        <f>IF(ISBLANK(JP!Y597),"","x")</f>
        <v/>
      </c>
      <c r="Z593" t="str">
        <f>IF(ISBLANK(JP!Z597),"","x")</f>
        <v/>
      </c>
      <c r="AA593" t="str">
        <f>IF(ISBLANK(JP!AB597),"","x")</f>
        <v/>
      </c>
      <c r="AB593" t="str">
        <f>IF(ISBLANK(JP!AC597),"","x")</f>
        <v/>
      </c>
      <c r="AC593" t="str">
        <f>IF(ISBLANK(JP!AD597),"","x")</f>
        <v/>
      </c>
      <c r="AD593" t="str">
        <f>IF(ISBLANK(JP!AE597),"","x")</f>
        <v/>
      </c>
      <c r="AE593" t="str">
        <f>IF(ISBLANK(JP!AF597),"","x")</f>
        <v/>
      </c>
      <c r="AF593" t="str">
        <f>IF(ISBLANK(JP!AG597),"","x")</f>
        <v/>
      </c>
      <c r="AG593" t="str">
        <f>IF(ISBLANK(JP!AH597),"","x")</f>
        <v/>
      </c>
      <c r="AH593" t="str">
        <f>IF(ISBLANK(JP!AJ597),"","x")</f>
        <v/>
      </c>
      <c r="AI593" t="str">
        <f>IF(ISBLANK(JP!AK597),"","x")</f>
        <v/>
      </c>
      <c r="AJ593" t="str">
        <f>IF(ISBLANK(JP!AL597),"","x")</f>
        <v/>
      </c>
      <c r="AK593" t="str">
        <f>IF(ISBLANK(JP!AM597),"","x")</f>
        <v/>
      </c>
      <c r="AL593" t="str">
        <f>IF(ISBLANK(JP!AN597),"","x")</f>
        <v/>
      </c>
      <c r="AM593" t="str">
        <f>IF(ISBLANK(JP!AO597),"","x")</f>
        <v/>
      </c>
      <c r="AN593" t="str">
        <f>IF(ISBLANK(JP!AP597),"","x")</f>
        <v/>
      </c>
      <c r="AO593" t="str">
        <f>IF(ISBLANK(JP!AR597),"","x")</f>
        <v/>
      </c>
      <c r="AP593" t="str">
        <f>IF(ISBLANK(JP!AS597),"","x")</f>
        <v/>
      </c>
      <c r="AQ593" t="str">
        <f>IF(ISBLANK(JP!AT597),"","x")</f>
        <v/>
      </c>
      <c r="AR593" t="str">
        <f>IF(ISBLANK(JP!AU597),"","x")</f>
        <v/>
      </c>
      <c r="AS593" t="str">
        <f>IF(ISBLANK(JP!AV597),"","x")</f>
        <v/>
      </c>
      <c r="AT593" t="str">
        <f>IF(ISBLANK(JP!AW597),"","x")</f>
        <v/>
      </c>
      <c r="AU593" t="str">
        <f>IF(ISBLANK(JP!AX597),"","x")</f>
        <v/>
      </c>
    </row>
    <row r="594" spans="2:47">
      <c r="B594" t="str">
        <f>IF(ISBLANK(JP!AZ598),"",JP!AZ598)</f>
        <v/>
      </c>
      <c r="C594" t="str">
        <f>IF(ISBLANK(JP!BA598),"",JP!BA598)</f>
        <v/>
      </c>
      <c r="D594" t="str">
        <f>IF(ISBLANK(JP!BC598),"",JP!BC598)</f>
        <v/>
      </c>
      <c r="E594" t="str">
        <f>IF(ISBLANK(JP!BB598),"",JP!BB598)</f>
        <v/>
      </c>
      <c r="F594" t="str">
        <f>IF(ISBLANK(JP!D598),"","x")</f>
        <v/>
      </c>
      <c r="G594" t="str">
        <f>IF(ISBLANK(JP!E598),"","x")</f>
        <v/>
      </c>
      <c r="H594" t="str">
        <f>IF(ISBLANK(JP!F598),"","x")</f>
        <v/>
      </c>
      <c r="I594" t="str">
        <f>IF(ISBLANK(JP!G598),"","x")</f>
        <v/>
      </c>
      <c r="J594" t="str">
        <f>IF(ISBLANK(JP!H598),"","x")</f>
        <v/>
      </c>
      <c r="K594" t="str">
        <f>IF(ISBLANK(JP!I598),"","x")</f>
        <v/>
      </c>
      <c r="L594" t="str">
        <f>IF(ISBLANK(JP!J598),"","x")</f>
        <v/>
      </c>
      <c r="M594" t="str">
        <f>IF(ISBLANK(JP!L598),"","x")</f>
        <v/>
      </c>
      <c r="N594" t="str">
        <f>IF(ISBLANK(JP!M598),"","x")</f>
        <v/>
      </c>
      <c r="O594" t="str">
        <f>IF(ISBLANK(JP!N598),"","x")</f>
        <v/>
      </c>
      <c r="P594" t="str">
        <f>IF(ISBLANK(JP!O598),"","x")</f>
        <v/>
      </c>
      <c r="Q594" t="str">
        <f>IF(ISBLANK(JP!P598),"","x")</f>
        <v/>
      </c>
      <c r="R594" t="str">
        <f>IF(ISBLANK(JP!Q598),"","x")</f>
        <v/>
      </c>
      <c r="S594" t="str">
        <f>IF(ISBLANK(JP!R598),"","x")</f>
        <v/>
      </c>
      <c r="T594" t="str">
        <f>IF(ISBLANK(JP!T598),"","x")</f>
        <v/>
      </c>
      <c r="U594" t="str">
        <f>IF(ISBLANK(JP!U598),"","x")</f>
        <v/>
      </c>
      <c r="V594" t="str">
        <f>IF(ISBLANK(JP!V598),"","x")</f>
        <v/>
      </c>
      <c r="W594" t="str">
        <f>IF(ISBLANK(JP!W598),"","x")</f>
        <v/>
      </c>
      <c r="X594" t="str">
        <f>IF(ISBLANK(JP!X598),"","x")</f>
        <v/>
      </c>
      <c r="Y594" t="str">
        <f>IF(ISBLANK(JP!Y598),"","x")</f>
        <v/>
      </c>
      <c r="Z594" t="str">
        <f>IF(ISBLANK(JP!Z598),"","x")</f>
        <v/>
      </c>
      <c r="AA594" t="str">
        <f>IF(ISBLANK(JP!AB598),"","x")</f>
        <v/>
      </c>
      <c r="AB594" t="str">
        <f>IF(ISBLANK(JP!AC598),"","x")</f>
        <v/>
      </c>
      <c r="AC594" t="str">
        <f>IF(ISBLANK(JP!AD598),"","x")</f>
        <v/>
      </c>
      <c r="AD594" t="str">
        <f>IF(ISBLANK(JP!AE598),"","x")</f>
        <v/>
      </c>
      <c r="AE594" t="str">
        <f>IF(ISBLANK(JP!AF598),"","x")</f>
        <v/>
      </c>
      <c r="AF594" t="str">
        <f>IF(ISBLANK(JP!AG598),"","x")</f>
        <v/>
      </c>
      <c r="AG594" t="str">
        <f>IF(ISBLANK(JP!AH598),"","x")</f>
        <v/>
      </c>
      <c r="AH594" t="str">
        <f>IF(ISBLANK(JP!AJ598),"","x")</f>
        <v/>
      </c>
      <c r="AI594" t="str">
        <f>IF(ISBLANK(JP!AK598),"","x")</f>
        <v/>
      </c>
      <c r="AJ594" t="str">
        <f>IF(ISBLANK(JP!AL598),"","x")</f>
        <v/>
      </c>
      <c r="AK594" t="str">
        <f>IF(ISBLANK(JP!AM598),"","x")</f>
        <v/>
      </c>
      <c r="AL594" t="str">
        <f>IF(ISBLANK(JP!AN598),"","x")</f>
        <v/>
      </c>
      <c r="AM594" t="str">
        <f>IF(ISBLANK(JP!AO598),"","x")</f>
        <v/>
      </c>
      <c r="AN594" t="str">
        <f>IF(ISBLANK(JP!AP598),"","x")</f>
        <v/>
      </c>
      <c r="AO594" t="str">
        <f>IF(ISBLANK(JP!AR598),"","x")</f>
        <v/>
      </c>
      <c r="AP594" t="str">
        <f>IF(ISBLANK(JP!AS598),"","x")</f>
        <v/>
      </c>
      <c r="AQ594" t="str">
        <f>IF(ISBLANK(JP!AT598),"","x")</f>
        <v/>
      </c>
      <c r="AR594" t="str">
        <f>IF(ISBLANK(JP!AU598),"","x")</f>
        <v/>
      </c>
      <c r="AS594" t="str">
        <f>IF(ISBLANK(JP!AV598),"","x")</f>
        <v/>
      </c>
      <c r="AT594" t="str">
        <f>IF(ISBLANK(JP!AW598),"","x")</f>
        <v/>
      </c>
      <c r="AU594" t="str">
        <f>IF(ISBLANK(JP!AX598),"","x")</f>
        <v/>
      </c>
    </row>
    <row r="595" spans="2:47">
      <c r="B595" t="str">
        <f>IF(ISBLANK(JP!AZ599),"",JP!AZ599)</f>
        <v/>
      </c>
      <c r="C595" t="str">
        <f>IF(ISBLANK(JP!BA599),"",JP!BA599)</f>
        <v/>
      </c>
      <c r="D595" t="str">
        <f>IF(ISBLANK(JP!BC599),"",JP!BC599)</f>
        <v/>
      </c>
      <c r="E595" t="str">
        <f>IF(ISBLANK(JP!BB599),"",JP!BB599)</f>
        <v/>
      </c>
      <c r="F595" t="str">
        <f>IF(ISBLANK(JP!D599),"","x")</f>
        <v/>
      </c>
      <c r="G595" t="str">
        <f>IF(ISBLANK(JP!E599),"","x")</f>
        <v/>
      </c>
      <c r="H595" t="str">
        <f>IF(ISBLANK(JP!F599),"","x")</f>
        <v/>
      </c>
      <c r="I595" t="str">
        <f>IF(ISBLANK(JP!G599),"","x")</f>
        <v/>
      </c>
      <c r="J595" t="str">
        <f>IF(ISBLANK(JP!H599),"","x")</f>
        <v/>
      </c>
      <c r="K595" t="str">
        <f>IF(ISBLANK(JP!I599),"","x")</f>
        <v/>
      </c>
      <c r="L595" t="str">
        <f>IF(ISBLANK(JP!J599),"","x")</f>
        <v/>
      </c>
      <c r="M595" t="str">
        <f>IF(ISBLANK(JP!L599),"","x")</f>
        <v/>
      </c>
      <c r="N595" t="str">
        <f>IF(ISBLANK(JP!M599),"","x")</f>
        <v/>
      </c>
      <c r="O595" t="str">
        <f>IF(ISBLANK(JP!N599),"","x")</f>
        <v/>
      </c>
      <c r="P595" t="str">
        <f>IF(ISBLANK(JP!O599),"","x")</f>
        <v/>
      </c>
      <c r="Q595" t="str">
        <f>IF(ISBLANK(JP!P599),"","x")</f>
        <v/>
      </c>
      <c r="R595" t="str">
        <f>IF(ISBLANK(JP!Q599),"","x")</f>
        <v/>
      </c>
      <c r="S595" t="str">
        <f>IF(ISBLANK(JP!R599),"","x")</f>
        <v/>
      </c>
      <c r="T595" t="str">
        <f>IF(ISBLANK(JP!T599),"","x")</f>
        <v/>
      </c>
      <c r="U595" t="str">
        <f>IF(ISBLANK(JP!U599),"","x")</f>
        <v/>
      </c>
      <c r="V595" t="str">
        <f>IF(ISBLANK(JP!V599),"","x")</f>
        <v/>
      </c>
      <c r="W595" t="str">
        <f>IF(ISBLANK(JP!W599),"","x")</f>
        <v/>
      </c>
      <c r="X595" t="str">
        <f>IF(ISBLANK(JP!X599),"","x")</f>
        <v/>
      </c>
      <c r="Y595" t="str">
        <f>IF(ISBLANK(JP!Y599),"","x")</f>
        <v/>
      </c>
      <c r="Z595" t="str">
        <f>IF(ISBLANK(JP!Z599),"","x")</f>
        <v/>
      </c>
      <c r="AA595" t="str">
        <f>IF(ISBLANK(JP!AB599),"","x")</f>
        <v/>
      </c>
      <c r="AB595" t="str">
        <f>IF(ISBLANK(JP!AC599),"","x")</f>
        <v/>
      </c>
      <c r="AC595" t="str">
        <f>IF(ISBLANK(JP!AD599),"","x")</f>
        <v/>
      </c>
      <c r="AD595" t="str">
        <f>IF(ISBLANK(JP!AE599),"","x")</f>
        <v/>
      </c>
      <c r="AE595" t="str">
        <f>IF(ISBLANK(JP!AF599),"","x")</f>
        <v/>
      </c>
      <c r="AF595" t="str">
        <f>IF(ISBLANK(JP!AG599),"","x")</f>
        <v/>
      </c>
      <c r="AG595" t="str">
        <f>IF(ISBLANK(JP!AH599),"","x")</f>
        <v/>
      </c>
      <c r="AH595" t="str">
        <f>IF(ISBLANK(JP!AJ599),"","x")</f>
        <v/>
      </c>
      <c r="AI595" t="str">
        <f>IF(ISBLANK(JP!AK599),"","x")</f>
        <v/>
      </c>
      <c r="AJ595" t="str">
        <f>IF(ISBLANK(JP!AL599),"","x")</f>
        <v/>
      </c>
      <c r="AK595" t="str">
        <f>IF(ISBLANK(JP!AM599),"","x")</f>
        <v/>
      </c>
      <c r="AL595" t="str">
        <f>IF(ISBLANK(JP!AN599),"","x")</f>
        <v/>
      </c>
      <c r="AM595" t="str">
        <f>IF(ISBLANK(JP!AO599),"","x")</f>
        <v/>
      </c>
      <c r="AN595" t="str">
        <f>IF(ISBLANK(JP!AP599),"","x")</f>
        <v/>
      </c>
      <c r="AO595" t="str">
        <f>IF(ISBLANK(JP!AR599),"","x")</f>
        <v/>
      </c>
      <c r="AP595" t="str">
        <f>IF(ISBLANK(JP!AS599),"","x")</f>
        <v/>
      </c>
      <c r="AQ595" t="str">
        <f>IF(ISBLANK(JP!AT599),"","x")</f>
        <v/>
      </c>
      <c r="AR595" t="str">
        <f>IF(ISBLANK(JP!AU599),"","x")</f>
        <v/>
      </c>
      <c r="AS595" t="str">
        <f>IF(ISBLANK(JP!AV599),"","x")</f>
        <v/>
      </c>
      <c r="AT595" t="str">
        <f>IF(ISBLANK(JP!AW599),"","x")</f>
        <v/>
      </c>
      <c r="AU595" t="str">
        <f>IF(ISBLANK(JP!AX599),"","x")</f>
        <v/>
      </c>
    </row>
    <row r="596" spans="2:47">
      <c r="B596" t="str">
        <f>IF(ISBLANK(JP!AZ600),"",JP!AZ600)</f>
        <v/>
      </c>
      <c r="C596" t="str">
        <f>IF(ISBLANK(JP!BA600),"",JP!BA600)</f>
        <v/>
      </c>
      <c r="D596" t="str">
        <f>IF(ISBLANK(JP!BC600),"",JP!BC600)</f>
        <v/>
      </c>
      <c r="E596" t="str">
        <f>IF(ISBLANK(JP!BB600),"",JP!BB600)</f>
        <v/>
      </c>
      <c r="F596" t="str">
        <f>IF(ISBLANK(JP!D600),"","x")</f>
        <v/>
      </c>
      <c r="G596" t="str">
        <f>IF(ISBLANK(JP!E600),"","x")</f>
        <v/>
      </c>
      <c r="H596" t="str">
        <f>IF(ISBLANK(JP!F600),"","x")</f>
        <v/>
      </c>
      <c r="I596" t="str">
        <f>IF(ISBLANK(JP!G600),"","x")</f>
        <v/>
      </c>
      <c r="J596" t="str">
        <f>IF(ISBLANK(JP!H600),"","x")</f>
        <v/>
      </c>
      <c r="K596" t="str">
        <f>IF(ISBLANK(JP!I600),"","x")</f>
        <v/>
      </c>
      <c r="L596" t="str">
        <f>IF(ISBLANK(JP!J600),"","x")</f>
        <v/>
      </c>
      <c r="M596" t="str">
        <f>IF(ISBLANK(JP!L600),"","x")</f>
        <v/>
      </c>
      <c r="N596" t="str">
        <f>IF(ISBLANK(JP!M600),"","x")</f>
        <v/>
      </c>
      <c r="O596" t="str">
        <f>IF(ISBLANK(JP!N600),"","x")</f>
        <v/>
      </c>
      <c r="P596" t="str">
        <f>IF(ISBLANK(JP!O600),"","x")</f>
        <v/>
      </c>
      <c r="Q596" t="str">
        <f>IF(ISBLANK(JP!P600),"","x")</f>
        <v/>
      </c>
      <c r="R596" t="str">
        <f>IF(ISBLANK(JP!Q600),"","x")</f>
        <v/>
      </c>
      <c r="S596" t="str">
        <f>IF(ISBLANK(JP!R600),"","x")</f>
        <v/>
      </c>
      <c r="T596" t="str">
        <f>IF(ISBLANK(JP!T600),"","x")</f>
        <v/>
      </c>
      <c r="U596" t="str">
        <f>IF(ISBLANK(JP!U600),"","x")</f>
        <v/>
      </c>
      <c r="V596" t="str">
        <f>IF(ISBLANK(JP!V600),"","x")</f>
        <v/>
      </c>
      <c r="W596" t="str">
        <f>IF(ISBLANK(JP!W600),"","x")</f>
        <v/>
      </c>
      <c r="X596" t="str">
        <f>IF(ISBLANK(JP!X600),"","x")</f>
        <v/>
      </c>
      <c r="Y596" t="str">
        <f>IF(ISBLANK(JP!Y600),"","x")</f>
        <v/>
      </c>
      <c r="Z596" t="str">
        <f>IF(ISBLANK(JP!Z600),"","x")</f>
        <v/>
      </c>
      <c r="AA596" t="str">
        <f>IF(ISBLANK(JP!AB600),"","x")</f>
        <v/>
      </c>
      <c r="AB596" t="str">
        <f>IF(ISBLANK(JP!AC600),"","x")</f>
        <v/>
      </c>
      <c r="AC596" t="str">
        <f>IF(ISBLANK(JP!AD600),"","x")</f>
        <v/>
      </c>
      <c r="AD596" t="str">
        <f>IF(ISBLANK(JP!AE600),"","x")</f>
        <v/>
      </c>
      <c r="AE596" t="str">
        <f>IF(ISBLANK(JP!AF600),"","x")</f>
        <v/>
      </c>
      <c r="AF596" t="str">
        <f>IF(ISBLANK(JP!AG600),"","x")</f>
        <v/>
      </c>
      <c r="AG596" t="str">
        <f>IF(ISBLANK(JP!AH600),"","x")</f>
        <v/>
      </c>
      <c r="AH596" t="str">
        <f>IF(ISBLANK(JP!AJ600),"","x")</f>
        <v/>
      </c>
      <c r="AI596" t="str">
        <f>IF(ISBLANK(JP!AK600),"","x")</f>
        <v/>
      </c>
      <c r="AJ596" t="str">
        <f>IF(ISBLANK(JP!AL600),"","x")</f>
        <v/>
      </c>
      <c r="AK596" t="str">
        <f>IF(ISBLANK(JP!AM600),"","x")</f>
        <v/>
      </c>
      <c r="AL596" t="str">
        <f>IF(ISBLANK(JP!AN600),"","x")</f>
        <v/>
      </c>
      <c r="AM596" t="str">
        <f>IF(ISBLANK(JP!AO600),"","x")</f>
        <v/>
      </c>
      <c r="AN596" t="str">
        <f>IF(ISBLANK(JP!AP600),"","x")</f>
        <v/>
      </c>
      <c r="AO596" t="str">
        <f>IF(ISBLANK(JP!AR600),"","x")</f>
        <v/>
      </c>
      <c r="AP596" t="str">
        <f>IF(ISBLANK(JP!AS600),"","x")</f>
        <v/>
      </c>
      <c r="AQ596" t="str">
        <f>IF(ISBLANK(JP!AT600),"","x")</f>
        <v/>
      </c>
      <c r="AR596" t="str">
        <f>IF(ISBLANK(JP!AU600),"","x")</f>
        <v/>
      </c>
      <c r="AS596" t="str">
        <f>IF(ISBLANK(JP!AV600),"","x")</f>
        <v/>
      </c>
      <c r="AT596" t="str">
        <f>IF(ISBLANK(JP!AW600),"","x")</f>
        <v/>
      </c>
      <c r="AU596" t="str">
        <f>IF(ISBLANK(JP!AX600),"","x")</f>
        <v/>
      </c>
    </row>
    <row r="597" spans="2:47">
      <c r="B597" t="str">
        <f>IF(ISBLANK(JP!AZ601),"",JP!AZ601)</f>
        <v/>
      </c>
      <c r="C597" t="str">
        <f>IF(ISBLANK(JP!BA601),"",JP!BA601)</f>
        <v/>
      </c>
      <c r="D597" t="str">
        <f>IF(ISBLANK(JP!BC601),"",JP!BC601)</f>
        <v/>
      </c>
      <c r="E597" t="str">
        <f>IF(ISBLANK(JP!BB601),"",JP!BB601)</f>
        <v/>
      </c>
      <c r="F597" t="str">
        <f>IF(ISBLANK(JP!D601),"","x")</f>
        <v/>
      </c>
      <c r="G597" t="str">
        <f>IF(ISBLANK(JP!E601),"","x")</f>
        <v/>
      </c>
      <c r="H597" t="str">
        <f>IF(ISBLANK(JP!F601),"","x")</f>
        <v/>
      </c>
      <c r="I597" t="str">
        <f>IF(ISBLANK(JP!G601),"","x")</f>
        <v/>
      </c>
      <c r="J597" t="str">
        <f>IF(ISBLANK(JP!H601),"","x")</f>
        <v/>
      </c>
      <c r="K597" t="str">
        <f>IF(ISBLANK(JP!I601),"","x")</f>
        <v/>
      </c>
      <c r="L597" t="str">
        <f>IF(ISBLANK(JP!J601),"","x")</f>
        <v/>
      </c>
      <c r="M597" t="str">
        <f>IF(ISBLANK(JP!L601),"","x")</f>
        <v/>
      </c>
      <c r="N597" t="str">
        <f>IF(ISBLANK(JP!M601),"","x")</f>
        <v/>
      </c>
      <c r="O597" t="str">
        <f>IF(ISBLANK(JP!N601),"","x")</f>
        <v/>
      </c>
      <c r="P597" t="str">
        <f>IF(ISBLANK(JP!O601),"","x")</f>
        <v/>
      </c>
      <c r="Q597" t="str">
        <f>IF(ISBLANK(JP!P601),"","x")</f>
        <v/>
      </c>
      <c r="R597" t="str">
        <f>IF(ISBLANK(JP!Q601),"","x")</f>
        <v/>
      </c>
      <c r="S597" t="str">
        <f>IF(ISBLANK(JP!R601),"","x")</f>
        <v/>
      </c>
      <c r="T597" t="str">
        <f>IF(ISBLANK(JP!T601),"","x")</f>
        <v/>
      </c>
      <c r="U597" t="str">
        <f>IF(ISBLANK(JP!U601),"","x")</f>
        <v/>
      </c>
      <c r="V597" t="str">
        <f>IF(ISBLANK(JP!V601),"","x")</f>
        <v/>
      </c>
      <c r="W597" t="str">
        <f>IF(ISBLANK(JP!W601),"","x")</f>
        <v/>
      </c>
      <c r="X597" t="str">
        <f>IF(ISBLANK(JP!X601),"","x")</f>
        <v/>
      </c>
      <c r="Y597" t="str">
        <f>IF(ISBLANK(JP!Y601),"","x")</f>
        <v/>
      </c>
      <c r="Z597" t="str">
        <f>IF(ISBLANK(JP!Z601),"","x")</f>
        <v/>
      </c>
      <c r="AA597" t="str">
        <f>IF(ISBLANK(JP!AB601),"","x")</f>
        <v/>
      </c>
      <c r="AB597" t="str">
        <f>IF(ISBLANK(JP!AC601),"","x")</f>
        <v/>
      </c>
      <c r="AC597" t="str">
        <f>IF(ISBLANK(JP!AD601),"","x")</f>
        <v/>
      </c>
      <c r="AD597" t="str">
        <f>IF(ISBLANK(JP!AE601),"","x")</f>
        <v/>
      </c>
      <c r="AE597" t="str">
        <f>IF(ISBLANK(JP!AF601),"","x")</f>
        <v/>
      </c>
      <c r="AF597" t="str">
        <f>IF(ISBLANK(JP!AG601),"","x")</f>
        <v/>
      </c>
      <c r="AG597" t="str">
        <f>IF(ISBLANK(JP!AH601),"","x")</f>
        <v/>
      </c>
      <c r="AH597" t="str">
        <f>IF(ISBLANK(JP!AJ601),"","x")</f>
        <v/>
      </c>
      <c r="AI597" t="str">
        <f>IF(ISBLANK(JP!AK601),"","x")</f>
        <v/>
      </c>
      <c r="AJ597" t="str">
        <f>IF(ISBLANK(JP!AL601),"","x")</f>
        <v/>
      </c>
      <c r="AK597" t="str">
        <f>IF(ISBLANK(JP!AM601),"","x")</f>
        <v/>
      </c>
      <c r="AL597" t="str">
        <f>IF(ISBLANK(JP!AN601),"","x")</f>
        <v/>
      </c>
      <c r="AM597" t="str">
        <f>IF(ISBLANK(JP!AO601),"","x")</f>
        <v/>
      </c>
      <c r="AN597" t="str">
        <f>IF(ISBLANK(JP!AP601),"","x")</f>
        <v/>
      </c>
      <c r="AO597" t="str">
        <f>IF(ISBLANK(JP!AR601),"","x")</f>
        <v/>
      </c>
      <c r="AP597" t="str">
        <f>IF(ISBLANK(JP!AS601),"","x")</f>
        <v/>
      </c>
      <c r="AQ597" t="str">
        <f>IF(ISBLANK(JP!AT601),"","x")</f>
        <v/>
      </c>
      <c r="AR597" t="str">
        <f>IF(ISBLANK(JP!AU601),"","x")</f>
        <v/>
      </c>
      <c r="AS597" t="str">
        <f>IF(ISBLANK(JP!AV601),"","x")</f>
        <v/>
      </c>
      <c r="AT597" t="str">
        <f>IF(ISBLANK(JP!AW601),"","x")</f>
        <v/>
      </c>
      <c r="AU597" t="str">
        <f>IF(ISBLANK(JP!AX601),"","x")</f>
        <v/>
      </c>
    </row>
    <row r="598" spans="2:47">
      <c r="B598" t="str">
        <f>IF(ISBLANK(JP!AZ602),"",JP!AZ602)</f>
        <v/>
      </c>
      <c r="C598" t="str">
        <f>IF(ISBLANK(JP!BA602),"",JP!BA602)</f>
        <v/>
      </c>
      <c r="D598" t="str">
        <f>IF(ISBLANK(JP!BC602),"",JP!BC602)</f>
        <v/>
      </c>
      <c r="E598" t="str">
        <f>IF(ISBLANK(JP!BB602),"",JP!BB602)</f>
        <v/>
      </c>
      <c r="F598" t="str">
        <f>IF(ISBLANK(JP!D602),"","x")</f>
        <v/>
      </c>
      <c r="G598" t="str">
        <f>IF(ISBLANK(JP!E602),"","x")</f>
        <v/>
      </c>
      <c r="H598" t="str">
        <f>IF(ISBLANK(JP!F602),"","x")</f>
        <v/>
      </c>
      <c r="I598" t="str">
        <f>IF(ISBLANK(JP!G602),"","x")</f>
        <v/>
      </c>
      <c r="J598" t="str">
        <f>IF(ISBLANK(JP!H602),"","x")</f>
        <v/>
      </c>
      <c r="K598" t="str">
        <f>IF(ISBLANK(JP!I602),"","x")</f>
        <v/>
      </c>
      <c r="L598" t="str">
        <f>IF(ISBLANK(JP!J602),"","x")</f>
        <v/>
      </c>
      <c r="M598" t="str">
        <f>IF(ISBLANK(JP!L602),"","x")</f>
        <v/>
      </c>
      <c r="N598" t="str">
        <f>IF(ISBLANK(JP!M602),"","x")</f>
        <v/>
      </c>
      <c r="O598" t="str">
        <f>IF(ISBLANK(JP!N602),"","x")</f>
        <v/>
      </c>
      <c r="P598" t="str">
        <f>IF(ISBLANK(JP!O602),"","x")</f>
        <v/>
      </c>
      <c r="Q598" t="str">
        <f>IF(ISBLANK(JP!P602),"","x")</f>
        <v/>
      </c>
      <c r="R598" t="str">
        <f>IF(ISBLANK(JP!Q602),"","x")</f>
        <v/>
      </c>
      <c r="S598" t="str">
        <f>IF(ISBLANK(JP!R602),"","x")</f>
        <v/>
      </c>
      <c r="T598" t="str">
        <f>IF(ISBLANK(JP!T602),"","x")</f>
        <v/>
      </c>
      <c r="U598" t="str">
        <f>IF(ISBLANK(JP!U602),"","x")</f>
        <v/>
      </c>
      <c r="V598" t="str">
        <f>IF(ISBLANK(JP!V602),"","x")</f>
        <v/>
      </c>
      <c r="W598" t="str">
        <f>IF(ISBLANK(JP!W602),"","x")</f>
        <v/>
      </c>
      <c r="X598" t="str">
        <f>IF(ISBLANK(JP!X602),"","x")</f>
        <v/>
      </c>
      <c r="Y598" t="str">
        <f>IF(ISBLANK(JP!Y602),"","x")</f>
        <v/>
      </c>
      <c r="Z598" t="str">
        <f>IF(ISBLANK(JP!Z602),"","x")</f>
        <v/>
      </c>
      <c r="AA598" t="str">
        <f>IF(ISBLANK(JP!AB602),"","x")</f>
        <v/>
      </c>
      <c r="AB598" t="str">
        <f>IF(ISBLANK(JP!AC602),"","x")</f>
        <v/>
      </c>
      <c r="AC598" t="str">
        <f>IF(ISBLANK(JP!AD602),"","x")</f>
        <v/>
      </c>
      <c r="AD598" t="str">
        <f>IF(ISBLANK(JP!AE602),"","x")</f>
        <v/>
      </c>
      <c r="AE598" t="str">
        <f>IF(ISBLANK(JP!AF602),"","x")</f>
        <v/>
      </c>
      <c r="AF598" t="str">
        <f>IF(ISBLANK(JP!AG602),"","x")</f>
        <v/>
      </c>
      <c r="AG598" t="str">
        <f>IF(ISBLANK(JP!AH602),"","x")</f>
        <v/>
      </c>
      <c r="AH598" t="str">
        <f>IF(ISBLANK(JP!AJ602),"","x")</f>
        <v/>
      </c>
      <c r="AI598" t="str">
        <f>IF(ISBLANK(JP!AK602),"","x")</f>
        <v/>
      </c>
      <c r="AJ598" t="str">
        <f>IF(ISBLANK(JP!AL602),"","x")</f>
        <v/>
      </c>
      <c r="AK598" t="str">
        <f>IF(ISBLANK(JP!AM602),"","x")</f>
        <v/>
      </c>
      <c r="AL598" t="str">
        <f>IF(ISBLANK(JP!AN602),"","x")</f>
        <v/>
      </c>
      <c r="AM598" t="str">
        <f>IF(ISBLANK(JP!AO602),"","x")</f>
        <v/>
      </c>
      <c r="AN598" t="str">
        <f>IF(ISBLANK(JP!AP602),"","x")</f>
        <v/>
      </c>
      <c r="AO598" t="str">
        <f>IF(ISBLANK(JP!AR602),"","x")</f>
        <v/>
      </c>
      <c r="AP598" t="str">
        <f>IF(ISBLANK(JP!AS602),"","x")</f>
        <v/>
      </c>
      <c r="AQ598" t="str">
        <f>IF(ISBLANK(JP!AT602),"","x")</f>
        <v/>
      </c>
      <c r="AR598" t="str">
        <f>IF(ISBLANK(JP!AU602),"","x")</f>
        <v/>
      </c>
      <c r="AS598" t="str">
        <f>IF(ISBLANK(JP!AV602),"","x")</f>
        <v/>
      </c>
      <c r="AT598" t="str">
        <f>IF(ISBLANK(JP!AW602),"","x")</f>
        <v/>
      </c>
      <c r="AU598" t="str">
        <f>IF(ISBLANK(JP!AX602),"","x")</f>
        <v/>
      </c>
    </row>
    <row r="599" spans="2:47">
      <c r="B599" t="str">
        <f>IF(ISBLANK(JP!AZ603),"",JP!AZ603)</f>
        <v/>
      </c>
      <c r="C599" t="str">
        <f>IF(ISBLANK(JP!BA603),"",JP!BA603)</f>
        <v/>
      </c>
      <c r="D599" t="str">
        <f>IF(ISBLANK(JP!BC603),"",JP!BC603)</f>
        <v/>
      </c>
      <c r="E599" t="str">
        <f>IF(ISBLANK(JP!BB603),"",JP!BB603)</f>
        <v/>
      </c>
      <c r="F599" t="str">
        <f>IF(ISBLANK(JP!D603),"","x")</f>
        <v/>
      </c>
      <c r="G599" t="str">
        <f>IF(ISBLANK(JP!E603),"","x")</f>
        <v/>
      </c>
      <c r="H599" t="str">
        <f>IF(ISBLANK(JP!F603),"","x")</f>
        <v/>
      </c>
      <c r="I599" t="str">
        <f>IF(ISBLANK(JP!G603),"","x")</f>
        <v/>
      </c>
      <c r="J599" t="str">
        <f>IF(ISBLANK(JP!H603),"","x")</f>
        <v/>
      </c>
      <c r="K599" t="str">
        <f>IF(ISBLANK(JP!I603),"","x")</f>
        <v/>
      </c>
      <c r="L599" t="str">
        <f>IF(ISBLANK(JP!J603),"","x")</f>
        <v/>
      </c>
      <c r="M599" t="str">
        <f>IF(ISBLANK(JP!L603),"","x")</f>
        <v/>
      </c>
      <c r="N599" t="str">
        <f>IF(ISBLANK(JP!M603),"","x")</f>
        <v/>
      </c>
      <c r="O599" t="str">
        <f>IF(ISBLANK(JP!N603),"","x")</f>
        <v/>
      </c>
      <c r="P599" t="str">
        <f>IF(ISBLANK(JP!O603),"","x")</f>
        <v/>
      </c>
      <c r="Q599" t="str">
        <f>IF(ISBLANK(JP!P603),"","x")</f>
        <v/>
      </c>
      <c r="R599" t="str">
        <f>IF(ISBLANK(JP!Q603),"","x")</f>
        <v/>
      </c>
      <c r="S599" t="str">
        <f>IF(ISBLANK(JP!R603),"","x")</f>
        <v/>
      </c>
      <c r="T599" t="str">
        <f>IF(ISBLANK(JP!T603),"","x")</f>
        <v/>
      </c>
      <c r="U599" t="str">
        <f>IF(ISBLANK(JP!U603),"","x")</f>
        <v/>
      </c>
      <c r="V599" t="str">
        <f>IF(ISBLANK(JP!V603),"","x")</f>
        <v/>
      </c>
      <c r="W599" t="str">
        <f>IF(ISBLANK(JP!W603),"","x")</f>
        <v/>
      </c>
      <c r="X599" t="str">
        <f>IF(ISBLANK(JP!X603),"","x")</f>
        <v/>
      </c>
      <c r="Y599" t="str">
        <f>IF(ISBLANK(JP!Y603),"","x")</f>
        <v/>
      </c>
      <c r="Z599" t="str">
        <f>IF(ISBLANK(JP!Z603),"","x")</f>
        <v/>
      </c>
      <c r="AA599" t="str">
        <f>IF(ISBLANK(JP!AB603),"","x")</f>
        <v/>
      </c>
      <c r="AB599" t="str">
        <f>IF(ISBLANK(JP!AC603),"","x")</f>
        <v/>
      </c>
      <c r="AC599" t="str">
        <f>IF(ISBLANK(JP!AD603),"","x")</f>
        <v/>
      </c>
      <c r="AD599" t="str">
        <f>IF(ISBLANK(JP!AE603),"","x")</f>
        <v/>
      </c>
      <c r="AE599" t="str">
        <f>IF(ISBLANK(JP!AF603),"","x")</f>
        <v/>
      </c>
      <c r="AF599" t="str">
        <f>IF(ISBLANK(JP!AG603),"","x")</f>
        <v/>
      </c>
      <c r="AG599" t="str">
        <f>IF(ISBLANK(JP!AH603),"","x")</f>
        <v/>
      </c>
      <c r="AH599" t="str">
        <f>IF(ISBLANK(JP!AJ603),"","x")</f>
        <v/>
      </c>
      <c r="AI599" t="str">
        <f>IF(ISBLANK(JP!AK603),"","x")</f>
        <v/>
      </c>
      <c r="AJ599" t="str">
        <f>IF(ISBLANK(JP!AL603),"","x")</f>
        <v/>
      </c>
      <c r="AK599" t="str">
        <f>IF(ISBLANK(JP!AM603),"","x")</f>
        <v/>
      </c>
      <c r="AL599" t="str">
        <f>IF(ISBLANK(JP!AN603),"","x")</f>
        <v/>
      </c>
      <c r="AM599" t="str">
        <f>IF(ISBLANK(JP!AO603),"","x")</f>
        <v/>
      </c>
      <c r="AN599" t="str">
        <f>IF(ISBLANK(JP!AP603),"","x")</f>
        <v/>
      </c>
      <c r="AO599" t="str">
        <f>IF(ISBLANK(JP!AR603),"","x")</f>
        <v/>
      </c>
      <c r="AP599" t="str">
        <f>IF(ISBLANK(JP!AS603),"","x")</f>
        <v/>
      </c>
      <c r="AQ599" t="str">
        <f>IF(ISBLANK(JP!AT603),"","x")</f>
        <v/>
      </c>
      <c r="AR599" t="str">
        <f>IF(ISBLANK(JP!AU603),"","x")</f>
        <v/>
      </c>
      <c r="AS599" t="str">
        <f>IF(ISBLANK(JP!AV603),"","x")</f>
        <v/>
      </c>
      <c r="AT599" t="str">
        <f>IF(ISBLANK(JP!AW603),"","x")</f>
        <v/>
      </c>
      <c r="AU599" t="str">
        <f>IF(ISBLANK(JP!AX603),"","x")</f>
        <v/>
      </c>
    </row>
    <row r="600" spans="2:47">
      <c r="B600" t="str">
        <f>IF(ISBLANK(JP!AZ604),"",JP!AZ604)</f>
        <v/>
      </c>
      <c r="C600" t="str">
        <f>IF(ISBLANK(JP!BA604),"",JP!BA604)</f>
        <v/>
      </c>
      <c r="D600" t="str">
        <f>IF(ISBLANK(JP!BC604),"",JP!BC604)</f>
        <v/>
      </c>
      <c r="E600" t="str">
        <f>IF(ISBLANK(JP!BB604),"",JP!BB604)</f>
        <v/>
      </c>
      <c r="F600" t="str">
        <f>IF(ISBLANK(JP!D604),"","x")</f>
        <v/>
      </c>
      <c r="G600" t="str">
        <f>IF(ISBLANK(JP!E604),"","x")</f>
        <v/>
      </c>
      <c r="H600" t="str">
        <f>IF(ISBLANK(JP!F604),"","x")</f>
        <v/>
      </c>
      <c r="I600" t="str">
        <f>IF(ISBLANK(JP!G604),"","x")</f>
        <v/>
      </c>
      <c r="J600" t="str">
        <f>IF(ISBLANK(JP!H604),"","x")</f>
        <v/>
      </c>
      <c r="K600" t="str">
        <f>IF(ISBLANK(JP!I604),"","x")</f>
        <v/>
      </c>
      <c r="L600" t="str">
        <f>IF(ISBLANK(JP!J604),"","x")</f>
        <v/>
      </c>
      <c r="M600" t="str">
        <f>IF(ISBLANK(JP!L604),"","x")</f>
        <v/>
      </c>
      <c r="N600" t="str">
        <f>IF(ISBLANK(JP!M604),"","x")</f>
        <v/>
      </c>
      <c r="O600" t="str">
        <f>IF(ISBLANK(JP!N604),"","x")</f>
        <v/>
      </c>
      <c r="P600" t="str">
        <f>IF(ISBLANK(JP!O604),"","x")</f>
        <v/>
      </c>
      <c r="Q600" t="str">
        <f>IF(ISBLANK(JP!P604),"","x")</f>
        <v/>
      </c>
      <c r="R600" t="str">
        <f>IF(ISBLANK(JP!Q604),"","x")</f>
        <v/>
      </c>
      <c r="S600" t="str">
        <f>IF(ISBLANK(JP!R604),"","x")</f>
        <v/>
      </c>
      <c r="T600" t="str">
        <f>IF(ISBLANK(JP!T604),"","x")</f>
        <v/>
      </c>
      <c r="U600" t="str">
        <f>IF(ISBLANK(JP!U604),"","x")</f>
        <v/>
      </c>
      <c r="V600" t="str">
        <f>IF(ISBLANK(JP!V604),"","x")</f>
        <v/>
      </c>
      <c r="W600" t="str">
        <f>IF(ISBLANK(JP!W604),"","x")</f>
        <v/>
      </c>
      <c r="X600" t="str">
        <f>IF(ISBLANK(JP!X604),"","x")</f>
        <v/>
      </c>
      <c r="Y600" t="str">
        <f>IF(ISBLANK(JP!Y604),"","x")</f>
        <v/>
      </c>
      <c r="Z600" t="str">
        <f>IF(ISBLANK(JP!Z604),"","x")</f>
        <v/>
      </c>
      <c r="AA600" t="str">
        <f>IF(ISBLANK(JP!AB604),"","x")</f>
        <v/>
      </c>
      <c r="AB600" t="str">
        <f>IF(ISBLANK(JP!AC604),"","x")</f>
        <v/>
      </c>
      <c r="AC600" t="str">
        <f>IF(ISBLANK(JP!AD604),"","x")</f>
        <v/>
      </c>
      <c r="AD600" t="str">
        <f>IF(ISBLANK(JP!AE604),"","x")</f>
        <v/>
      </c>
      <c r="AE600" t="str">
        <f>IF(ISBLANK(JP!AF604),"","x")</f>
        <v/>
      </c>
      <c r="AF600" t="str">
        <f>IF(ISBLANK(JP!AG604),"","x")</f>
        <v/>
      </c>
      <c r="AG600" t="str">
        <f>IF(ISBLANK(JP!AH604),"","x")</f>
        <v/>
      </c>
      <c r="AH600" t="str">
        <f>IF(ISBLANK(JP!AJ604),"","x")</f>
        <v/>
      </c>
      <c r="AI600" t="str">
        <f>IF(ISBLANK(JP!AK604),"","x")</f>
        <v/>
      </c>
      <c r="AJ600" t="str">
        <f>IF(ISBLANK(JP!AL604),"","x")</f>
        <v/>
      </c>
      <c r="AK600" t="str">
        <f>IF(ISBLANK(JP!AM604),"","x")</f>
        <v/>
      </c>
      <c r="AL600" t="str">
        <f>IF(ISBLANK(JP!AN604),"","x")</f>
        <v/>
      </c>
      <c r="AM600" t="str">
        <f>IF(ISBLANK(JP!AO604),"","x")</f>
        <v/>
      </c>
      <c r="AN600" t="str">
        <f>IF(ISBLANK(JP!AP604),"","x")</f>
        <v/>
      </c>
      <c r="AO600" t="str">
        <f>IF(ISBLANK(JP!AR604),"","x")</f>
        <v/>
      </c>
      <c r="AP600" t="str">
        <f>IF(ISBLANK(JP!AS604),"","x")</f>
        <v/>
      </c>
      <c r="AQ600" t="str">
        <f>IF(ISBLANK(JP!AT604),"","x")</f>
        <v/>
      </c>
      <c r="AR600" t="str">
        <f>IF(ISBLANK(JP!AU604),"","x")</f>
        <v/>
      </c>
      <c r="AS600" t="str">
        <f>IF(ISBLANK(JP!AV604),"","x")</f>
        <v/>
      </c>
      <c r="AT600" t="str">
        <f>IF(ISBLANK(JP!AW604),"","x")</f>
        <v/>
      </c>
      <c r="AU600" t="str">
        <f>IF(ISBLANK(JP!AX604),"","x")</f>
        <v/>
      </c>
    </row>
    <row r="601" spans="2:47">
      <c r="B601" t="str">
        <f>IF(ISBLANK(JP!AZ605),"",JP!AZ605)</f>
        <v/>
      </c>
      <c r="C601" t="str">
        <f>IF(ISBLANK(JP!BA605),"",JP!BA605)</f>
        <v/>
      </c>
      <c r="D601" t="str">
        <f>IF(ISBLANK(JP!BC605),"",JP!BC605)</f>
        <v/>
      </c>
      <c r="E601" t="str">
        <f>IF(ISBLANK(JP!BB605),"",JP!BB605)</f>
        <v/>
      </c>
      <c r="F601" t="str">
        <f>IF(ISBLANK(JP!D605),"","x")</f>
        <v/>
      </c>
      <c r="G601" t="str">
        <f>IF(ISBLANK(JP!E605),"","x")</f>
        <v/>
      </c>
      <c r="H601" t="str">
        <f>IF(ISBLANK(JP!F605),"","x")</f>
        <v/>
      </c>
      <c r="I601" t="str">
        <f>IF(ISBLANK(JP!G605),"","x")</f>
        <v/>
      </c>
      <c r="J601" t="str">
        <f>IF(ISBLANK(JP!H605),"","x")</f>
        <v/>
      </c>
      <c r="K601" t="str">
        <f>IF(ISBLANK(JP!I605),"","x")</f>
        <v/>
      </c>
      <c r="L601" t="str">
        <f>IF(ISBLANK(JP!J605),"","x")</f>
        <v/>
      </c>
      <c r="M601" t="str">
        <f>IF(ISBLANK(JP!L605),"","x")</f>
        <v/>
      </c>
      <c r="N601" t="str">
        <f>IF(ISBLANK(JP!M605),"","x")</f>
        <v/>
      </c>
      <c r="O601" t="str">
        <f>IF(ISBLANK(JP!N605),"","x")</f>
        <v/>
      </c>
      <c r="P601" t="str">
        <f>IF(ISBLANK(JP!O605),"","x")</f>
        <v/>
      </c>
      <c r="Q601" t="str">
        <f>IF(ISBLANK(JP!P605),"","x")</f>
        <v/>
      </c>
      <c r="R601" t="str">
        <f>IF(ISBLANK(JP!Q605),"","x")</f>
        <v/>
      </c>
      <c r="S601" t="str">
        <f>IF(ISBLANK(JP!R605),"","x")</f>
        <v/>
      </c>
      <c r="T601" t="str">
        <f>IF(ISBLANK(JP!T605),"","x")</f>
        <v/>
      </c>
      <c r="U601" t="str">
        <f>IF(ISBLANK(JP!U605),"","x")</f>
        <v/>
      </c>
      <c r="V601" t="str">
        <f>IF(ISBLANK(JP!V605),"","x")</f>
        <v/>
      </c>
      <c r="W601" t="str">
        <f>IF(ISBLANK(JP!W605),"","x")</f>
        <v/>
      </c>
      <c r="X601" t="str">
        <f>IF(ISBLANK(JP!X605),"","x")</f>
        <v/>
      </c>
      <c r="Y601" t="str">
        <f>IF(ISBLANK(JP!Y605),"","x")</f>
        <v/>
      </c>
      <c r="Z601" t="str">
        <f>IF(ISBLANK(JP!Z605),"","x")</f>
        <v/>
      </c>
      <c r="AA601" t="str">
        <f>IF(ISBLANK(JP!AB605),"","x")</f>
        <v/>
      </c>
      <c r="AB601" t="str">
        <f>IF(ISBLANK(JP!AC605),"","x")</f>
        <v/>
      </c>
      <c r="AC601" t="str">
        <f>IF(ISBLANK(JP!AD605),"","x")</f>
        <v/>
      </c>
      <c r="AD601" t="str">
        <f>IF(ISBLANK(JP!AE605),"","x")</f>
        <v/>
      </c>
      <c r="AE601" t="str">
        <f>IF(ISBLANK(JP!AF605),"","x")</f>
        <v/>
      </c>
      <c r="AF601" t="str">
        <f>IF(ISBLANK(JP!AG605),"","x")</f>
        <v/>
      </c>
      <c r="AG601" t="str">
        <f>IF(ISBLANK(JP!AH605),"","x")</f>
        <v/>
      </c>
      <c r="AH601" t="str">
        <f>IF(ISBLANK(JP!AJ605),"","x")</f>
        <v/>
      </c>
      <c r="AI601" t="str">
        <f>IF(ISBLANK(JP!AK605),"","x")</f>
        <v/>
      </c>
      <c r="AJ601" t="str">
        <f>IF(ISBLANK(JP!AL605),"","x")</f>
        <v/>
      </c>
      <c r="AK601" t="str">
        <f>IF(ISBLANK(JP!AM605),"","x")</f>
        <v/>
      </c>
      <c r="AL601" t="str">
        <f>IF(ISBLANK(JP!AN605),"","x")</f>
        <v/>
      </c>
      <c r="AM601" t="str">
        <f>IF(ISBLANK(JP!AO605),"","x")</f>
        <v/>
      </c>
      <c r="AN601" t="str">
        <f>IF(ISBLANK(JP!AP605),"","x")</f>
        <v/>
      </c>
      <c r="AO601" t="str">
        <f>IF(ISBLANK(JP!AR605),"","x")</f>
        <v/>
      </c>
      <c r="AP601" t="str">
        <f>IF(ISBLANK(JP!AS605),"","x")</f>
        <v/>
      </c>
      <c r="AQ601" t="str">
        <f>IF(ISBLANK(JP!AT605),"","x")</f>
        <v/>
      </c>
      <c r="AR601" t="str">
        <f>IF(ISBLANK(JP!AU605),"","x")</f>
        <v/>
      </c>
      <c r="AS601" t="str">
        <f>IF(ISBLANK(JP!AV605),"","x")</f>
        <v/>
      </c>
      <c r="AT601" t="str">
        <f>IF(ISBLANK(JP!AW605),"","x")</f>
        <v/>
      </c>
      <c r="AU601" t="str">
        <f>IF(ISBLANK(JP!AX605),"","x")</f>
        <v/>
      </c>
    </row>
    <row r="602" spans="2:47">
      <c r="B602" t="str">
        <f>IF(ISBLANK(JP!AZ606),"",JP!AZ606)</f>
        <v/>
      </c>
      <c r="C602" t="str">
        <f>IF(ISBLANK(JP!BA606),"",JP!BA606)</f>
        <v/>
      </c>
      <c r="D602" t="str">
        <f>IF(ISBLANK(JP!BC606),"",JP!BC606)</f>
        <v/>
      </c>
      <c r="E602" t="str">
        <f>IF(ISBLANK(JP!BB606),"",JP!BB606)</f>
        <v/>
      </c>
      <c r="F602" t="str">
        <f>IF(ISBLANK(JP!D606),"","x")</f>
        <v/>
      </c>
      <c r="G602" t="str">
        <f>IF(ISBLANK(JP!E606),"","x")</f>
        <v/>
      </c>
      <c r="H602" t="str">
        <f>IF(ISBLANK(JP!F606),"","x")</f>
        <v/>
      </c>
      <c r="I602" t="str">
        <f>IF(ISBLANK(JP!G606),"","x")</f>
        <v/>
      </c>
      <c r="J602" t="str">
        <f>IF(ISBLANK(JP!H606),"","x")</f>
        <v/>
      </c>
      <c r="K602" t="str">
        <f>IF(ISBLANK(JP!I606),"","x")</f>
        <v/>
      </c>
      <c r="L602" t="str">
        <f>IF(ISBLANK(JP!J606),"","x")</f>
        <v/>
      </c>
      <c r="M602" t="str">
        <f>IF(ISBLANK(JP!L606),"","x")</f>
        <v/>
      </c>
      <c r="N602" t="str">
        <f>IF(ISBLANK(JP!M606),"","x")</f>
        <v/>
      </c>
      <c r="O602" t="str">
        <f>IF(ISBLANK(JP!N606),"","x")</f>
        <v/>
      </c>
      <c r="P602" t="str">
        <f>IF(ISBLANK(JP!O606),"","x")</f>
        <v/>
      </c>
      <c r="Q602" t="str">
        <f>IF(ISBLANK(JP!P606),"","x")</f>
        <v/>
      </c>
      <c r="R602" t="str">
        <f>IF(ISBLANK(JP!Q606),"","x")</f>
        <v/>
      </c>
      <c r="S602" t="str">
        <f>IF(ISBLANK(JP!R606),"","x")</f>
        <v/>
      </c>
      <c r="T602" t="str">
        <f>IF(ISBLANK(JP!T606),"","x")</f>
        <v/>
      </c>
      <c r="U602" t="str">
        <f>IF(ISBLANK(JP!U606),"","x")</f>
        <v/>
      </c>
      <c r="V602" t="str">
        <f>IF(ISBLANK(JP!V606),"","x")</f>
        <v/>
      </c>
      <c r="W602" t="str">
        <f>IF(ISBLANK(JP!W606),"","x")</f>
        <v/>
      </c>
      <c r="X602" t="str">
        <f>IF(ISBLANK(JP!X606),"","x")</f>
        <v/>
      </c>
      <c r="Y602" t="str">
        <f>IF(ISBLANK(JP!Y606),"","x")</f>
        <v/>
      </c>
      <c r="Z602" t="str">
        <f>IF(ISBLANK(JP!Z606),"","x")</f>
        <v/>
      </c>
      <c r="AA602" t="str">
        <f>IF(ISBLANK(JP!AB606),"","x")</f>
        <v/>
      </c>
      <c r="AB602" t="str">
        <f>IF(ISBLANK(JP!AC606),"","x")</f>
        <v/>
      </c>
      <c r="AC602" t="str">
        <f>IF(ISBLANK(JP!AD606),"","x")</f>
        <v/>
      </c>
      <c r="AD602" t="str">
        <f>IF(ISBLANK(JP!AE606),"","x")</f>
        <v/>
      </c>
      <c r="AE602" t="str">
        <f>IF(ISBLANK(JP!AF606),"","x")</f>
        <v/>
      </c>
      <c r="AF602" t="str">
        <f>IF(ISBLANK(JP!AG606),"","x")</f>
        <v/>
      </c>
      <c r="AG602" t="str">
        <f>IF(ISBLANK(JP!AH606),"","x")</f>
        <v/>
      </c>
      <c r="AH602" t="str">
        <f>IF(ISBLANK(JP!AJ606),"","x")</f>
        <v/>
      </c>
      <c r="AI602" t="str">
        <f>IF(ISBLANK(JP!AK606),"","x")</f>
        <v/>
      </c>
      <c r="AJ602" t="str">
        <f>IF(ISBLANK(JP!AL606),"","x")</f>
        <v/>
      </c>
      <c r="AK602" t="str">
        <f>IF(ISBLANK(JP!AM606),"","x")</f>
        <v/>
      </c>
      <c r="AL602" t="str">
        <f>IF(ISBLANK(JP!AN606),"","x")</f>
        <v/>
      </c>
      <c r="AM602" t="str">
        <f>IF(ISBLANK(JP!AO606),"","x")</f>
        <v/>
      </c>
      <c r="AN602" t="str">
        <f>IF(ISBLANK(JP!AP606),"","x")</f>
        <v/>
      </c>
      <c r="AO602" t="str">
        <f>IF(ISBLANK(JP!AR606),"","x")</f>
        <v/>
      </c>
      <c r="AP602" t="str">
        <f>IF(ISBLANK(JP!AS606),"","x")</f>
        <v/>
      </c>
      <c r="AQ602" t="str">
        <f>IF(ISBLANK(JP!AT606),"","x")</f>
        <v/>
      </c>
      <c r="AR602" t="str">
        <f>IF(ISBLANK(JP!AU606),"","x")</f>
        <v/>
      </c>
      <c r="AS602" t="str">
        <f>IF(ISBLANK(JP!AV606),"","x")</f>
        <v/>
      </c>
      <c r="AT602" t="str">
        <f>IF(ISBLANK(JP!AW606),"","x")</f>
        <v/>
      </c>
      <c r="AU602" t="str">
        <f>IF(ISBLANK(JP!AX606),"","x")</f>
        <v/>
      </c>
    </row>
    <row r="603" spans="2:47">
      <c r="B603" t="str">
        <f>IF(ISBLANK(JP!AZ607),"",JP!AZ607)</f>
        <v/>
      </c>
      <c r="C603" t="str">
        <f>IF(ISBLANK(JP!BA607),"",JP!BA607)</f>
        <v/>
      </c>
      <c r="D603" t="str">
        <f>IF(ISBLANK(JP!BC607),"",JP!BC607)</f>
        <v/>
      </c>
      <c r="E603" t="str">
        <f>IF(ISBLANK(JP!BB607),"",JP!BB607)</f>
        <v/>
      </c>
      <c r="F603" t="str">
        <f>IF(ISBLANK(JP!D607),"","x")</f>
        <v/>
      </c>
      <c r="G603" t="str">
        <f>IF(ISBLANK(JP!E607),"","x")</f>
        <v/>
      </c>
      <c r="H603" t="str">
        <f>IF(ISBLANK(JP!F607),"","x")</f>
        <v/>
      </c>
      <c r="I603" t="str">
        <f>IF(ISBLANK(JP!G607),"","x")</f>
        <v/>
      </c>
      <c r="J603" t="str">
        <f>IF(ISBLANK(JP!H607),"","x")</f>
        <v/>
      </c>
      <c r="K603" t="str">
        <f>IF(ISBLANK(JP!I607),"","x")</f>
        <v/>
      </c>
      <c r="L603" t="str">
        <f>IF(ISBLANK(JP!J607),"","x")</f>
        <v/>
      </c>
      <c r="M603" t="str">
        <f>IF(ISBLANK(JP!L607),"","x")</f>
        <v/>
      </c>
      <c r="N603" t="str">
        <f>IF(ISBLANK(JP!M607),"","x")</f>
        <v/>
      </c>
      <c r="O603" t="str">
        <f>IF(ISBLANK(JP!N607),"","x")</f>
        <v/>
      </c>
      <c r="P603" t="str">
        <f>IF(ISBLANK(JP!O607),"","x")</f>
        <v/>
      </c>
      <c r="Q603" t="str">
        <f>IF(ISBLANK(JP!P607),"","x")</f>
        <v/>
      </c>
      <c r="R603" t="str">
        <f>IF(ISBLANK(JP!Q607),"","x")</f>
        <v/>
      </c>
      <c r="S603" t="str">
        <f>IF(ISBLANK(JP!R607),"","x")</f>
        <v/>
      </c>
      <c r="T603" t="str">
        <f>IF(ISBLANK(JP!T607),"","x")</f>
        <v/>
      </c>
      <c r="U603" t="str">
        <f>IF(ISBLANK(JP!U607),"","x")</f>
        <v/>
      </c>
      <c r="V603" t="str">
        <f>IF(ISBLANK(JP!V607),"","x")</f>
        <v/>
      </c>
      <c r="W603" t="str">
        <f>IF(ISBLANK(JP!W607),"","x")</f>
        <v/>
      </c>
      <c r="X603" t="str">
        <f>IF(ISBLANK(JP!X607),"","x")</f>
        <v/>
      </c>
      <c r="Y603" t="str">
        <f>IF(ISBLANK(JP!Y607),"","x")</f>
        <v/>
      </c>
      <c r="Z603" t="str">
        <f>IF(ISBLANK(JP!Z607),"","x")</f>
        <v/>
      </c>
      <c r="AA603" t="str">
        <f>IF(ISBLANK(JP!AB607),"","x")</f>
        <v/>
      </c>
      <c r="AB603" t="str">
        <f>IF(ISBLANK(JP!AC607),"","x")</f>
        <v/>
      </c>
      <c r="AC603" t="str">
        <f>IF(ISBLANK(JP!AD607),"","x")</f>
        <v/>
      </c>
      <c r="AD603" t="str">
        <f>IF(ISBLANK(JP!AE607),"","x")</f>
        <v/>
      </c>
      <c r="AE603" t="str">
        <f>IF(ISBLANK(JP!AF607),"","x")</f>
        <v/>
      </c>
      <c r="AF603" t="str">
        <f>IF(ISBLANK(JP!AG607),"","x")</f>
        <v/>
      </c>
      <c r="AG603" t="str">
        <f>IF(ISBLANK(JP!AH607),"","x")</f>
        <v/>
      </c>
      <c r="AH603" t="str">
        <f>IF(ISBLANK(JP!AJ607),"","x")</f>
        <v/>
      </c>
      <c r="AI603" t="str">
        <f>IF(ISBLANK(JP!AK607),"","x")</f>
        <v/>
      </c>
      <c r="AJ603" t="str">
        <f>IF(ISBLANK(JP!AL607),"","x")</f>
        <v/>
      </c>
      <c r="AK603" t="str">
        <f>IF(ISBLANK(JP!AM607),"","x")</f>
        <v/>
      </c>
      <c r="AL603" t="str">
        <f>IF(ISBLANK(JP!AN607),"","x")</f>
        <v/>
      </c>
      <c r="AM603" t="str">
        <f>IF(ISBLANK(JP!AO607),"","x")</f>
        <v/>
      </c>
      <c r="AN603" t="str">
        <f>IF(ISBLANK(JP!AP607),"","x")</f>
        <v/>
      </c>
      <c r="AO603" t="str">
        <f>IF(ISBLANK(JP!AR607),"","x")</f>
        <v/>
      </c>
      <c r="AP603" t="str">
        <f>IF(ISBLANK(JP!AS607),"","x")</f>
        <v/>
      </c>
      <c r="AQ603" t="str">
        <f>IF(ISBLANK(JP!AT607),"","x")</f>
        <v/>
      </c>
      <c r="AR603" t="str">
        <f>IF(ISBLANK(JP!AU607),"","x")</f>
        <v/>
      </c>
      <c r="AS603" t="str">
        <f>IF(ISBLANK(JP!AV607),"","x")</f>
        <v/>
      </c>
      <c r="AT603" t="str">
        <f>IF(ISBLANK(JP!AW607),"","x")</f>
        <v/>
      </c>
      <c r="AU603" t="str">
        <f>IF(ISBLANK(JP!AX607),"","x")</f>
        <v/>
      </c>
    </row>
    <row r="604" spans="2:47">
      <c r="B604" t="str">
        <f>IF(ISBLANK(JP!AZ608),"",JP!AZ608)</f>
        <v/>
      </c>
      <c r="C604" t="str">
        <f>IF(ISBLANK(JP!BA608),"",JP!BA608)</f>
        <v/>
      </c>
      <c r="D604" t="str">
        <f>IF(ISBLANK(JP!BC608),"",JP!BC608)</f>
        <v/>
      </c>
      <c r="E604" t="str">
        <f>IF(ISBLANK(JP!BB608),"",JP!BB608)</f>
        <v/>
      </c>
      <c r="F604" t="str">
        <f>IF(ISBLANK(JP!D608),"","x")</f>
        <v/>
      </c>
      <c r="G604" t="str">
        <f>IF(ISBLANK(JP!E608),"","x")</f>
        <v/>
      </c>
      <c r="H604" t="str">
        <f>IF(ISBLANK(JP!F608),"","x")</f>
        <v/>
      </c>
      <c r="I604" t="str">
        <f>IF(ISBLANK(JP!G608),"","x")</f>
        <v/>
      </c>
      <c r="J604" t="str">
        <f>IF(ISBLANK(JP!H608),"","x")</f>
        <v/>
      </c>
      <c r="K604" t="str">
        <f>IF(ISBLANK(JP!I608),"","x")</f>
        <v/>
      </c>
      <c r="L604" t="str">
        <f>IF(ISBLANK(JP!J608),"","x")</f>
        <v/>
      </c>
      <c r="M604" t="str">
        <f>IF(ISBLANK(JP!L608),"","x")</f>
        <v/>
      </c>
      <c r="N604" t="str">
        <f>IF(ISBLANK(JP!M608),"","x")</f>
        <v/>
      </c>
      <c r="O604" t="str">
        <f>IF(ISBLANK(JP!N608),"","x")</f>
        <v/>
      </c>
      <c r="P604" t="str">
        <f>IF(ISBLANK(JP!O608),"","x")</f>
        <v/>
      </c>
      <c r="Q604" t="str">
        <f>IF(ISBLANK(JP!P608),"","x")</f>
        <v/>
      </c>
      <c r="R604" t="str">
        <f>IF(ISBLANK(JP!Q608),"","x")</f>
        <v/>
      </c>
      <c r="S604" t="str">
        <f>IF(ISBLANK(JP!R608),"","x")</f>
        <v/>
      </c>
      <c r="T604" t="str">
        <f>IF(ISBLANK(JP!T608),"","x")</f>
        <v/>
      </c>
      <c r="U604" t="str">
        <f>IF(ISBLANK(JP!U608),"","x")</f>
        <v/>
      </c>
      <c r="V604" t="str">
        <f>IF(ISBLANK(JP!V608),"","x")</f>
        <v/>
      </c>
      <c r="W604" t="str">
        <f>IF(ISBLANK(JP!W608),"","x")</f>
        <v/>
      </c>
      <c r="X604" t="str">
        <f>IF(ISBLANK(JP!X608),"","x")</f>
        <v/>
      </c>
      <c r="Y604" t="str">
        <f>IF(ISBLANK(JP!Y608),"","x")</f>
        <v/>
      </c>
      <c r="Z604" t="str">
        <f>IF(ISBLANK(JP!Z608),"","x")</f>
        <v/>
      </c>
      <c r="AA604" t="str">
        <f>IF(ISBLANK(JP!AB608),"","x")</f>
        <v/>
      </c>
      <c r="AB604" t="str">
        <f>IF(ISBLANK(JP!AC608),"","x")</f>
        <v/>
      </c>
      <c r="AC604" t="str">
        <f>IF(ISBLANK(JP!AD608),"","x")</f>
        <v/>
      </c>
      <c r="AD604" t="str">
        <f>IF(ISBLANK(JP!AE608),"","x")</f>
        <v/>
      </c>
      <c r="AE604" t="str">
        <f>IF(ISBLANK(JP!AF608),"","x")</f>
        <v/>
      </c>
      <c r="AF604" t="str">
        <f>IF(ISBLANK(JP!AG608),"","x")</f>
        <v/>
      </c>
      <c r="AG604" t="str">
        <f>IF(ISBLANK(JP!AH608),"","x")</f>
        <v/>
      </c>
      <c r="AH604" t="str">
        <f>IF(ISBLANK(JP!AJ608),"","x")</f>
        <v/>
      </c>
      <c r="AI604" t="str">
        <f>IF(ISBLANK(JP!AK608),"","x")</f>
        <v/>
      </c>
      <c r="AJ604" t="str">
        <f>IF(ISBLANK(JP!AL608),"","x")</f>
        <v/>
      </c>
      <c r="AK604" t="str">
        <f>IF(ISBLANK(JP!AM608),"","x")</f>
        <v/>
      </c>
      <c r="AL604" t="str">
        <f>IF(ISBLANK(JP!AN608),"","x")</f>
        <v/>
      </c>
      <c r="AM604" t="str">
        <f>IF(ISBLANK(JP!AO608),"","x")</f>
        <v/>
      </c>
      <c r="AN604" t="str">
        <f>IF(ISBLANK(JP!AP608),"","x")</f>
        <v/>
      </c>
      <c r="AO604" t="str">
        <f>IF(ISBLANK(JP!AR608),"","x")</f>
        <v/>
      </c>
      <c r="AP604" t="str">
        <f>IF(ISBLANK(JP!AS608),"","x")</f>
        <v/>
      </c>
      <c r="AQ604" t="str">
        <f>IF(ISBLANK(JP!AT608),"","x")</f>
        <v/>
      </c>
      <c r="AR604" t="str">
        <f>IF(ISBLANK(JP!AU608),"","x")</f>
        <v/>
      </c>
      <c r="AS604" t="str">
        <f>IF(ISBLANK(JP!AV608),"","x")</f>
        <v/>
      </c>
      <c r="AT604" t="str">
        <f>IF(ISBLANK(JP!AW608),"","x")</f>
        <v/>
      </c>
      <c r="AU604" t="str">
        <f>IF(ISBLANK(JP!AX608),"","x")</f>
        <v/>
      </c>
    </row>
    <row r="605" spans="2:47">
      <c r="B605" t="str">
        <f>IF(ISBLANK(JP!AZ609),"",JP!AZ609)</f>
        <v/>
      </c>
      <c r="C605" t="str">
        <f>IF(ISBLANK(JP!BA609),"",JP!BA609)</f>
        <v/>
      </c>
      <c r="D605" t="str">
        <f>IF(ISBLANK(JP!BC609),"",JP!BC609)</f>
        <v/>
      </c>
      <c r="E605" t="str">
        <f>IF(ISBLANK(JP!BB609),"",JP!BB609)</f>
        <v/>
      </c>
      <c r="F605" t="str">
        <f>IF(ISBLANK(JP!D609),"","x")</f>
        <v/>
      </c>
      <c r="G605" t="str">
        <f>IF(ISBLANK(JP!E609),"","x")</f>
        <v/>
      </c>
      <c r="H605" t="str">
        <f>IF(ISBLANK(JP!F609),"","x")</f>
        <v/>
      </c>
      <c r="I605" t="str">
        <f>IF(ISBLANK(JP!G609),"","x")</f>
        <v/>
      </c>
      <c r="J605" t="str">
        <f>IF(ISBLANK(JP!H609),"","x")</f>
        <v/>
      </c>
      <c r="K605" t="str">
        <f>IF(ISBLANK(JP!I609),"","x")</f>
        <v/>
      </c>
      <c r="L605" t="str">
        <f>IF(ISBLANK(JP!J609),"","x")</f>
        <v/>
      </c>
      <c r="M605" t="str">
        <f>IF(ISBLANK(JP!L609),"","x")</f>
        <v/>
      </c>
      <c r="N605" t="str">
        <f>IF(ISBLANK(JP!M609),"","x")</f>
        <v/>
      </c>
      <c r="O605" t="str">
        <f>IF(ISBLANK(JP!N609),"","x")</f>
        <v/>
      </c>
      <c r="P605" t="str">
        <f>IF(ISBLANK(JP!O609),"","x")</f>
        <v/>
      </c>
      <c r="Q605" t="str">
        <f>IF(ISBLANK(JP!P609),"","x")</f>
        <v/>
      </c>
      <c r="R605" t="str">
        <f>IF(ISBLANK(JP!Q609),"","x")</f>
        <v/>
      </c>
      <c r="S605" t="str">
        <f>IF(ISBLANK(JP!R609),"","x")</f>
        <v/>
      </c>
      <c r="T605" t="str">
        <f>IF(ISBLANK(JP!T609),"","x")</f>
        <v/>
      </c>
      <c r="U605" t="str">
        <f>IF(ISBLANK(JP!U609),"","x")</f>
        <v/>
      </c>
      <c r="V605" t="str">
        <f>IF(ISBLANK(JP!V609),"","x")</f>
        <v/>
      </c>
      <c r="W605" t="str">
        <f>IF(ISBLANK(JP!W609),"","x")</f>
        <v/>
      </c>
      <c r="X605" t="str">
        <f>IF(ISBLANK(JP!X609),"","x")</f>
        <v/>
      </c>
      <c r="Y605" t="str">
        <f>IF(ISBLANK(JP!Y609),"","x")</f>
        <v/>
      </c>
      <c r="Z605" t="str">
        <f>IF(ISBLANK(JP!Z609),"","x")</f>
        <v/>
      </c>
      <c r="AA605" t="str">
        <f>IF(ISBLANK(JP!AB609),"","x")</f>
        <v/>
      </c>
      <c r="AB605" t="str">
        <f>IF(ISBLANK(JP!AC609),"","x")</f>
        <v/>
      </c>
      <c r="AC605" t="str">
        <f>IF(ISBLANK(JP!AD609),"","x")</f>
        <v/>
      </c>
      <c r="AD605" t="str">
        <f>IF(ISBLANK(JP!AE609),"","x")</f>
        <v/>
      </c>
      <c r="AE605" t="str">
        <f>IF(ISBLANK(JP!AF609),"","x")</f>
        <v/>
      </c>
      <c r="AF605" t="str">
        <f>IF(ISBLANK(JP!AG609),"","x")</f>
        <v/>
      </c>
      <c r="AG605" t="str">
        <f>IF(ISBLANK(JP!AH609),"","x")</f>
        <v/>
      </c>
      <c r="AH605" t="str">
        <f>IF(ISBLANK(JP!AJ609),"","x")</f>
        <v/>
      </c>
      <c r="AI605" t="str">
        <f>IF(ISBLANK(JP!AK609),"","x")</f>
        <v/>
      </c>
      <c r="AJ605" t="str">
        <f>IF(ISBLANK(JP!AL609),"","x")</f>
        <v/>
      </c>
      <c r="AK605" t="str">
        <f>IF(ISBLANK(JP!AM609),"","x")</f>
        <v/>
      </c>
      <c r="AL605" t="str">
        <f>IF(ISBLANK(JP!AN609),"","x")</f>
        <v/>
      </c>
      <c r="AM605" t="str">
        <f>IF(ISBLANK(JP!AO609),"","x")</f>
        <v/>
      </c>
      <c r="AN605" t="str">
        <f>IF(ISBLANK(JP!AP609),"","x")</f>
        <v/>
      </c>
      <c r="AO605" t="str">
        <f>IF(ISBLANK(JP!AR609),"","x")</f>
        <v/>
      </c>
      <c r="AP605" t="str">
        <f>IF(ISBLANK(JP!AS609),"","x")</f>
        <v/>
      </c>
      <c r="AQ605" t="str">
        <f>IF(ISBLANK(JP!AT609),"","x")</f>
        <v/>
      </c>
      <c r="AR605" t="str">
        <f>IF(ISBLANK(JP!AU609),"","x")</f>
        <v/>
      </c>
      <c r="AS605" t="str">
        <f>IF(ISBLANK(JP!AV609),"","x")</f>
        <v/>
      </c>
      <c r="AT605" t="str">
        <f>IF(ISBLANK(JP!AW609),"","x")</f>
        <v/>
      </c>
      <c r="AU605" t="str">
        <f>IF(ISBLANK(JP!AX609),"","x")</f>
        <v/>
      </c>
    </row>
    <row r="606" spans="2:47">
      <c r="B606" t="str">
        <f>IF(ISBLANK(JP!AZ610),"",JP!AZ610)</f>
        <v/>
      </c>
      <c r="C606" t="str">
        <f>IF(ISBLANK(JP!BA610),"",JP!BA610)</f>
        <v/>
      </c>
      <c r="D606" t="str">
        <f>IF(ISBLANK(JP!BC610),"",JP!BC610)</f>
        <v/>
      </c>
      <c r="E606" t="str">
        <f>IF(ISBLANK(JP!BB610),"",JP!BB610)</f>
        <v/>
      </c>
      <c r="F606" t="str">
        <f>IF(ISBLANK(JP!D610),"","x")</f>
        <v/>
      </c>
      <c r="G606" t="str">
        <f>IF(ISBLANK(JP!E610),"","x")</f>
        <v/>
      </c>
      <c r="H606" t="str">
        <f>IF(ISBLANK(JP!F610),"","x")</f>
        <v/>
      </c>
      <c r="I606" t="str">
        <f>IF(ISBLANK(JP!G610),"","x")</f>
        <v/>
      </c>
      <c r="J606" t="str">
        <f>IF(ISBLANK(JP!H610),"","x")</f>
        <v/>
      </c>
      <c r="K606" t="str">
        <f>IF(ISBLANK(JP!I610),"","x")</f>
        <v/>
      </c>
      <c r="L606" t="str">
        <f>IF(ISBLANK(JP!J610),"","x")</f>
        <v/>
      </c>
      <c r="M606" t="str">
        <f>IF(ISBLANK(JP!L610),"","x")</f>
        <v/>
      </c>
      <c r="N606" t="str">
        <f>IF(ISBLANK(JP!M610),"","x")</f>
        <v/>
      </c>
      <c r="O606" t="str">
        <f>IF(ISBLANK(JP!N610),"","x")</f>
        <v/>
      </c>
      <c r="P606" t="str">
        <f>IF(ISBLANK(JP!O610),"","x")</f>
        <v/>
      </c>
      <c r="Q606" t="str">
        <f>IF(ISBLANK(JP!P610),"","x")</f>
        <v/>
      </c>
      <c r="R606" t="str">
        <f>IF(ISBLANK(JP!Q610),"","x")</f>
        <v/>
      </c>
      <c r="S606" t="str">
        <f>IF(ISBLANK(JP!R610),"","x")</f>
        <v/>
      </c>
      <c r="T606" t="str">
        <f>IF(ISBLANK(JP!T610),"","x")</f>
        <v/>
      </c>
      <c r="U606" t="str">
        <f>IF(ISBLANK(JP!U610),"","x")</f>
        <v/>
      </c>
      <c r="V606" t="str">
        <f>IF(ISBLANK(JP!V610),"","x")</f>
        <v/>
      </c>
      <c r="W606" t="str">
        <f>IF(ISBLANK(JP!W610),"","x")</f>
        <v/>
      </c>
      <c r="X606" t="str">
        <f>IF(ISBLANK(JP!X610),"","x")</f>
        <v/>
      </c>
      <c r="Y606" t="str">
        <f>IF(ISBLANK(JP!Y610),"","x")</f>
        <v/>
      </c>
      <c r="Z606" t="str">
        <f>IF(ISBLANK(JP!Z610),"","x")</f>
        <v/>
      </c>
      <c r="AA606" t="str">
        <f>IF(ISBLANK(JP!AB610),"","x")</f>
        <v/>
      </c>
      <c r="AB606" t="str">
        <f>IF(ISBLANK(JP!AC610),"","x")</f>
        <v/>
      </c>
      <c r="AC606" t="str">
        <f>IF(ISBLANK(JP!AD610),"","x")</f>
        <v/>
      </c>
      <c r="AD606" t="str">
        <f>IF(ISBLANK(JP!AE610),"","x")</f>
        <v/>
      </c>
      <c r="AE606" t="str">
        <f>IF(ISBLANK(JP!AF610),"","x")</f>
        <v/>
      </c>
      <c r="AF606" t="str">
        <f>IF(ISBLANK(JP!AG610),"","x")</f>
        <v/>
      </c>
      <c r="AG606" t="str">
        <f>IF(ISBLANK(JP!AH610),"","x")</f>
        <v/>
      </c>
      <c r="AH606" t="str">
        <f>IF(ISBLANK(JP!AJ610),"","x")</f>
        <v/>
      </c>
      <c r="AI606" t="str">
        <f>IF(ISBLANK(JP!AK610),"","x")</f>
        <v/>
      </c>
      <c r="AJ606" t="str">
        <f>IF(ISBLANK(JP!AL610),"","x")</f>
        <v/>
      </c>
      <c r="AK606" t="str">
        <f>IF(ISBLANK(JP!AM610),"","x")</f>
        <v/>
      </c>
      <c r="AL606" t="str">
        <f>IF(ISBLANK(JP!AN610),"","x")</f>
        <v/>
      </c>
      <c r="AM606" t="str">
        <f>IF(ISBLANK(JP!AO610),"","x")</f>
        <v/>
      </c>
      <c r="AN606" t="str">
        <f>IF(ISBLANK(JP!AP610),"","x")</f>
        <v/>
      </c>
      <c r="AO606" t="str">
        <f>IF(ISBLANK(JP!AR610),"","x")</f>
        <v/>
      </c>
      <c r="AP606" t="str">
        <f>IF(ISBLANK(JP!AS610),"","x")</f>
        <v/>
      </c>
      <c r="AQ606" t="str">
        <f>IF(ISBLANK(JP!AT610),"","x")</f>
        <v/>
      </c>
      <c r="AR606" t="str">
        <f>IF(ISBLANK(JP!AU610),"","x")</f>
        <v/>
      </c>
      <c r="AS606" t="str">
        <f>IF(ISBLANK(JP!AV610),"","x")</f>
        <v/>
      </c>
      <c r="AT606" t="str">
        <f>IF(ISBLANK(JP!AW610),"","x")</f>
        <v/>
      </c>
      <c r="AU606" t="str">
        <f>IF(ISBLANK(JP!AX610),"","x")</f>
        <v/>
      </c>
    </row>
    <row r="607" spans="2:47">
      <c r="B607" t="str">
        <f>IF(ISBLANK(JP!AZ611),"",JP!AZ611)</f>
        <v/>
      </c>
      <c r="C607" t="str">
        <f>IF(ISBLANK(JP!BA611),"",JP!BA611)</f>
        <v/>
      </c>
      <c r="D607" t="str">
        <f>IF(ISBLANK(JP!BC611),"",JP!BC611)</f>
        <v/>
      </c>
      <c r="E607" t="str">
        <f>IF(ISBLANK(JP!BB611),"",JP!BB611)</f>
        <v/>
      </c>
      <c r="F607" t="str">
        <f>IF(ISBLANK(JP!D611),"","x")</f>
        <v/>
      </c>
      <c r="G607" t="str">
        <f>IF(ISBLANK(JP!E611),"","x")</f>
        <v/>
      </c>
      <c r="H607" t="str">
        <f>IF(ISBLANK(JP!F611),"","x")</f>
        <v/>
      </c>
      <c r="I607" t="str">
        <f>IF(ISBLANK(JP!G611),"","x")</f>
        <v/>
      </c>
      <c r="J607" t="str">
        <f>IF(ISBLANK(JP!H611),"","x")</f>
        <v/>
      </c>
      <c r="K607" t="str">
        <f>IF(ISBLANK(JP!I611),"","x")</f>
        <v/>
      </c>
      <c r="L607" t="str">
        <f>IF(ISBLANK(JP!J611),"","x")</f>
        <v/>
      </c>
      <c r="M607" t="str">
        <f>IF(ISBLANK(JP!L611),"","x")</f>
        <v/>
      </c>
      <c r="N607" t="str">
        <f>IF(ISBLANK(JP!M611),"","x")</f>
        <v/>
      </c>
      <c r="O607" t="str">
        <f>IF(ISBLANK(JP!N611),"","x")</f>
        <v/>
      </c>
      <c r="P607" t="str">
        <f>IF(ISBLANK(JP!O611),"","x")</f>
        <v/>
      </c>
      <c r="Q607" t="str">
        <f>IF(ISBLANK(JP!P611),"","x")</f>
        <v/>
      </c>
      <c r="R607" t="str">
        <f>IF(ISBLANK(JP!Q611),"","x")</f>
        <v/>
      </c>
      <c r="S607" t="str">
        <f>IF(ISBLANK(JP!R611),"","x")</f>
        <v/>
      </c>
      <c r="T607" t="str">
        <f>IF(ISBLANK(JP!T611),"","x")</f>
        <v/>
      </c>
      <c r="U607" t="str">
        <f>IF(ISBLANK(JP!U611),"","x")</f>
        <v/>
      </c>
      <c r="V607" t="str">
        <f>IF(ISBLANK(JP!V611),"","x")</f>
        <v/>
      </c>
      <c r="W607" t="str">
        <f>IF(ISBLANK(JP!W611),"","x")</f>
        <v/>
      </c>
      <c r="X607" t="str">
        <f>IF(ISBLANK(JP!X611),"","x")</f>
        <v/>
      </c>
      <c r="Y607" t="str">
        <f>IF(ISBLANK(JP!Y611),"","x")</f>
        <v/>
      </c>
      <c r="Z607" t="str">
        <f>IF(ISBLANK(JP!Z611),"","x")</f>
        <v/>
      </c>
      <c r="AA607" t="str">
        <f>IF(ISBLANK(JP!AB611),"","x")</f>
        <v/>
      </c>
      <c r="AB607" t="str">
        <f>IF(ISBLANK(JP!AC611),"","x")</f>
        <v/>
      </c>
      <c r="AC607" t="str">
        <f>IF(ISBLANK(JP!AD611),"","x")</f>
        <v/>
      </c>
      <c r="AD607" t="str">
        <f>IF(ISBLANK(JP!AE611),"","x")</f>
        <v/>
      </c>
      <c r="AE607" t="str">
        <f>IF(ISBLANK(JP!AF611),"","x")</f>
        <v/>
      </c>
      <c r="AF607" t="str">
        <f>IF(ISBLANK(JP!AG611),"","x")</f>
        <v/>
      </c>
      <c r="AG607" t="str">
        <f>IF(ISBLANK(JP!AH611),"","x")</f>
        <v/>
      </c>
      <c r="AH607" t="str">
        <f>IF(ISBLANK(JP!AJ611),"","x")</f>
        <v/>
      </c>
      <c r="AI607" t="str">
        <f>IF(ISBLANK(JP!AK611),"","x")</f>
        <v/>
      </c>
      <c r="AJ607" t="str">
        <f>IF(ISBLANK(JP!AL611),"","x")</f>
        <v/>
      </c>
      <c r="AK607" t="str">
        <f>IF(ISBLANK(JP!AM611),"","x")</f>
        <v/>
      </c>
      <c r="AL607" t="str">
        <f>IF(ISBLANK(JP!AN611),"","x")</f>
        <v/>
      </c>
      <c r="AM607" t="str">
        <f>IF(ISBLANK(JP!AO611),"","x")</f>
        <v/>
      </c>
      <c r="AN607" t="str">
        <f>IF(ISBLANK(JP!AP611),"","x")</f>
        <v/>
      </c>
      <c r="AO607" t="str">
        <f>IF(ISBLANK(JP!AR611),"","x")</f>
        <v/>
      </c>
      <c r="AP607" t="str">
        <f>IF(ISBLANK(JP!AS611),"","x")</f>
        <v/>
      </c>
      <c r="AQ607" t="str">
        <f>IF(ISBLANK(JP!AT611),"","x")</f>
        <v/>
      </c>
      <c r="AR607" t="str">
        <f>IF(ISBLANK(JP!AU611),"","x")</f>
        <v/>
      </c>
      <c r="AS607" t="str">
        <f>IF(ISBLANK(JP!AV611),"","x")</f>
        <v/>
      </c>
      <c r="AT607" t="str">
        <f>IF(ISBLANK(JP!AW611),"","x")</f>
        <v/>
      </c>
      <c r="AU607" t="str">
        <f>IF(ISBLANK(JP!AX611),"","x")</f>
        <v/>
      </c>
    </row>
    <row r="608" spans="2:47">
      <c r="B608" t="str">
        <f>IF(ISBLANK(JP!AZ612),"",JP!AZ612)</f>
        <v/>
      </c>
      <c r="C608" t="str">
        <f>IF(ISBLANK(JP!BA612),"",JP!BA612)</f>
        <v/>
      </c>
      <c r="D608" t="str">
        <f>IF(ISBLANK(JP!BC612),"",JP!BC612)</f>
        <v/>
      </c>
      <c r="E608" t="str">
        <f>IF(ISBLANK(JP!BB612),"",JP!BB612)</f>
        <v/>
      </c>
      <c r="F608" t="str">
        <f>IF(ISBLANK(JP!D612),"","x")</f>
        <v/>
      </c>
      <c r="G608" t="str">
        <f>IF(ISBLANK(JP!E612),"","x")</f>
        <v/>
      </c>
      <c r="H608" t="str">
        <f>IF(ISBLANK(JP!F612),"","x")</f>
        <v/>
      </c>
      <c r="I608" t="str">
        <f>IF(ISBLANK(JP!G612),"","x")</f>
        <v/>
      </c>
      <c r="J608" t="str">
        <f>IF(ISBLANK(JP!H612),"","x")</f>
        <v/>
      </c>
      <c r="K608" t="str">
        <f>IF(ISBLANK(JP!I612),"","x")</f>
        <v/>
      </c>
      <c r="L608" t="str">
        <f>IF(ISBLANK(JP!J612),"","x")</f>
        <v/>
      </c>
      <c r="M608" t="str">
        <f>IF(ISBLANK(JP!L612),"","x")</f>
        <v/>
      </c>
      <c r="N608" t="str">
        <f>IF(ISBLANK(JP!M612),"","x")</f>
        <v/>
      </c>
      <c r="O608" t="str">
        <f>IF(ISBLANK(JP!N612),"","x")</f>
        <v/>
      </c>
      <c r="P608" t="str">
        <f>IF(ISBLANK(JP!O612),"","x")</f>
        <v/>
      </c>
      <c r="Q608" t="str">
        <f>IF(ISBLANK(JP!P612),"","x")</f>
        <v/>
      </c>
      <c r="R608" t="str">
        <f>IF(ISBLANK(JP!Q612),"","x")</f>
        <v/>
      </c>
      <c r="S608" t="str">
        <f>IF(ISBLANK(JP!R612),"","x")</f>
        <v/>
      </c>
      <c r="T608" t="str">
        <f>IF(ISBLANK(JP!T612),"","x")</f>
        <v/>
      </c>
      <c r="U608" t="str">
        <f>IF(ISBLANK(JP!U612),"","x")</f>
        <v/>
      </c>
      <c r="V608" t="str">
        <f>IF(ISBLANK(JP!V612),"","x")</f>
        <v/>
      </c>
      <c r="W608" t="str">
        <f>IF(ISBLANK(JP!W612),"","x")</f>
        <v/>
      </c>
      <c r="X608" t="str">
        <f>IF(ISBLANK(JP!X612),"","x")</f>
        <v/>
      </c>
      <c r="Y608" t="str">
        <f>IF(ISBLANK(JP!Y612),"","x")</f>
        <v/>
      </c>
      <c r="Z608" t="str">
        <f>IF(ISBLANK(JP!Z612),"","x")</f>
        <v/>
      </c>
      <c r="AA608" t="str">
        <f>IF(ISBLANK(JP!AB612),"","x")</f>
        <v/>
      </c>
      <c r="AB608" t="str">
        <f>IF(ISBLANK(JP!AC612),"","x")</f>
        <v/>
      </c>
      <c r="AC608" t="str">
        <f>IF(ISBLANK(JP!AD612),"","x")</f>
        <v/>
      </c>
      <c r="AD608" t="str">
        <f>IF(ISBLANK(JP!AE612),"","x")</f>
        <v/>
      </c>
      <c r="AE608" t="str">
        <f>IF(ISBLANK(JP!AF612),"","x")</f>
        <v/>
      </c>
      <c r="AF608" t="str">
        <f>IF(ISBLANK(JP!AG612),"","x")</f>
        <v/>
      </c>
      <c r="AG608" t="str">
        <f>IF(ISBLANK(JP!AH612),"","x")</f>
        <v/>
      </c>
      <c r="AH608" t="str">
        <f>IF(ISBLANK(JP!AJ612),"","x")</f>
        <v/>
      </c>
      <c r="AI608" t="str">
        <f>IF(ISBLANK(JP!AK612),"","x")</f>
        <v/>
      </c>
      <c r="AJ608" t="str">
        <f>IF(ISBLANK(JP!AL612),"","x")</f>
        <v/>
      </c>
      <c r="AK608" t="str">
        <f>IF(ISBLANK(JP!AM612),"","x")</f>
        <v/>
      </c>
      <c r="AL608" t="str">
        <f>IF(ISBLANK(JP!AN612),"","x")</f>
        <v/>
      </c>
      <c r="AM608" t="str">
        <f>IF(ISBLANK(JP!AO612),"","x")</f>
        <v/>
      </c>
      <c r="AN608" t="str">
        <f>IF(ISBLANK(JP!AP612),"","x")</f>
        <v/>
      </c>
      <c r="AO608" t="str">
        <f>IF(ISBLANK(JP!AR612),"","x")</f>
        <v/>
      </c>
      <c r="AP608" t="str">
        <f>IF(ISBLANK(JP!AS612),"","x")</f>
        <v/>
      </c>
      <c r="AQ608" t="str">
        <f>IF(ISBLANK(JP!AT612),"","x")</f>
        <v/>
      </c>
      <c r="AR608" t="str">
        <f>IF(ISBLANK(JP!AU612),"","x")</f>
        <v/>
      </c>
      <c r="AS608" t="str">
        <f>IF(ISBLANK(JP!AV612),"","x")</f>
        <v/>
      </c>
      <c r="AT608" t="str">
        <f>IF(ISBLANK(JP!AW612),"","x")</f>
        <v/>
      </c>
      <c r="AU608" t="str">
        <f>IF(ISBLANK(JP!AX612),"","x")</f>
        <v/>
      </c>
    </row>
    <row r="609" spans="2:47">
      <c r="B609" t="str">
        <f>IF(ISBLANK(JP!AZ613),"",JP!AZ613)</f>
        <v/>
      </c>
      <c r="C609" t="str">
        <f>IF(ISBLANK(JP!BA613),"",JP!BA613)</f>
        <v/>
      </c>
      <c r="D609" t="str">
        <f>IF(ISBLANK(JP!BC613),"",JP!BC613)</f>
        <v/>
      </c>
      <c r="E609" t="str">
        <f>IF(ISBLANK(JP!BB613),"",JP!BB613)</f>
        <v/>
      </c>
      <c r="F609" t="str">
        <f>IF(ISBLANK(JP!D613),"","x")</f>
        <v/>
      </c>
      <c r="G609" t="str">
        <f>IF(ISBLANK(JP!E613),"","x")</f>
        <v/>
      </c>
      <c r="H609" t="str">
        <f>IF(ISBLANK(JP!F613),"","x")</f>
        <v/>
      </c>
      <c r="I609" t="str">
        <f>IF(ISBLANK(JP!G613),"","x")</f>
        <v/>
      </c>
      <c r="J609" t="str">
        <f>IF(ISBLANK(JP!H613),"","x")</f>
        <v/>
      </c>
      <c r="K609" t="str">
        <f>IF(ISBLANK(JP!I613),"","x")</f>
        <v/>
      </c>
      <c r="L609" t="str">
        <f>IF(ISBLANK(JP!J613),"","x")</f>
        <v/>
      </c>
      <c r="M609" t="str">
        <f>IF(ISBLANK(JP!L613),"","x")</f>
        <v/>
      </c>
      <c r="N609" t="str">
        <f>IF(ISBLANK(JP!M613),"","x")</f>
        <v/>
      </c>
      <c r="O609" t="str">
        <f>IF(ISBLANK(JP!N613),"","x")</f>
        <v/>
      </c>
      <c r="P609" t="str">
        <f>IF(ISBLANK(JP!O613),"","x")</f>
        <v/>
      </c>
      <c r="Q609" t="str">
        <f>IF(ISBLANK(JP!P613),"","x")</f>
        <v/>
      </c>
      <c r="R609" t="str">
        <f>IF(ISBLANK(JP!Q613),"","x")</f>
        <v/>
      </c>
      <c r="S609" t="str">
        <f>IF(ISBLANK(JP!R613),"","x")</f>
        <v/>
      </c>
      <c r="T609" t="str">
        <f>IF(ISBLANK(JP!T613),"","x")</f>
        <v/>
      </c>
      <c r="U609" t="str">
        <f>IF(ISBLANK(JP!U613),"","x")</f>
        <v/>
      </c>
      <c r="V609" t="str">
        <f>IF(ISBLANK(JP!V613),"","x")</f>
        <v/>
      </c>
      <c r="W609" t="str">
        <f>IF(ISBLANK(JP!W613),"","x")</f>
        <v/>
      </c>
      <c r="X609" t="str">
        <f>IF(ISBLANK(JP!X613),"","x")</f>
        <v/>
      </c>
      <c r="Y609" t="str">
        <f>IF(ISBLANK(JP!Y613),"","x")</f>
        <v/>
      </c>
      <c r="Z609" t="str">
        <f>IF(ISBLANK(JP!Z613),"","x")</f>
        <v/>
      </c>
      <c r="AA609" t="str">
        <f>IF(ISBLANK(JP!AB613),"","x")</f>
        <v/>
      </c>
      <c r="AB609" t="str">
        <f>IF(ISBLANK(JP!AC613),"","x")</f>
        <v/>
      </c>
      <c r="AC609" t="str">
        <f>IF(ISBLANK(JP!AD613),"","x")</f>
        <v/>
      </c>
      <c r="AD609" t="str">
        <f>IF(ISBLANK(JP!AE613),"","x")</f>
        <v/>
      </c>
      <c r="AE609" t="str">
        <f>IF(ISBLANK(JP!AF613),"","x")</f>
        <v/>
      </c>
      <c r="AF609" t="str">
        <f>IF(ISBLANK(JP!AG613),"","x")</f>
        <v/>
      </c>
      <c r="AG609" t="str">
        <f>IF(ISBLANK(JP!AH613),"","x")</f>
        <v/>
      </c>
      <c r="AH609" t="str">
        <f>IF(ISBLANK(JP!AJ613),"","x")</f>
        <v/>
      </c>
      <c r="AI609" t="str">
        <f>IF(ISBLANK(JP!AK613),"","x")</f>
        <v/>
      </c>
      <c r="AJ609" t="str">
        <f>IF(ISBLANK(JP!AL613),"","x")</f>
        <v/>
      </c>
      <c r="AK609" t="str">
        <f>IF(ISBLANK(JP!AM613),"","x")</f>
        <v/>
      </c>
      <c r="AL609" t="str">
        <f>IF(ISBLANK(JP!AN613),"","x")</f>
        <v/>
      </c>
      <c r="AM609" t="str">
        <f>IF(ISBLANK(JP!AO613),"","x")</f>
        <v/>
      </c>
      <c r="AN609" t="str">
        <f>IF(ISBLANK(JP!AP613),"","x")</f>
        <v/>
      </c>
      <c r="AO609" t="str">
        <f>IF(ISBLANK(JP!AR613),"","x")</f>
        <v/>
      </c>
      <c r="AP609" t="str">
        <f>IF(ISBLANK(JP!AS613),"","x")</f>
        <v/>
      </c>
      <c r="AQ609" t="str">
        <f>IF(ISBLANK(JP!AT613),"","x")</f>
        <v/>
      </c>
      <c r="AR609" t="str">
        <f>IF(ISBLANK(JP!AU613),"","x")</f>
        <v/>
      </c>
      <c r="AS609" t="str">
        <f>IF(ISBLANK(JP!AV613),"","x")</f>
        <v/>
      </c>
      <c r="AT609" t="str">
        <f>IF(ISBLANK(JP!AW613),"","x")</f>
        <v/>
      </c>
      <c r="AU609" t="str">
        <f>IF(ISBLANK(JP!AX613),"","x")</f>
        <v/>
      </c>
    </row>
    <row r="610" spans="2:47">
      <c r="B610" t="str">
        <f>IF(ISBLANK(JP!AZ614),"",JP!AZ614)</f>
        <v/>
      </c>
      <c r="C610" t="str">
        <f>IF(ISBLANK(JP!BA614),"",JP!BA614)</f>
        <v/>
      </c>
      <c r="D610" t="str">
        <f>IF(ISBLANK(JP!BC614),"",JP!BC614)</f>
        <v/>
      </c>
      <c r="E610" t="str">
        <f>IF(ISBLANK(JP!BB614),"",JP!BB614)</f>
        <v/>
      </c>
      <c r="F610" t="str">
        <f>IF(ISBLANK(JP!D614),"","x")</f>
        <v/>
      </c>
      <c r="G610" t="str">
        <f>IF(ISBLANK(JP!E614),"","x")</f>
        <v/>
      </c>
      <c r="H610" t="str">
        <f>IF(ISBLANK(JP!F614),"","x")</f>
        <v/>
      </c>
      <c r="I610" t="str">
        <f>IF(ISBLANK(JP!G614),"","x")</f>
        <v/>
      </c>
      <c r="J610" t="str">
        <f>IF(ISBLANK(JP!H614),"","x")</f>
        <v/>
      </c>
      <c r="K610" t="str">
        <f>IF(ISBLANK(JP!I614),"","x")</f>
        <v/>
      </c>
      <c r="L610" t="str">
        <f>IF(ISBLANK(JP!J614),"","x")</f>
        <v/>
      </c>
      <c r="M610" t="str">
        <f>IF(ISBLANK(JP!L614),"","x")</f>
        <v/>
      </c>
      <c r="N610" t="str">
        <f>IF(ISBLANK(JP!M614),"","x")</f>
        <v/>
      </c>
      <c r="O610" t="str">
        <f>IF(ISBLANK(JP!N614),"","x")</f>
        <v/>
      </c>
      <c r="P610" t="str">
        <f>IF(ISBLANK(JP!O614),"","x")</f>
        <v/>
      </c>
      <c r="Q610" t="str">
        <f>IF(ISBLANK(JP!P614),"","x")</f>
        <v/>
      </c>
      <c r="R610" t="str">
        <f>IF(ISBLANK(JP!Q614),"","x")</f>
        <v/>
      </c>
      <c r="S610" t="str">
        <f>IF(ISBLANK(JP!R614),"","x")</f>
        <v/>
      </c>
      <c r="T610" t="str">
        <f>IF(ISBLANK(JP!T614),"","x")</f>
        <v/>
      </c>
      <c r="U610" t="str">
        <f>IF(ISBLANK(JP!U614),"","x")</f>
        <v/>
      </c>
      <c r="V610" t="str">
        <f>IF(ISBLANK(JP!V614),"","x")</f>
        <v/>
      </c>
      <c r="W610" t="str">
        <f>IF(ISBLANK(JP!W614),"","x")</f>
        <v/>
      </c>
      <c r="X610" t="str">
        <f>IF(ISBLANK(JP!X614),"","x")</f>
        <v/>
      </c>
      <c r="Y610" t="str">
        <f>IF(ISBLANK(JP!Y614),"","x")</f>
        <v/>
      </c>
      <c r="Z610" t="str">
        <f>IF(ISBLANK(JP!Z614),"","x")</f>
        <v/>
      </c>
      <c r="AA610" t="str">
        <f>IF(ISBLANK(JP!AB614),"","x")</f>
        <v/>
      </c>
      <c r="AB610" t="str">
        <f>IF(ISBLANK(JP!AC614),"","x")</f>
        <v/>
      </c>
      <c r="AC610" t="str">
        <f>IF(ISBLANK(JP!AD614),"","x")</f>
        <v/>
      </c>
      <c r="AD610" t="str">
        <f>IF(ISBLANK(JP!AE614),"","x")</f>
        <v/>
      </c>
      <c r="AE610" t="str">
        <f>IF(ISBLANK(JP!AF614),"","x")</f>
        <v/>
      </c>
      <c r="AF610" t="str">
        <f>IF(ISBLANK(JP!AG614),"","x")</f>
        <v/>
      </c>
      <c r="AG610" t="str">
        <f>IF(ISBLANK(JP!AH614),"","x")</f>
        <v/>
      </c>
      <c r="AH610" t="str">
        <f>IF(ISBLANK(JP!AJ614),"","x")</f>
        <v/>
      </c>
      <c r="AI610" t="str">
        <f>IF(ISBLANK(JP!AK614),"","x")</f>
        <v/>
      </c>
      <c r="AJ610" t="str">
        <f>IF(ISBLANK(JP!AL614),"","x")</f>
        <v/>
      </c>
      <c r="AK610" t="str">
        <f>IF(ISBLANK(JP!AM614),"","x")</f>
        <v/>
      </c>
      <c r="AL610" t="str">
        <f>IF(ISBLANK(JP!AN614),"","x")</f>
        <v/>
      </c>
      <c r="AM610" t="str">
        <f>IF(ISBLANK(JP!AO614),"","x")</f>
        <v/>
      </c>
      <c r="AN610" t="str">
        <f>IF(ISBLANK(JP!AP614),"","x")</f>
        <v/>
      </c>
      <c r="AO610" t="str">
        <f>IF(ISBLANK(JP!AR614),"","x")</f>
        <v/>
      </c>
      <c r="AP610" t="str">
        <f>IF(ISBLANK(JP!AS614),"","x")</f>
        <v/>
      </c>
      <c r="AQ610" t="str">
        <f>IF(ISBLANK(JP!AT614),"","x")</f>
        <v/>
      </c>
      <c r="AR610" t="str">
        <f>IF(ISBLANK(JP!AU614),"","x")</f>
        <v/>
      </c>
      <c r="AS610" t="str">
        <f>IF(ISBLANK(JP!AV614),"","x")</f>
        <v/>
      </c>
      <c r="AT610" t="str">
        <f>IF(ISBLANK(JP!AW614),"","x")</f>
        <v/>
      </c>
      <c r="AU610" t="str">
        <f>IF(ISBLANK(JP!AX614),"","x")</f>
        <v/>
      </c>
    </row>
    <row r="611" spans="2:47">
      <c r="B611" t="str">
        <f>IF(ISBLANK(JP!AZ615),"",JP!AZ615)</f>
        <v/>
      </c>
      <c r="C611" t="str">
        <f>IF(ISBLANK(JP!BA615),"",JP!BA615)</f>
        <v/>
      </c>
      <c r="D611" t="str">
        <f>IF(ISBLANK(JP!BC615),"",JP!BC615)</f>
        <v/>
      </c>
      <c r="E611" t="str">
        <f>IF(ISBLANK(JP!BB615),"",JP!BB615)</f>
        <v/>
      </c>
      <c r="F611" t="str">
        <f>IF(ISBLANK(JP!D615),"","x")</f>
        <v/>
      </c>
      <c r="G611" t="str">
        <f>IF(ISBLANK(JP!E615),"","x")</f>
        <v/>
      </c>
      <c r="H611" t="str">
        <f>IF(ISBLANK(JP!F615),"","x")</f>
        <v/>
      </c>
      <c r="I611" t="str">
        <f>IF(ISBLANK(JP!G615),"","x")</f>
        <v/>
      </c>
      <c r="J611" t="str">
        <f>IF(ISBLANK(JP!H615),"","x")</f>
        <v/>
      </c>
      <c r="K611" t="str">
        <f>IF(ISBLANK(JP!I615),"","x")</f>
        <v/>
      </c>
      <c r="L611" t="str">
        <f>IF(ISBLANK(JP!J615),"","x")</f>
        <v/>
      </c>
      <c r="M611" t="str">
        <f>IF(ISBLANK(JP!L615),"","x")</f>
        <v/>
      </c>
      <c r="N611" t="str">
        <f>IF(ISBLANK(JP!M615),"","x")</f>
        <v/>
      </c>
      <c r="O611" t="str">
        <f>IF(ISBLANK(JP!N615),"","x")</f>
        <v/>
      </c>
      <c r="P611" t="str">
        <f>IF(ISBLANK(JP!O615),"","x")</f>
        <v/>
      </c>
      <c r="Q611" t="str">
        <f>IF(ISBLANK(JP!P615),"","x")</f>
        <v/>
      </c>
      <c r="R611" t="str">
        <f>IF(ISBLANK(JP!Q615),"","x")</f>
        <v/>
      </c>
      <c r="S611" t="str">
        <f>IF(ISBLANK(JP!R615),"","x")</f>
        <v/>
      </c>
      <c r="T611" t="str">
        <f>IF(ISBLANK(JP!T615),"","x")</f>
        <v/>
      </c>
      <c r="U611" t="str">
        <f>IF(ISBLANK(JP!U615),"","x")</f>
        <v/>
      </c>
      <c r="V611" t="str">
        <f>IF(ISBLANK(JP!V615),"","x")</f>
        <v/>
      </c>
      <c r="W611" t="str">
        <f>IF(ISBLANK(JP!W615),"","x")</f>
        <v/>
      </c>
      <c r="X611" t="str">
        <f>IF(ISBLANK(JP!X615),"","x")</f>
        <v/>
      </c>
      <c r="Y611" t="str">
        <f>IF(ISBLANK(JP!Y615),"","x")</f>
        <v/>
      </c>
      <c r="Z611" t="str">
        <f>IF(ISBLANK(JP!Z615),"","x")</f>
        <v/>
      </c>
      <c r="AA611" t="str">
        <f>IF(ISBLANK(JP!AB615),"","x")</f>
        <v/>
      </c>
      <c r="AB611" t="str">
        <f>IF(ISBLANK(JP!AC615),"","x")</f>
        <v/>
      </c>
      <c r="AC611" t="str">
        <f>IF(ISBLANK(JP!AD615),"","x")</f>
        <v/>
      </c>
      <c r="AD611" t="str">
        <f>IF(ISBLANK(JP!AE615),"","x")</f>
        <v/>
      </c>
      <c r="AE611" t="str">
        <f>IF(ISBLANK(JP!AF615),"","x")</f>
        <v/>
      </c>
      <c r="AF611" t="str">
        <f>IF(ISBLANK(JP!AG615),"","x")</f>
        <v/>
      </c>
      <c r="AG611" t="str">
        <f>IF(ISBLANK(JP!AH615),"","x")</f>
        <v/>
      </c>
      <c r="AH611" t="str">
        <f>IF(ISBLANK(JP!AJ615),"","x")</f>
        <v/>
      </c>
      <c r="AI611" t="str">
        <f>IF(ISBLANK(JP!AK615),"","x")</f>
        <v/>
      </c>
      <c r="AJ611" t="str">
        <f>IF(ISBLANK(JP!AL615),"","x")</f>
        <v/>
      </c>
      <c r="AK611" t="str">
        <f>IF(ISBLANK(JP!AM615),"","x")</f>
        <v/>
      </c>
      <c r="AL611" t="str">
        <f>IF(ISBLANK(JP!AN615),"","x")</f>
        <v/>
      </c>
      <c r="AM611" t="str">
        <f>IF(ISBLANK(JP!AO615),"","x")</f>
        <v/>
      </c>
      <c r="AN611" t="str">
        <f>IF(ISBLANK(JP!AP615),"","x")</f>
        <v/>
      </c>
      <c r="AO611" t="str">
        <f>IF(ISBLANK(JP!AR615),"","x")</f>
        <v/>
      </c>
      <c r="AP611" t="str">
        <f>IF(ISBLANK(JP!AS615),"","x")</f>
        <v/>
      </c>
      <c r="AQ611" t="str">
        <f>IF(ISBLANK(JP!AT615),"","x")</f>
        <v/>
      </c>
      <c r="AR611" t="str">
        <f>IF(ISBLANK(JP!AU615),"","x")</f>
        <v/>
      </c>
      <c r="AS611" t="str">
        <f>IF(ISBLANK(JP!AV615),"","x")</f>
        <v/>
      </c>
      <c r="AT611" t="str">
        <f>IF(ISBLANK(JP!AW615),"","x")</f>
        <v/>
      </c>
      <c r="AU611" t="str">
        <f>IF(ISBLANK(JP!AX615),"","x")</f>
        <v/>
      </c>
    </row>
    <row r="612" spans="2:47">
      <c r="B612" t="str">
        <f>IF(ISBLANK(JP!AZ616),"",JP!AZ616)</f>
        <v/>
      </c>
      <c r="C612" t="str">
        <f>IF(ISBLANK(JP!BA616),"",JP!BA616)</f>
        <v/>
      </c>
      <c r="D612" t="str">
        <f>IF(ISBLANK(JP!BC616),"",JP!BC616)</f>
        <v/>
      </c>
      <c r="E612" t="str">
        <f>IF(ISBLANK(JP!BB616),"",JP!BB616)</f>
        <v/>
      </c>
      <c r="F612" t="str">
        <f>IF(ISBLANK(JP!D616),"","x")</f>
        <v/>
      </c>
      <c r="G612" t="str">
        <f>IF(ISBLANK(JP!E616),"","x")</f>
        <v/>
      </c>
      <c r="H612" t="str">
        <f>IF(ISBLANK(JP!F616),"","x")</f>
        <v/>
      </c>
      <c r="I612" t="str">
        <f>IF(ISBLANK(JP!G616),"","x")</f>
        <v/>
      </c>
      <c r="J612" t="str">
        <f>IF(ISBLANK(JP!H616),"","x")</f>
        <v/>
      </c>
      <c r="K612" t="str">
        <f>IF(ISBLANK(JP!I616),"","x")</f>
        <v/>
      </c>
      <c r="L612" t="str">
        <f>IF(ISBLANK(JP!J616),"","x")</f>
        <v/>
      </c>
      <c r="M612" t="str">
        <f>IF(ISBLANK(JP!L616),"","x")</f>
        <v/>
      </c>
      <c r="N612" t="str">
        <f>IF(ISBLANK(JP!M616),"","x")</f>
        <v/>
      </c>
      <c r="O612" t="str">
        <f>IF(ISBLANK(JP!N616),"","x")</f>
        <v/>
      </c>
      <c r="P612" t="str">
        <f>IF(ISBLANK(JP!O616),"","x")</f>
        <v/>
      </c>
      <c r="Q612" t="str">
        <f>IF(ISBLANK(JP!P616),"","x")</f>
        <v/>
      </c>
      <c r="R612" t="str">
        <f>IF(ISBLANK(JP!Q616),"","x")</f>
        <v/>
      </c>
      <c r="S612" t="str">
        <f>IF(ISBLANK(JP!R616),"","x")</f>
        <v/>
      </c>
      <c r="T612" t="str">
        <f>IF(ISBLANK(JP!T616),"","x")</f>
        <v/>
      </c>
      <c r="U612" t="str">
        <f>IF(ISBLANK(JP!U616),"","x")</f>
        <v/>
      </c>
      <c r="V612" t="str">
        <f>IF(ISBLANK(JP!V616),"","x")</f>
        <v/>
      </c>
      <c r="W612" t="str">
        <f>IF(ISBLANK(JP!W616),"","x")</f>
        <v/>
      </c>
      <c r="X612" t="str">
        <f>IF(ISBLANK(JP!X616),"","x")</f>
        <v/>
      </c>
      <c r="Y612" t="str">
        <f>IF(ISBLANK(JP!Y616),"","x")</f>
        <v/>
      </c>
      <c r="Z612" t="str">
        <f>IF(ISBLANK(JP!Z616),"","x")</f>
        <v/>
      </c>
      <c r="AA612" t="str">
        <f>IF(ISBLANK(JP!AB616),"","x")</f>
        <v/>
      </c>
      <c r="AB612" t="str">
        <f>IF(ISBLANK(JP!AC616),"","x")</f>
        <v/>
      </c>
      <c r="AC612" t="str">
        <f>IF(ISBLANK(JP!AD616),"","x")</f>
        <v/>
      </c>
      <c r="AD612" t="str">
        <f>IF(ISBLANK(JP!AE616),"","x")</f>
        <v/>
      </c>
      <c r="AE612" t="str">
        <f>IF(ISBLANK(JP!AF616),"","x")</f>
        <v/>
      </c>
      <c r="AF612" t="str">
        <f>IF(ISBLANK(JP!AG616),"","x")</f>
        <v/>
      </c>
      <c r="AG612" t="str">
        <f>IF(ISBLANK(JP!AH616),"","x")</f>
        <v/>
      </c>
      <c r="AH612" t="str">
        <f>IF(ISBLANK(JP!AJ616),"","x")</f>
        <v/>
      </c>
      <c r="AI612" t="str">
        <f>IF(ISBLANK(JP!AK616),"","x")</f>
        <v/>
      </c>
      <c r="AJ612" t="str">
        <f>IF(ISBLANK(JP!AL616),"","x")</f>
        <v/>
      </c>
      <c r="AK612" t="str">
        <f>IF(ISBLANK(JP!AM616),"","x")</f>
        <v/>
      </c>
      <c r="AL612" t="str">
        <f>IF(ISBLANK(JP!AN616),"","x")</f>
        <v/>
      </c>
      <c r="AM612" t="str">
        <f>IF(ISBLANK(JP!AO616),"","x")</f>
        <v/>
      </c>
      <c r="AN612" t="str">
        <f>IF(ISBLANK(JP!AP616),"","x")</f>
        <v/>
      </c>
      <c r="AO612" t="str">
        <f>IF(ISBLANK(JP!AR616),"","x")</f>
        <v/>
      </c>
      <c r="AP612" t="str">
        <f>IF(ISBLANK(JP!AS616),"","x")</f>
        <v/>
      </c>
      <c r="AQ612" t="str">
        <f>IF(ISBLANK(JP!AT616),"","x")</f>
        <v/>
      </c>
      <c r="AR612" t="str">
        <f>IF(ISBLANK(JP!AU616),"","x")</f>
        <v/>
      </c>
      <c r="AS612" t="str">
        <f>IF(ISBLANK(JP!AV616),"","x")</f>
        <v/>
      </c>
      <c r="AT612" t="str">
        <f>IF(ISBLANK(JP!AW616),"","x")</f>
        <v/>
      </c>
      <c r="AU612" t="str">
        <f>IF(ISBLANK(JP!AX616),"","x")</f>
        <v/>
      </c>
    </row>
    <row r="613" spans="2:47">
      <c r="B613" t="str">
        <f>IF(ISBLANK(JP!AZ617),"",JP!AZ617)</f>
        <v/>
      </c>
      <c r="C613" t="str">
        <f>IF(ISBLANK(JP!BA617),"",JP!BA617)</f>
        <v/>
      </c>
      <c r="D613" t="str">
        <f>IF(ISBLANK(JP!BC617),"",JP!BC617)</f>
        <v/>
      </c>
      <c r="E613" t="str">
        <f>IF(ISBLANK(JP!BB617),"",JP!BB617)</f>
        <v/>
      </c>
      <c r="F613" t="str">
        <f>IF(ISBLANK(JP!D617),"","x")</f>
        <v/>
      </c>
      <c r="G613" t="str">
        <f>IF(ISBLANK(JP!E617),"","x")</f>
        <v/>
      </c>
      <c r="H613" t="str">
        <f>IF(ISBLANK(JP!F617),"","x")</f>
        <v/>
      </c>
      <c r="I613" t="str">
        <f>IF(ISBLANK(JP!G617),"","x")</f>
        <v/>
      </c>
      <c r="J613" t="str">
        <f>IF(ISBLANK(JP!H617),"","x")</f>
        <v/>
      </c>
      <c r="K613" t="str">
        <f>IF(ISBLANK(JP!I617),"","x")</f>
        <v/>
      </c>
      <c r="L613" t="str">
        <f>IF(ISBLANK(JP!J617),"","x")</f>
        <v/>
      </c>
      <c r="M613" t="str">
        <f>IF(ISBLANK(JP!L617),"","x")</f>
        <v/>
      </c>
      <c r="N613" t="str">
        <f>IF(ISBLANK(JP!M617),"","x")</f>
        <v/>
      </c>
      <c r="O613" t="str">
        <f>IF(ISBLANK(JP!N617),"","x")</f>
        <v/>
      </c>
      <c r="P613" t="str">
        <f>IF(ISBLANK(JP!O617),"","x")</f>
        <v/>
      </c>
      <c r="Q613" t="str">
        <f>IF(ISBLANK(JP!P617),"","x")</f>
        <v/>
      </c>
      <c r="R613" t="str">
        <f>IF(ISBLANK(JP!Q617),"","x")</f>
        <v/>
      </c>
      <c r="S613" t="str">
        <f>IF(ISBLANK(JP!R617),"","x")</f>
        <v/>
      </c>
      <c r="T613" t="str">
        <f>IF(ISBLANK(JP!T617),"","x")</f>
        <v/>
      </c>
      <c r="U613" t="str">
        <f>IF(ISBLANK(JP!U617),"","x")</f>
        <v/>
      </c>
      <c r="V613" t="str">
        <f>IF(ISBLANK(JP!V617),"","x")</f>
        <v/>
      </c>
      <c r="W613" t="str">
        <f>IF(ISBLANK(JP!W617),"","x")</f>
        <v/>
      </c>
      <c r="X613" t="str">
        <f>IF(ISBLANK(JP!X617),"","x")</f>
        <v/>
      </c>
      <c r="Y613" t="str">
        <f>IF(ISBLANK(JP!Y617),"","x")</f>
        <v/>
      </c>
      <c r="Z613" t="str">
        <f>IF(ISBLANK(JP!Z617),"","x")</f>
        <v/>
      </c>
      <c r="AA613" t="str">
        <f>IF(ISBLANK(JP!AB617),"","x")</f>
        <v/>
      </c>
      <c r="AB613" t="str">
        <f>IF(ISBLANK(JP!AC617),"","x")</f>
        <v/>
      </c>
      <c r="AC613" t="str">
        <f>IF(ISBLANK(JP!AD617),"","x")</f>
        <v/>
      </c>
      <c r="AD613" t="str">
        <f>IF(ISBLANK(JP!AE617),"","x")</f>
        <v/>
      </c>
      <c r="AE613" t="str">
        <f>IF(ISBLANK(JP!AF617),"","x")</f>
        <v/>
      </c>
      <c r="AF613" t="str">
        <f>IF(ISBLANK(JP!AG617),"","x")</f>
        <v/>
      </c>
      <c r="AG613" t="str">
        <f>IF(ISBLANK(JP!AH617),"","x")</f>
        <v/>
      </c>
      <c r="AH613" t="str">
        <f>IF(ISBLANK(JP!AJ617),"","x")</f>
        <v/>
      </c>
      <c r="AI613" t="str">
        <f>IF(ISBLANK(JP!AK617),"","x")</f>
        <v/>
      </c>
      <c r="AJ613" t="str">
        <f>IF(ISBLANK(JP!AL617),"","x")</f>
        <v/>
      </c>
      <c r="AK613" t="str">
        <f>IF(ISBLANK(JP!AM617),"","x")</f>
        <v/>
      </c>
      <c r="AL613" t="str">
        <f>IF(ISBLANK(JP!AN617),"","x")</f>
        <v/>
      </c>
      <c r="AM613" t="str">
        <f>IF(ISBLANK(JP!AO617),"","x")</f>
        <v/>
      </c>
      <c r="AN613" t="str">
        <f>IF(ISBLANK(JP!AP617),"","x")</f>
        <v/>
      </c>
      <c r="AO613" t="str">
        <f>IF(ISBLANK(JP!AR617),"","x")</f>
        <v/>
      </c>
      <c r="AP613" t="str">
        <f>IF(ISBLANK(JP!AS617),"","x")</f>
        <v/>
      </c>
      <c r="AQ613" t="str">
        <f>IF(ISBLANK(JP!AT617),"","x")</f>
        <v/>
      </c>
      <c r="AR613" t="str">
        <f>IF(ISBLANK(JP!AU617),"","x")</f>
        <v/>
      </c>
      <c r="AS613" t="str">
        <f>IF(ISBLANK(JP!AV617),"","x")</f>
        <v/>
      </c>
      <c r="AT613" t="str">
        <f>IF(ISBLANK(JP!AW617),"","x")</f>
        <v/>
      </c>
      <c r="AU613" t="str">
        <f>IF(ISBLANK(JP!AX617),"","x")</f>
        <v/>
      </c>
    </row>
    <row r="614" spans="2:47">
      <c r="B614" t="str">
        <f>IF(ISBLANK(JP!AZ618),"",JP!AZ618)</f>
        <v/>
      </c>
      <c r="C614" t="str">
        <f>IF(ISBLANK(JP!BA618),"",JP!BA618)</f>
        <v/>
      </c>
      <c r="D614" t="str">
        <f>IF(ISBLANK(JP!BC618),"",JP!BC618)</f>
        <v/>
      </c>
      <c r="E614" t="str">
        <f>IF(ISBLANK(JP!BB618),"",JP!BB618)</f>
        <v/>
      </c>
      <c r="F614" t="str">
        <f>IF(ISBLANK(JP!D618),"","x")</f>
        <v/>
      </c>
      <c r="G614" t="str">
        <f>IF(ISBLANK(JP!E618),"","x")</f>
        <v/>
      </c>
      <c r="H614" t="str">
        <f>IF(ISBLANK(JP!F618),"","x")</f>
        <v/>
      </c>
      <c r="I614" t="str">
        <f>IF(ISBLANK(JP!G618),"","x")</f>
        <v/>
      </c>
      <c r="J614" t="str">
        <f>IF(ISBLANK(JP!H618),"","x")</f>
        <v/>
      </c>
      <c r="K614" t="str">
        <f>IF(ISBLANK(JP!I618),"","x")</f>
        <v/>
      </c>
      <c r="L614" t="str">
        <f>IF(ISBLANK(JP!J618),"","x")</f>
        <v/>
      </c>
      <c r="M614" t="str">
        <f>IF(ISBLANK(JP!L618),"","x")</f>
        <v/>
      </c>
      <c r="N614" t="str">
        <f>IF(ISBLANK(JP!M618),"","x")</f>
        <v/>
      </c>
      <c r="O614" t="str">
        <f>IF(ISBLANK(JP!N618),"","x")</f>
        <v/>
      </c>
      <c r="P614" t="str">
        <f>IF(ISBLANK(JP!O618),"","x")</f>
        <v/>
      </c>
      <c r="Q614" t="str">
        <f>IF(ISBLANK(JP!P618),"","x")</f>
        <v/>
      </c>
      <c r="R614" t="str">
        <f>IF(ISBLANK(JP!Q618),"","x")</f>
        <v/>
      </c>
      <c r="S614" t="str">
        <f>IF(ISBLANK(JP!R618),"","x")</f>
        <v/>
      </c>
      <c r="T614" t="str">
        <f>IF(ISBLANK(JP!T618),"","x")</f>
        <v/>
      </c>
      <c r="U614" t="str">
        <f>IF(ISBLANK(JP!U618),"","x")</f>
        <v/>
      </c>
      <c r="V614" t="str">
        <f>IF(ISBLANK(JP!V618),"","x")</f>
        <v/>
      </c>
      <c r="W614" t="str">
        <f>IF(ISBLANK(JP!W618),"","x")</f>
        <v/>
      </c>
      <c r="X614" t="str">
        <f>IF(ISBLANK(JP!X618),"","x")</f>
        <v/>
      </c>
      <c r="Y614" t="str">
        <f>IF(ISBLANK(JP!Y618),"","x")</f>
        <v/>
      </c>
      <c r="Z614" t="str">
        <f>IF(ISBLANK(JP!Z618),"","x")</f>
        <v/>
      </c>
      <c r="AA614" t="str">
        <f>IF(ISBLANK(JP!AB618),"","x")</f>
        <v/>
      </c>
      <c r="AB614" t="str">
        <f>IF(ISBLANK(JP!AC618),"","x")</f>
        <v/>
      </c>
      <c r="AC614" t="str">
        <f>IF(ISBLANK(JP!AD618),"","x")</f>
        <v/>
      </c>
      <c r="AD614" t="str">
        <f>IF(ISBLANK(JP!AE618),"","x")</f>
        <v/>
      </c>
      <c r="AE614" t="str">
        <f>IF(ISBLANK(JP!AF618),"","x")</f>
        <v/>
      </c>
      <c r="AF614" t="str">
        <f>IF(ISBLANK(JP!AG618),"","x")</f>
        <v/>
      </c>
      <c r="AG614" t="str">
        <f>IF(ISBLANK(JP!AH618),"","x")</f>
        <v/>
      </c>
      <c r="AH614" t="str">
        <f>IF(ISBLANK(JP!AJ618),"","x")</f>
        <v/>
      </c>
      <c r="AI614" t="str">
        <f>IF(ISBLANK(JP!AK618),"","x")</f>
        <v/>
      </c>
      <c r="AJ614" t="str">
        <f>IF(ISBLANK(JP!AL618),"","x")</f>
        <v/>
      </c>
      <c r="AK614" t="str">
        <f>IF(ISBLANK(JP!AM618),"","x")</f>
        <v/>
      </c>
      <c r="AL614" t="str">
        <f>IF(ISBLANK(JP!AN618),"","x")</f>
        <v/>
      </c>
      <c r="AM614" t="str">
        <f>IF(ISBLANK(JP!AO618),"","x")</f>
        <v/>
      </c>
      <c r="AN614" t="str">
        <f>IF(ISBLANK(JP!AP618),"","x")</f>
        <v/>
      </c>
      <c r="AO614" t="str">
        <f>IF(ISBLANK(JP!AR618),"","x")</f>
        <v/>
      </c>
      <c r="AP614" t="str">
        <f>IF(ISBLANK(JP!AS618),"","x")</f>
        <v/>
      </c>
      <c r="AQ614" t="str">
        <f>IF(ISBLANK(JP!AT618),"","x")</f>
        <v/>
      </c>
      <c r="AR614" t="str">
        <f>IF(ISBLANK(JP!AU618),"","x")</f>
        <v/>
      </c>
      <c r="AS614" t="str">
        <f>IF(ISBLANK(JP!AV618),"","x")</f>
        <v/>
      </c>
      <c r="AT614" t="str">
        <f>IF(ISBLANK(JP!AW618),"","x")</f>
        <v/>
      </c>
      <c r="AU614" t="str">
        <f>IF(ISBLANK(JP!AX618),"","x")</f>
        <v/>
      </c>
    </row>
    <row r="615" spans="2:47">
      <c r="B615" t="str">
        <f>IF(ISBLANK(JP!AZ619),"",JP!AZ619)</f>
        <v/>
      </c>
      <c r="C615" t="str">
        <f>IF(ISBLANK(JP!BA619),"",JP!BA619)</f>
        <v/>
      </c>
      <c r="D615" t="str">
        <f>IF(ISBLANK(JP!BC619),"",JP!BC619)</f>
        <v/>
      </c>
      <c r="E615" t="str">
        <f>IF(ISBLANK(JP!BB619),"",JP!BB619)</f>
        <v/>
      </c>
      <c r="F615" t="str">
        <f>IF(ISBLANK(JP!D619),"","x")</f>
        <v/>
      </c>
      <c r="G615" t="str">
        <f>IF(ISBLANK(JP!E619),"","x")</f>
        <v/>
      </c>
      <c r="H615" t="str">
        <f>IF(ISBLANK(JP!F619),"","x")</f>
        <v/>
      </c>
      <c r="I615" t="str">
        <f>IF(ISBLANK(JP!G619),"","x")</f>
        <v/>
      </c>
      <c r="J615" t="str">
        <f>IF(ISBLANK(JP!H619),"","x")</f>
        <v/>
      </c>
      <c r="K615" t="str">
        <f>IF(ISBLANK(JP!I619),"","x")</f>
        <v/>
      </c>
      <c r="L615" t="str">
        <f>IF(ISBLANK(JP!J619),"","x")</f>
        <v/>
      </c>
      <c r="M615" t="str">
        <f>IF(ISBLANK(JP!L619),"","x")</f>
        <v/>
      </c>
      <c r="N615" t="str">
        <f>IF(ISBLANK(JP!M619),"","x")</f>
        <v/>
      </c>
      <c r="O615" t="str">
        <f>IF(ISBLANK(JP!N619),"","x")</f>
        <v/>
      </c>
      <c r="P615" t="str">
        <f>IF(ISBLANK(JP!O619),"","x")</f>
        <v/>
      </c>
      <c r="Q615" t="str">
        <f>IF(ISBLANK(JP!P619),"","x")</f>
        <v/>
      </c>
      <c r="R615" t="str">
        <f>IF(ISBLANK(JP!Q619),"","x")</f>
        <v/>
      </c>
      <c r="S615" t="str">
        <f>IF(ISBLANK(JP!R619),"","x")</f>
        <v/>
      </c>
      <c r="T615" t="str">
        <f>IF(ISBLANK(JP!T619),"","x")</f>
        <v/>
      </c>
      <c r="U615" t="str">
        <f>IF(ISBLANK(JP!U619),"","x")</f>
        <v/>
      </c>
      <c r="V615" t="str">
        <f>IF(ISBLANK(JP!V619),"","x")</f>
        <v/>
      </c>
      <c r="W615" t="str">
        <f>IF(ISBLANK(JP!W619),"","x")</f>
        <v/>
      </c>
      <c r="X615" t="str">
        <f>IF(ISBLANK(JP!X619),"","x")</f>
        <v/>
      </c>
      <c r="Y615" t="str">
        <f>IF(ISBLANK(JP!Y619),"","x")</f>
        <v/>
      </c>
      <c r="Z615" t="str">
        <f>IF(ISBLANK(JP!Z619),"","x")</f>
        <v/>
      </c>
      <c r="AA615" t="str">
        <f>IF(ISBLANK(JP!AB619),"","x")</f>
        <v/>
      </c>
      <c r="AB615" t="str">
        <f>IF(ISBLANK(JP!AC619),"","x")</f>
        <v/>
      </c>
      <c r="AC615" t="str">
        <f>IF(ISBLANK(JP!AD619),"","x")</f>
        <v/>
      </c>
      <c r="AD615" t="str">
        <f>IF(ISBLANK(JP!AE619),"","x")</f>
        <v/>
      </c>
      <c r="AE615" t="str">
        <f>IF(ISBLANK(JP!AF619),"","x")</f>
        <v/>
      </c>
      <c r="AF615" t="str">
        <f>IF(ISBLANK(JP!AG619),"","x")</f>
        <v/>
      </c>
      <c r="AG615" t="str">
        <f>IF(ISBLANK(JP!AH619),"","x")</f>
        <v/>
      </c>
      <c r="AH615" t="str">
        <f>IF(ISBLANK(JP!AJ619),"","x")</f>
        <v/>
      </c>
      <c r="AI615" t="str">
        <f>IF(ISBLANK(JP!AK619),"","x")</f>
        <v/>
      </c>
      <c r="AJ615" t="str">
        <f>IF(ISBLANK(JP!AL619),"","x")</f>
        <v/>
      </c>
      <c r="AK615" t="str">
        <f>IF(ISBLANK(JP!AM619),"","x")</f>
        <v/>
      </c>
      <c r="AL615" t="str">
        <f>IF(ISBLANK(JP!AN619),"","x")</f>
        <v/>
      </c>
      <c r="AM615" t="str">
        <f>IF(ISBLANK(JP!AO619),"","x")</f>
        <v/>
      </c>
      <c r="AN615" t="str">
        <f>IF(ISBLANK(JP!AP619),"","x")</f>
        <v/>
      </c>
      <c r="AO615" t="str">
        <f>IF(ISBLANK(JP!AR619),"","x")</f>
        <v/>
      </c>
      <c r="AP615" t="str">
        <f>IF(ISBLANK(JP!AS619),"","x")</f>
        <v/>
      </c>
      <c r="AQ615" t="str">
        <f>IF(ISBLANK(JP!AT619),"","x")</f>
        <v/>
      </c>
      <c r="AR615" t="str">
        <f>IF(ISBLANK(JP!AU619),"","x")</f>
        <v/>
      </c>
      <c r="AS615" t="str">
        <f>IF(ISBLANK(JP!AV619),"","x")</f>
        <v/>
      </c>
      <c r="AT615" t="str">
        <f>IF(ISBLANK(JP!AW619),"","x")</f>
        <v/>
      </c>
      <c r="AU615" t="str">
        <f>IF(ISBLANK(JP!AX619),"","x")</f>
        <v/>
      </c>
    </row>
    <row r="616" spans="2:47">
      <c r="B616" t="str">
        <f>IF(ISBLANK(JP!AZ620),"",JP!AZ620)</f>
        <v/>
      </c>
      <c r="C616" t="str">
        <f>IF(ISBLANK(JP!BA620),"",JP!BA620)</f>
        <v/>
      </c>
      <c r="D616" t="str">
        <f>IF(ISBLANK(JP!BC620),"",JP!BC620)</f>
        <v/>
      </c>
      <c r="E616" t="str">
        <f>IF(ISBLANK(JP!BB620),"",JP!BB620)</f>
        <v/>
      </c>
      <c r="F616" t="str">
        <f>IF(ISBLANK(JP!D620),"","x")</f>
        <v/>
      </c>
      <c r="G616" t="str">
        <f>IF(ISBLANK(JP!E620),"","x")</f>
        <v/>
      </c>
      <c r="H616" t="str">
        <f>IF(ISBLANK(JP!F620),"","x")</f>
        <v/>
      </c>
      <c r="I616" t="str">
        <f>IF(ISBLANK(JP!G620),"","x")</f>
        <v/>
      </c>
      <c r="J616" t="str">
        <f>IF(ISBLANK(JP!H620),"","x")</f>
        <v/>
      </c>
      <c r="K616" t="str">
        <f>IF(ISBLANK(JP!I620),"","x")</f>
        <v/>
      </c>
      <c r="L616" t="str">
        <f>IF(ISBLANK(JP!J620),"","x")</f>
        <v/>
      </c>
      <c r="M616" t="str">
        <f>IF(ISBLANK(JP!L620),"","x")</f>
        <v/>
      </c>
      <c r="N616" t="str">
        <f>IF(ISBLANK(JP!M620),"","x")</f>
        <v/>
      </c>
      <c r="O616" t="str">
        <f>IF(ISBLANK(JP!N620),"","x")</f>
        <v/>
      </c>
      <c r="P616" t="str">
        <f>IF(ISBLANK(JP!O620),"","x")</f>
        <v/>
      </c>
      <c r="Q616" t="str">
        <f>IF(ISBLANK(JP!P620),"","x")</f>
        <v/>
      </c>
      <c r="R616" t="str">
        <f>IF(ISBLANK(JP!Q620),"","x")</f>
        <v/>
      </c>
      <c r="S616" t="str">
        <f>IF(ISBLANK(JP!R620),"","x")</f>
        <v/>
      </c>
      <c r="T616" t="str">
        <f>IF(ISBLANK(JP!T620),"","x")</f>
        <v/>
      </c>
      <c r="U616" t="str">
        <f>IF(ISBLANK(JP!U620),"","x")</f>
        <v/>
      </c>
      <c r="V616" t="str">
        <f>IF(ISBLANK(JP!V620),"","x")</f>
        <v/>
      </c>
      <c r="W616" t="str">
        <f>IF(ISBLANK(JP!W620),"","x")</f>
        <v/>
      </c>
      <c r="X616" t="str">
        <f>IF(ISBLANK(JP!X620),"","x")</f>
        <v/>
      </c>
      <c r="Y616" t="str">
        <f>IF(ISBLANK(JP!Y620),"","x")</f>
        <v/>
      </c>
      <c r="Z616" t="str">
        <f>IF(ISBLANK(JP!Z620),"","x")</f>
        <v/>
      </c>
      <c r="AA616" t="str">
        <f>IF(ISBLANK(JP!AB620),"","x")</f>
        <v/>
      </c>
      <c r="AB616" t="str">
        <f>IF(ISBLANK(JP!AC620),"","x")</f>
        <v/>
      </c>
      <c r="AC616" t="str">
        <f>IF(ISBLANK(JP!AD620),"","x")</f>
        <v/>
      </c>
      <c r="AD616" t="str">
        <f>IF(ISBLANK(JP!AE620),"","x")</f>
        <v/>
      </c>
      <c r="AE616" t="str">
        <f>IF(ISBLANK(JP!AF620),"","x")</f>
        <v/>
      </c>
      <c r="AF616" t="str">
        <f>IF(ISBLANK(JP!AG620),"","x")</f>
        <v/>
      </c>
      <c r="AG616" t="str">
        <f>IF(ISBLANK(JP!AH620),"","x")</f>
        <v/>
      </c>
      <c r="AH616" t="str">
        <f>IF(ISBLANK(JP!AJ620),"","x")</f>
        <v/>
      </c>
      <c r="AI616" t="str">
        <f>IF(ISBLANK(JP!AK620),"","x")</f>
        <v/>
      </c>
      <c r="AJ616" t="str">
        <f>IF(ISBLANK(JP!AL620),"","x")</f>
        <v/>
      </c>
      <c r="AK616" t="str">
        <f>IF(ISBLANK(JP!AM620),"","x")</f>
        <v/>
      </c>
      <c r="AL616" t="str">
        <f>IF(ISBLANK(JP!AN620),"","x")</f>
        <v/>
      </c>
      <c r="AM616" t="str">
        <f>IF(ISBLANK(JP!AO620),"","x")</f>
        <v/>
      </c>
      <c r="AN616" t="str">
        <f>IF(ISBLANK(JP!AP620),"","x")</f>
        <v/>
      </c>
      <c r="AO616" t="str">
        <f>IF(ISBLANK(JP!AR620),"","x")</f>
        <v/>
      </c>
      <c r="AP616" t="str">
        <f>IF(ISBLANK(JP!AS620),"","x")</f>
        <v/>
      </c>
      <c r="AQ616" t="str">
        <f>IF(ISBLANK(JP!AT620),"","x")</f>
        <v/>
      </c>
      <c r="AR616" t="str">
        <f>IF(ISBLANK(JP!AU620),"","x")</f>
        <v/>
      </c>
      <c r="AS616" t="str">
        <f>IF(ISBLANK(JP!AV620),"","x")</f>
        <v/>
      </c>
      <c r="AT616" t="str">
        <f>IF(ISBLANK(JP!AW620),"","x")</f>
        <v/>
      </c>
      <c r="AU616" t="str">
        <f>IF(ISBLANK(JP!AX620),"","x")</f>
        <v/>
      </c>
    </row>
    <row r="617" spans="2:47">
      <c r="B617" t="str">
        <f>IF(ISBLANK(JP!AZ621),"",JP!AZ621)</f>
        <v/>
      </c>
      <c r="C617" t="str">
        <f>IF(ISBLANK(JP!BA621),"",JP!BA621)</f>
        <v/>
      </c>
      <c r="D617" t="str">
        <f>IF(ISBLANK(JP!BC621),"",JP!BC621)</f>
        <v/>
      </c>
      <c r="E617" t="str">
        <f>IF(ISBLANK(JP!BB621),"",JP!BB621)</f>
        <v/>
      </c>
      <c r="F617" t="str">
        <f>IF(ISBLANK(JP!D621),"","x")</f>
        <v/>
      </c>
      <c r="G617" t="str">
        <f>IF(ISBLANK(JP!E621),"","x")</f>
        <v/>
      </c>
      <c r="H617" t="str">
        <f>IF(ISBLANK(JP!F621),"","x")</f>
        <v/>
      </c>
      <c r="I617" t="str">
        <f>IF(ISBLANK(JP!G621),"","x")</f>
        <v/>
      </c>
      <c r="J617" t="str">
        <f>IF(ISBLANK(JP!H621),"","x")</f>
        <v/>
      </c>
      <c r="K617" t="str">
        <f>IF(ISBLANK(JP!I621),"","x")</f>
        <v/>
      </c>
      <c r="L617" t="str">
        <f>IF(ISBLANK(JP!J621),"","x")</f>
        <v/>
      </c>
      <c r="M617" t="str">
        <f>IF(ISBLANK(JP!L621),"","x")</f>
        <v/>
      </c>
      <c r="N617" t="str">
        <f>IF(ISBLANK(JP!M621),"","x")</f>
        <v/>
      </c>
      <c r="O617" t="str">
        <f>IF(ISBLANK(JP!N621),"","x")</f>
        <v/>
      </c>
      <c r="P617" t="str">
        <f>IF(ISBLANK(JP!O621),"","x")</f>
        <v/>
      </c>
      <c r="Q617" t="str">
        <f>IF(ISBLANK(JP!P621),"","x")</f>
        <v/>
      </c>
      <c r="R617" t="str">
        <f>IF(ISBLANK(JP!Q621),"","x")</f>
        <v/>
      </c>
      <c r="S617" t="str">
        <f>IF(ISBLANK(JP!R621),"","x")</f>
        <v/>
      </c>
      <c r="T617" t="str">
        <f>IF(ISBLANK(JP!T621),"","x")</f>
        <v/>
      </c>
      <c r="U617" t="str">
        <f>IF(ISBLANK(JP!U621),"","x")</f>
        <v/>
      </c>
      <c r="V617" t="str">
        <f>IF(ISBLANK(JP!V621),"","x")</f>
        <v/>
      </c>
      <c r="W617" t="str">
        <f>IF(ISBLANK(JP!W621),"","x")</f>
        <v/>
      </c>
      <c r="X617" t="str">
        <f>IF(ISBLANK(JP!X621),"","x")</f>
        <v/>
      </c>
      <c r="Y617" t="str">
        <f>IF(ISBLANK(JP!Y621),"","x")</f>
        <v/>
      </c>
      <c r="Z617" t="str">
        <f>IF(ISBLANK(JP!Z621),"","x")</f>
        <v/>
      </c>
      <c r="AA617" t="str">
        <f>IF(ISBLANK(JP!AB621),"","x")</f>
        <v/>
      </c>
      <c r="AB617" t="str">
        <f>IF(ISBLANK(JP!AC621),"","x")</f>
        <v/>
      </c>
      <c r="AC617" t="str">
        <f>IF(ISBLANK(JP!AD621),"","x")</f>
        <v/>
      </c>
      <c r="AD617" t="str">
        <f>IF(ISBLANK(JP!AE621),"","x")</f>
        <v/>
      </c>
      <c r="AE617" t="str">
        <f>IF(ISBLANK(JP!AF621),"","x")</f>
        <v/>
      </c>
      <c r="AF617" t="str">
        <f>IF(ISBLANK(JP!AG621),"","x")</f>
        <v/>
      </c>
      <c r="AG617" t="str">
        <f>IF(ISBLANK(JP!AH621),"","x")</f>
        <v/>
      </c>
      <c r="AH617" t="str">
        <f>IF(ISBLANK(JP!AJ621),"","x")</f>
        <v/>
      </c>
      <c r="AI617" t="str">
        <f>IF(ISBLANK(JP!AK621),"","x")</f>
        <v/>
      </c>
      <c r="AJ617" t="str">
        <f>IF(ISBLANK(JP!AL621),"","x")</f>
        <v/>
      </c>
      <c r="AK617" t="str">
        <f>IF(ISBLANK(JP!AM621),"","x")</f>
        <v/>
      </c>
      <c r="AL617" t="str">
        <f>IF(ISBLANK(JP!AN621),"","x")</f>
        <v/>
      </c>
      <c r="AM617" t="str">
        <f>IF(ISBLANK(JP!AO621),"","x")</f>
        <v/>
      </c>
      <c r="AN617" t="str">
        <f>IF(ISBLANK(JP!AP621),"","x")</f>
        <v/>
      </c>
      <c r="AO617" t="str">
        <f>IF(ISBLANK(JP!AR621),"","x")</f>
        <v/>
      </c>
      <c r="AP617" t="str">
        <f>IF(ISBLANK(JP!AS621),"","x")</f>
        <v/>
      </c>
      <c r="AQ617" t="str">
        <f>IF(ISBLANK(JP!AT621),"","x")</f>
        <v/>
      </c>
      <c r="AR617" t="str">
        <f>IF(ISBLANK(JP!AU621),"","x")</f>
        <v/>
      </c>
      <c r="AS617" t="str">
        <f>IF(ISBLANK(JP!AV621),"","x")</f>
        <v/>
      </c>
      <c r="AT617" t="str">
        <f>IF(ISBLANK(JP!AW621),"","x")</f>
        <v/>
      </c>
      <c r="AU617" t="str">
        <f>IF(ISBLANK(JP!AX621),"","x")</f>
        <v/>
      </c>
    </row>
    <row r="618" spans="2:47">
      <c r="B618" t="str">
        <f>IF(ISBLANK(JP!AZ622),"",JP!AZ622)</f>
        <v/>
      </c>
      <c r="C618" t="str">
        <f>IF(ISBLANK(JP!BA622),"",JP!BA622)</f>
        <v/>
      </c>
      <c r="D618" t="str">
        <f>IF(ISBLANK(JP!BC622),"",JP!BC622)</f>
        <v/>
      </c>
      <c r="E618" t="str">
        <f>IF(ISBLANK(JP!BB622),"",JP!BB622)</f>
        <v/>
      </c>
      <c r="F618" t="str">
        <f>IF(ISBLANK(JP!D622),"","x")</f>
        <v/>
      </c>
      <c r="G618" t="str">
        <f>IF(ISBLANK(JP!E622),"","x")</f>
        <v/>
      </c>
      <c r="H618" t="str">
        <f>IF(ISBLANK(JP!F622),"","x")</f>
        <v/>
      </c>
      <c r="I618" t="str">
        <f>IF(ISBLANK(JP!G622),"","x")</f>
        <v/>
      </c>
      <c r="J618" t="str">
        <f>IF(ISBLANK(JP!H622),"","x")</f>
        <v/>
      </c>
      <c r="K618" t="str">
        <f>IF(ISBLANK(JP!I622),"","x")</f>
        <v/>
      </c>
      <c r="L618" t="str">
        <f>IF(ISBLANK(JP!J622),"","x")</f>
        <v/>
      </c>
      <c r="M618" t="str">
        <f>IF(ISBLANK(JP!L622),"","x")</f>
        <v/>
      </c>
      <c r="N618" t="str">
        <f>IF(ISBLANK(JP!M622),"","x")</f>
        <v/>
      </c>
      <c r="O618" t="str">
        <f>IF(ISBLANK(JP!N622),"","x")</f>
        <v/>
      </c>
      <c r="P618" t="str">
        <f>IF(ISBLANK(JP!O622),"","x")</f>
        <v/>
      </c>
      <c r="Q618" t="str">
        <f>IF(ISBLANK(JP!P622),"","x")</f>
        <v/>
      </c>
      <c r="R618" t="str">
        <f>IF(ISBLANK(JP!Q622),"","x")</f>
        <v/>
      </c>
      <c r="S618" t="str">
        <f>IF(ISBLANK(JP!R622),"","x")</f>
        <v/>
      </c>
      <c r="T618" t="str">
        <f>IF(ISBLANK(JP!T622),"","x")</f>
        <v/>
      </c>
      <c r="U618" t="str">
        <f>IF(ISBLANK(JP!U622),"","x")</f>
        <v/>
      </c>
      <c r="V618" t="str">
        <f>IF(ISBLANK(JP!V622),"","x")</f>
        <v/>
      </c>
      <c r="W618" t="str">
        <f>IF(ISBLANK(JP!W622),"","x")</f>
        <v/>
      </c>
      <c r="X618" t="str">
        <f>IF(ISBLANK(JP!X622),"","x")</f>
        <v/>
      </c>
      <c r="Y618" t="str">
        <f>IF(ISBLANK(JP!Y622),"","x")</f>
        <v/>
      </c>
      <c r="Z618" t="str">
        <f>IF(ISBLANK(JP!Z622),"","x")</f>
        <v/>
      </c>
      <c r="AA618" t="str">
        <f>IF(ISBLANK(JP!AB622),"","x")</f>
        <v/>
      </c>
      <c r="AB618" t="str">
        <f>IF(ISBLANK(JP!AC622),"","x")</f>
        <v/>
      </c>
      <c r="AC618" t="str">
        <f>IF(ISBLANK(JP!AD622),"","x")</f>
        <v/>
      </c>
      <c r="AD618" t="str">
        <f>IF(ISBLANK(JP!AE622),"","x")</f>
        <v/>
      </c>
      <c r="AE618" t="str">
        <f>IF(ISBLANK(JP!AF622),"","x")</f>
        <v/>
      </c>
      <c r="AF618" t="str">
        <f>IF(ISBLANK(JP!AG622),"","x")</f>
        <v/>
      </c>
      <c r="AG618" t="str">
        <f>IF(ISBLANK(JP!AH622),"","x")</f>
        <v/>
      </c>
      <c r="AH618" t="str">
        <f>IF(ISBLANK(JP!AJ622),"","x")</f>
        <v/>
      </c>
      <c r="AI618" t="str">
        <f>IF(ISBLANK(JP!AK622),"","x")</f>
        <v/>
      </c>
      <c r="AJ618" t="str">
        <f>IF(ISBLANK(JP!AL622),"","x")</f>
        <v/>
      </c>
      <c r="AK618" t="str">
        <f>IF(ISBLANK(JP!AM622),"","x")</f>
        <v/>
      </c>
      <c r="AL618" t="str">
        <f>IF(ISBLANK(JP!AN622),"","x")</f>
        <v/>
      </c>
      <c r="AM618" t="str">
        <f>IF(ISBLANK(JP!AO622),"","x")</f>
        <v/>
      </c>
      <c r="AN618" t="str">
        <f>IF(ISBLANK(JP!AP622),"","x")</f>
        <v/>
      </c>
      <c r="AO618" t="str">
        <f>IF(ISBLANK(JP!AR622),"","x")</f>
        <v/>
      </c>
      <c r="AP618" t="str">
        <f>IF(ISBLANK(JP!AS622),"","x")</f>
        <v/>
      </c>
      <c r="AQ618" t="str">
        <f>IF(ISBLANK(JP!AT622),"","x")</f>
        <v/>
      </c>
      <c r="AR618" t="str">
        <f>IF(ISBLANK(JP!AU622),"","x")</f>
        <v/>
      </c>
      <c r="AS618" t="str">
        <f>IF(ISBLANK(JP!AV622),"","x")</f>
        <v/>
      </c>
      <c r="AT618" t="str">
        <f>IF(ISBLANK(JP!AW622),"","x")</f>
        <v/>
      </c>
      <c r="AU618" t="str">
        <f>IF(ISBLANK(JP!AX622),"","x")</f>
        <v/>
      </c>
    </row>
    <row r="619" spans="2:47">
      <c r="B619" t="str">
        <f>IF(ISBLANK(JP!AZ623),"",JP!AZ623)</f>
        <v/>
      </c>
      <c r="C619" t="str">
        <f>IF(ISBLANK(JP!BA623),"",JP!BA623)</f>
        <v/>
      </c>
      <c r="D619" t="str">
        <f>IF(ISBLANK(JP!BC623),"",JP!BC623)</f>
        <v/>
      </c>
      <c r="E619" t="str">
        <f>IF(ISBLANK(JP!BB623),"",JP!BB623)</f>
        <v/>
      </c>
      <c r="F619" t="str">
        <f>IF(ISBLANK(JP!D623),"","x")</f>
        <v/>
      </c>
      <c r="G619" t="str">
        <f>IF(ISBLANK(JP!E623),"","x")</f>
        <v/>
      </c>
      <c r="H619" t="str">
        <f>IF(ISBLANK(JP!F623),"","x")</f>
        <v/>
      </c>
      <c r="I619" t="str">
        <f>IF(ISBLANK(JP!G623),"","x")</f>
        <v/>
      </c>
      <c r="J619" t="str">
        <f>IF(ISBLANK(JP!H623),"","x")</f>
        <v/>
      </c>
      <c r="K619" t="str">
        <f>IF(ISBLANK(JP!I623),"","x")</f>
        <v/>
      </c>
      <c r="L619" t="str">
        <f>IF(ISBLANK(JP!J623),"","x")</f>
        <v/>
      </c>
      <c r="M619" t="str">
        <f>IF(ISBLANK(JP!L623),"","x")</f>
        <v/>
      </c>
      <c r="N619" t="str">
        <f>IF(ISBLANK(JP!M623),"","x")</f>
        <v/>
      </c>
      <c r="O619" t="str">
        <f>IF(ISBLANK(JP!N623),"","x")</f>
        <v/>
      </c>
      <c r="P619" t="str">
        <f>IF(ISBLANK(JP!O623),"","x")</f>
        <v/>
      </c>
      <c r="Q619" t="str">
        <f>IF(ISBLANK(JP!P623),"","x")</f>
        <v/>
      </c>
      <c r="R619" t="str">
        <f>IF(ISBLANK(JP!Q623),"","x")</f>
        <v/>
      </c>
      <c r="S619" t="str">
        <f>IF(ISBLANK(JP!R623),"","x")</f>
        <v/>
      </c>
      <c r="T619" t="str">
        <f>IF(ISBLANK(JP!T623),"","x")</f>
        <v/>
      </c>
      <c r="U619" t="str">
        <f>IF(ISBLANK(JP!U623),"","x")</f>
        <v/>
      </c>
      <c r="V619" t="str">
        <f>IF(ISBLANK(JP!V623),"","x")</f>
        <v/>
      </c>
      <c r="W619" t="str">
        <f>IF(ISBLANK(JP!W623),"","x")</f>
        <v/>
      </c>
      <c r="X619" t="str">
        <f>IF(ISBLANK(JP!X623),"","x")</f>
        <v/>
      </c>
      <c r="Y619" t="str">
        <f>IF(ISBLANK(JP!Y623),"","x")</f>
        <v/>
      </c>
      <c r="Z619" t="str">
        <f>IF(ISBLANK(JP!Z623),"","x")</f>
        <v/>
      </c>
      <c r="AA619" t="str">
        <f>IF(ISBLANK(JP!AB623),"","x")</f>
        <v/>
      </c>
      <c r="AB619" t="str">
        <f>IF(ISBLANK(JP!AC623),"","x")</f>
        <v/>
      </c>
      <c r="AC619" t="str">
        <f>IF(ISBLANK(JP!AD623),"","x")</f>
        <v/>
      </c>
      <c r="AD619" t="str">
        <f>IF(ISBLANK(JP!AE623),"","x")</f>
        <v/>
      </c>
      <c r="AE619" t="str">
        <f>IF(ISBLANK(JP!AF623),"","x")</f>
        <v/>
      </c>
      <c r="AF619" t="str">
        <f>IF(ISBLANK(JP!AG623),"","x")</f>
        <v/>
      </c>
      <c r="AG619" t="str">
        <f>IF(ISBLANK(JP!AH623),"","x")</f>
        <v/>
      </c>
      <c r="AH619" t="str">
        <f>IF(ISBLANK(JP!AJ623),"","x")</f>
        <v/>
      </c>
      <c r="AI619" t="str">
        <f>IF(ISBLANK(JP!AK623),"","x")</f>
        <v/>
      </c>
      <c r="AJ619" t="str">
        <f>IF(ISBLANK(JP!AL623),"","x")</f>
        <v/>
      </c>
      <c r="AK619" t="str">
        <f>IF(ISBLANK(JP!AM623),"","x")</f>
        <v/>
      </c>
      <c r="AL619" t="str">
        <f>IF(ISBLANK(JP!AN623),"","x")</f>
        <v/>
      </c>
      <c r="AM619" t="str">
        <f>IF(ISBLANK(JP!AO623),"","x")</f>
        <v/>
      </c>
      <c r="AN619" t="str">
        <f>IF(ISBLANK(JP!AP623),"","x")</f>
        <v/>
      </c>
      <c r="AO619" t="str">
        <f>IF(ISBLANK(JP!AR623),"","x")</f>
        <v/>
      </c>
      <c r="AP619" t="str">
        <f>IF(ISBLANK(JP!AS623),"","x")</f>
        <v/>
      </c>
      <c r="AQ619" t="str">
        <f>IF(ISBLANK(JP!AT623),"","x")</f>
        <v/>
      </c>
      <c r="AR619" t="str">
        <f>IF(ISBLANK(JP!AU623),"","x")</f>
        <v/>
      </c>
      <c r="AS619" t="str">
        <f>IF(ISBLANK(JP!AV623),"","x")</f>
        <v/>
      </c>
      <c r="AT619" t="str">
        <f>IF(ISBLANK(JP!AW623),"","x")</f>
        <v/>
      </c>
      <c r="AU619" t="str">
        <f>IF(ISBLANK(JP!AX623),"","x")</f>
        <v/>
      </c>
    </row>
    <row r="620" spans="2:47">
      <c r="B620" t="str">
        <f>IF(ISBLANK(JP!AZ624),"",JP!AZ624)</f>
        <v/>
      </c>
      <c r="C620" t="str">
        <f>IF(ISBLANK(JP!BA624),"",JP!BA624)</f>
        <v/>
      </c>
      <c r="D620" t="str">
        <f>IF(ISBLANK(JP!BC624),"",JP!BC624)</f>
        <v/>
      </c>
      <c r="E620" t="str">
        <f>IF(ISBLANK(JP!BB624),"",JP!BB624)</f>
        <v/>
      </c>
      <c r="F620" t="str">
        <f>IF(ISBLANK(JP!D624),"","x")</f>
        <v/>
      </c>
      <c r="G620" t="str">
        <f>IF(ISBLANK(JP!E624),"","x")</f>
        <v/>
      </c>
      <c r="H620" t="str">
        <f>IF(ISBLANK(JP!F624),"","x")</f>
        <v/>
      </c>
      <c r="I620" t="str">
        <f>IF(ISBLANK(JP!G624),"","x")</f>
        <v/>
      </c>
      <c r="J620" t="str">
        <f>IF(ISBLANK(JP!H624),"","x")</f>
        <v/>
      </c>
      <c r="K620" t="str">
        <f>IF(ISBLANK(JP!I624),"","x")</f>
        <v/>
      </c>
      <c r="L620" t="str">
        <f>IF(ISBLANK(JP!J624),"","x")</f>
        <v/>
      </c>
      <c r="M620" t="str">
        <f>IF(ISBLANK(JP!L624),"","x")</f>
        <v/>
      </c>
      <c r="N620" t="str">
        <f>IF(ISBLANK(JP!M624),"","x")</f>
        <v/>
      </c>
      <c r="O620" t="str">
        <f>IF(ISBLANK(JP!N624),"","x")</f>
        <v/>
      </c>
      <c r="P620" t="str">
        <f>IF(ISBLANK(JP!O624),"","x")</f>
        <v/>
      </c>
      <c r="Q620" t="str">
        <f>IF(ISBLANK(JP!P624),"","x")</f>
        <v/>
      </c>
      <c r="R620" t="str">
        <f>IF(ISBLANK(JP!Q624),"","x")</f>
        <v/>
      </c>
      <c r="S620" t="str">
        <f>IF(ISBLANK(JP!R624),"","x")</f>
        <v/>
      </c>
      <c r="T620" t="str">
        <f>IF(ISBLANK(JP!T624),"","x")</f>
        <v/>
      </c>
      <c r="U620" t="str">
        <f>IF(ISBLANK(JP!U624),"","x")</f>
        <v/>
      </c>
      <c r="V620" t="str">
        <f>IF(ISBLANK(JP!V624),"","x")</f>
        <v/>
      </c>
      <c r="W620" t="str">
        <f>IF(ISBLANK(JP!W624),"","x")</f>
        <v/>
      </c>
      <c r="X620" t="str">
        <f>IF(ISBLANK(JP!X624),"","x")</f>
        <v/>
      </c>
      <c r="Y620" t="str">
        <f>IF(ISBLANK(JP!Y624),"","x")</f>
        <v/>
      </c>
      <c r="Z620" t="str">
        <f>IF(ISBLANK(JP!Z624),"","x")</f>
        <v/>
      </c>
      <c r="AA620" t="str">
        <f>IF(ISBLANK(JP!AB624),"","x")</f>
        <v/>
      </c>
      <c r="AB620" t="str">
        <f>IF(ISBLANK(JP!AC624),"","x")</f>
        <v/>
      </c>
      <c r="AC620" t="str">
        <f>IF(ISBLANK(JP!AD624),"","x")</f>
        <v/>
      </c>
      <c r="AD620" t="str">
        <f>IF(ISBLANK(JP!AE624),"","x")</f>
        <v/>
      </c>
      <c r="AE620" t="str">
        <f>IF(ISBLANK(JP!AF624),"","x")</f>
        <v/>
      </c>
      <c r="AF620" t="str">
        <f>IF(ISBLANK(JP!AG624),"","x")</f>
        <v/>
      </c>
      <c r="AG620" t="str">
        <f>IF(ISBLANK(JP!AH624),"","x")</f>
        <v/>
      </c>
      <c r="AH620" t="str">
        <f>IF(ISBLANK(JP!AJ624),"","x")</f>
        <v/>
      </c>
      <c r="AI620" t="str">
        <f>IF(ISBLANK(JP!AK624),"","x")</f>
        <v/>
      </c>
      <c r="AJ620" t="str">
        <f>IF(ISBLANK(JP!AL624),"","x")</f>
        <v/>
      </c>
      <c r="AK620" t="str">
        <f>IF(ISBLANK(JP!AM624),"","x")</f>
        <v/>
      </c>
      <c r="AL620" t="str">
        <f>IF(ISBLANK(JP!AN624),"","x")</f>
        <v/>
      </c>
      <c r="AM620" t="str">
        <f>IF(ISBLANK(JP!AO624),"","x")</f>
        <v/>
      </c>
      <c r="AN620" t="str">
        <f>IF(ISBLANK(JP!AP624),"","x")</f>
        <v/>
      </c>
      <c r="AO620" t="str">
        <f>IF(ISBLANK(JP!AR624),"","x")</f>
        <v/>
      </c>
      <c r="AP620" t="str">
        <f>IF(ISBLANK(JP!AS624),"","x")</f>
        <v/>
      </c>
      <c r="AQ620" t="str">
        <f>IF(ISBLANK(JP!AT624),"","x")</f>
        <v/>
      </c>
      <c r="AR620" t="str">
        <f>IF(ISBLANK(JP!AU624),"","x")</f>
        <v/>
      </c>
      <c r="AS620" t="str">
        <f>IF(ISBLANK(JP!AV624),"","x")</f>
        <v/>
      </c>
      <c r="AT620" t="str">
        <f>IF(ISBLANK(JP!AW624),"","x")</f>
        <v/>
      </c>
      <c r="AU620" t="str">
        <f>IF(ISBLANK(JP!AX624),"","x")</f>
        <v/>
      </c>
    </row>
    <row r="621" spans="2:47">
      <c r="B621" t="str">
        <f>IF(ISBLANK(JP!AZ625),"",JP!AZ625)</f>
        <v/>
      </c>
      <c r="C621" t="str">
        <f>IF(ISBLANK(JP!BA625),"",JP!BA625)</f>
        <v/>
      </c>
      <c r="D621" t="str">
        <f>IF(ISBLANK(JP!BC625),"",JP!BC625)</f>
        <v/>
      </c>
      <c r="E621" t="str">
        <f>IF(ISBLANK(JP!BB625),"",JP!BB625)</f>
        <v/>
      </c>
      <c r="F621" t="str">
        <f>IF(ISBLANK(JP!D625),"","x")</f>
        <v/>
      </c>
      <c r="G621" t="str">
        <f>IF(ISBLANK(JP!E625),"","x")</f>
        <v/>
      </c>
      <c r="H621" t="str">
        <f>IF(ISBLANK(JP!F625),"","x")</f>
        <v/>
      </c>
      <c r="I621" t="str">
        <f>IF(ISBLANK(JP!G625),"","x")</f>
        <v/>
      </c>
      <c r="J621" t="str">
        <f>IF(ISBLANK(JP!H625),"","x")</f>
        <v/>
      </c>
      <c r="K621" t="str">
        <f>IF(ISBLANK(JP!I625),"","x")</f>
        <v/>
      </c>
      <c r="L621" t="str">
        <f>IF(ISBLANK(JP!J625),"","x")</f>
        <v/>
      </c>
      <c r="M621" t="str">
        <f>IF(ISBLANK(JP!L625),"","x")</f>
        <v/>
      </c>
      <c r="N621" t="str">
        <f>IF(ISBLANK(JP!M625),"","x")</f>
        <v/>
      </c>
      <c r="O621" t="str">
        <f>IF(ISBLANK(JP!N625),"","x")</f>
        <v/>
      </c>
      <c r="P621" t="str">
        <f>IF(ISBLANK(JP!O625),"","x")</f>
        <v/>
      </c>
      <c r="Q621" t="str">
        <f>IF(ISBLANK(JP!P625),"","x")</f>
        <v/>
      </c>
      <c r="R621" t="str">
        <f>IF(ISBLANK(JP!Q625),"","x")</f>
        <v/>
      </c>
      <c r="S621" t="str">
        <f>IF(ISBLANK(JP!R625),"","x")</f>
        <v/>
      </c>
      <c r="T621" t="str">
        <f>IF(ISBLANK(JP!T625),"","x")</f>
        <v/>
      </c>
      <c r="U621" t="str">
        <f>IF(ISBLANK(JP!U625),"","x")</f>
        <v/>
      </c>
      <c r="V621" t="str">
        <f>IF(ISBLANK(JP!V625),"","x")</f>
        <v/>
      </c>
      <c r="W621" t="str">
        <f>IF(ISBLANK(JP!W625),"","x")</f>
        <v/>
      </c>
      <c r="X621" t="str">
        <f>IF(ISBLANK(JP!X625),"","x")</f>
        <v/>
      </c>
      <c r="Y621" t="str">
        <f>IF(ISBLANK(JP!Y625),"","x")</f>
        <v/>
      </c>
      <c r="Z621" t="str">
        <f>IF(ISBLANK(JP!Z625),"","x")</f>
        <v/>
      </c>
      <c r="AA621" t="str">
        <f>IF(ISBLANK(JP!AB625),"","x")</f>
        <v/>
      </c>
      <c r="AB621" t="str">
        <f>IF(ISBLANK(JP!AC625),"","x")</f>
        <v/>
      </c>
      <c r="AC621" t="str">
        <f>IF(ISBLANK(JP!AD625),"","x")</f>
        <v/>
      </c>
      <c r="AD621" t="str">
        <f>IF(ISBLANK(JP!AE625),"","x")</f>
        <v/>
      </c>
      <c r="AE621" t="str">
        <f>IF(ISBLANK(JP!AF625),"","x")</f>
        <v/>
      </c>
      <c r="AF621" t="str">
        <f>IF(ISBLANK(JP!AG625),"","x")</f>
        <v/>
      </c>
      <c r="AG621" t="str">
        <f>IF(ISBLANK(JP!AH625),"","x")</f>
        <v/>
      </c>
      <c r="AH621" t="str">
        <f>IF(ISBLANK(JP!AJ625),"","x")</f>
        <v/>
      </c>
      <c r="AI621" t="str">
        <f>IF(ISBLANK(JP!AK625),"","x")</f>
        <v/>
      </c>
      <c r="AJ621" t="str">
        <f>IF(ISBLANK(JP!AL625),"","x")</f>
        <v/>
      </c>
      <c r="AK621" t="str">
        <f>IF(ISBLANK(JP!AM625),"","x")</f>
        <v/>
      </c>
      <c r="AL621" t="str">
        <f>IF(ISBLANK(JP!AN625),"","x")</f>
        <v/>
      </c>
      <c r="AM621" t="str">
        <f>IF(ISBLANK(JP!AO625),"","x")</f>
        <v/>
      </c>
      <c r="AN621" t="str">
        <f>IF(ISBLANK(JP!AP625),"","x")</f>
        <v/>
      </c>
      <c r="AO621" t="str">
        <f>IF(ISBLANK(JP!AR625),"","x")</f>
        <v/>
      </c>
      <c r="AP621" t="str">
        <f>IF(ISBLANK(JP!AS625),"","x")</f>
        <v/>
      </c>
      <c r="AQ621" t="str">
        <f>IF(ISBLANK(JP!AT625),"","x")</f>
        <v/>
      </c>
      <c r="AR621" t="str">
        <f>IF(ISBLANK(JP!AU625),"","x")</f>
        <v/>
      </c>
      <c r="AS621" t="str">
        <f>IF(ISBLANK(JP!AV625),"","x")</f>
        <v/>
      </c>
      <c r="AT621" t="str">
        <f>IF(ISBLANK(JP!AW625),"","x")</f>
        <v/>
      </c>
      <c r="AU621" t="str">
        <f>IF(ISBLANK(JP!AX625),"","x")</f>
        <v/>
      </c>
    </row>
    <row r="622" spans="2:47">
      <c r="B622" t="str">
        <f>IF(ISBLANK(JP!AZ626),"",JP!AZ626)</f>
        <v/>
      </c>
      <c r="C622" t="str">
        <f>IF(ISBLANK(JP!BA626),"",JP!BA626)</f>
        <v/>
      </c>
      <c r="D622" t="str">
        <f>IF(ISBLANK(JP!BC626),"",JP!BC626)</f>
        <v/>
      </c>
      <c r="E622" t="str">
        <f>IF(ISBLANK(JP!BB626),"",JP!BB626)</f>
        <v/>
      </c>
      <c r="F622" t="str">
        <f>IF(ISBLANK(JP!D626),"","x")</f>
        <v/>
      </c>
      <c r="G622" t="str">
        <f>IF(ISBLANK(JP!E626),"","x")</f>
        <v/>
      </c>
      <c r="H622" t="str">
        <f>IF(ISBLANK(JP!F626),"","x")</f>
        <v/>
      </c>
      <c r="I622" t="str">
        <f>IF(ISBLANK(JP!G626),"","x")</f>
        <v/>
      </c>
      <c r="J622" t="str">
        <f>IF(ISBLANK(JP!H626),"","x")</f>
        <v/>
      </c>
      <c r="K622" t="str">
        <f>IF(ISBLANK(JP!I626),"","x")</f>
        <v/>
      </c>
      <c r="L622" t="str">
        <f>IF(ISBLANK(JP!J626),"","x")</f>
        <v/>
      </c>
      <c r="M622" t="str">
        <f>IF(ISBLANK(JP!L626),"","x")</f>
        <v/>
      </c>
      <c r="N622" t="str">
        <f>IF(ISBLANK(JP!M626),"","x")</f>
        <v/>
      </c>
      <c r="O622" t="str">
        <f>IF(ISBLANK(JP!N626),"","x")</f>
        <v/>
      </c>
      <c r="P622" t="str">
        <f>IF(ISBLANK(JP!O626),"","x")</f>
        <v/>
      </c>
      <c r="Q622" t="str">
        <f>IF(ISBLANK(JP!P626),"","x")</f>
        <v/>
      </c>
      <c r="R622" t="str">
        <f>IF(ISBLANK(JP!Q626),"","x")</f>
        <v/>
      </c>
      <c r="S622" t="str">
        <f>IF(ISBLANK(JP!R626),"","x")</f>
        <v/>
      </c>
      <c r="T622" t="str">
        <f>IF(ISBLANK(JP!T626),"","x")</f>
        <v/>
      </c>
      <c r="U622" t="str">
        <f>IF(ISBLANK(JP!U626),"","x")</f>
        <v/>
      </c>
      <c r="V622" t="str">
        <f>IF(ISBLANK(JP!V626),"","x")</f>
        <v/>
      </c>
      <c r="W622" t="str">
        <f>IF(ISBLANK(JP!W626),"","x")</f>
        <v/>
      </c>
      <c r="X622" t="str">
        <f>IF(ISBLANK(JP!X626),"","x")</f>
        <v/>
      </c>
      <c r="Y622" t="str">
        <f>IF(ISBLANK(JP!Y626),"","x")</f>
        <v/>
      </c>
      <c r="Z622" t="str">
        <f>IF(ISBLANK(JP!Z626),"","x")</f>
        <v/>
      </c>
      <c r="AA622" t="str">
        <f>IF(ISBLANK(JP!AB626),"","x")</f>
        <v/>
      </c>
      <c r="AB622" t="str">
        <f>IF(ISBLANK(JP!AC626),"","x")</f>
        <v/>
      </c>
      <c r="AC622" t="str">
        <f>IF(ISBLANK(JP!AD626),"","x")</f>
        <v/>
      </c>
      <c r="AD622" t="str">
        <f>IF(ISBLANK(JP!AE626),"","x")</f>
        <v/>
      </c>
      <c r="AE622" t="str">
        <f>IF(ISBLANK(JP!AF626),"","x")</f>
        <v/>
      </c>
      <c r="AF622" t="str">
        <f>IF(ISBLANK(JP!AG626),"","x")</f>
        <v/>
      </c>
      <c r="AG622" t="str">
        <f>IF(ISBLANK(JP!AH626),"","x")</f>
        <v/>
      </c>
      <c r="AH622" t="str">
        <f>IF(ISBLANK(JP!AJ626),"","x")</f>
        <v/>
      </c>
      <c r="AI622" t="str">
        <f>IF(ISBLANK(JP!AK626),"","x")</f>
        <v/>
      </c>
      <c r="AJ622" t="str">
        <f>IF(ISBLANK(JP!AL626),"","x")</f>
        <v/>
      </c>
      <c r="AK622" t="str">
        <f>IF(ISBLANK(JP!AM626),"","x")</f>
        <v/>
      </c>
      <c r="AL622" t="str">
        <f>IF(ISBLANK(JP!AN626),"","x")</f>
        <v/>
      </c>
      <c r="AM622" t="str">
        <f>IF(ISBLANK(JP!AO626),"","x")</f>
        <v/>
      </c>
      <c r="AN622" t="str">
        <f>IF(ISBLANK(JP!AP626),"","x")</f>
        <v/>
      </c>
      <c r="AO622" t="str">
        <f>IF(ISBLANK(JP!AR626),"","x")</f>
        <v/>
      </c>
      <c r="AP622" t="str">
        <f>IF(ISBLANK(JP!AS626),"","x")</f>
        <v/>
      </c>
      <c r="AQ622" t="str">
        <f>IF(ISBLANK(JP!AT626),"","x")</f>
        <v/>
      </c>
      <c r="AR622" t="str">
        <f>IF(ISBLANK(JP!AU626),"","x")</f>
        <v/>
      </c>
      <c r="AS622" t="str">
        <f>IF(ISBLANK(JP!AV626),"","x")</f>
        <v/>
      </c>
      <c r="AT622" t="str">
        <f>IF(ISBLANK(JP!AW626),"","x")</f>
        <v/>
      </c>
      <c r="AU622" t="str">
        <f>IF(ISBLANK(JP!AX626),"","x")</f>
        <v/>
      </c>
    </row>
    <row r="623" spans="2:47">
      <c r="B623" t="str">
        <f>IF(ISBLANK(JP!AZ627),"",JP!AZ627)</f>
        <v/>
      </c>
      <c r="C623" t="str">
        <f>IF(ISBLANK(JP!BA627),"",JP!BA627)</f>
        <v/>
      </c>
      <c r="D623" t="str">
        <f>IF(ISBLANK(JP!BC627),"",JP!BC627)</f>
        <v/>
      </c>
      <c r="E623" t="str">
        <f>IF(ISBLANK(JP!BB627),"",JP!BB627)</f>
        <v/>
      </c>
      <c r="F623" t="str">
        <f>IF(ISBLANK(JP!D627),"","x")</f>
        <v/>
      </c>
      <c r="G623" t="str">
        <f>IF(ISBLANK(JP!E627),"","x")</f>
        <v/>
      </c>
      <c r="H623" t="str">
        <f>IF(ISBLANK(JP!F627),"","x")</f>
        <v/>
      </c>
      <c r="I623" t="str">
        <f>IF(ISBLANK(JP!G627),"","x")</f>
        <v/>
      </c>
      <c r="J623" t="str">
        <f>IF(ISBLANK(JP!H627),"","x")</f>
        <v/>
      </c>
      <c r="K623" t="str">
        <f>IF(ISBLANK(JP!I627),"","x")</f>
        <v/>
      </c>
      <c r="L623" t="str">
        <f>IF(ISBLANK(JP!J627),"","x")</f>
        <v/>
      </c>
      <c r="M623" t="str">
        <f>IF(ISBLANK(JP!L627),"","x")</f>
        <v/>
      </c>
      <c r="N623" t="str">
        <f>IF(ISBLANK(JP!M627),"","x")</f>
        <v/>
      </c>
      <c r="O623" t="str">
        <f>IF(ISBLANK(JP!N627),"","x")</f>
        <v/>
      </c>
      <c r="P623" t="str">
        <f>IF(ISBLANK(JP!O627),"","x")</f>
        <v/>
      </c>
      <c r="Q623" t="str">
        <f>IF(ISBLANK(JP!P627),"","x")</f>
        <v/>
      </c>
      <c r="R623" t="str">
        <f>IF(ISBLANK(JP!Q627),"","x")</f>
        <v/>
      </c>
      <c r="S623" t="str">
        <f>IF(ISBLANK(JP!R627),"","x")</f>
        <v/>
      </c>
      <c r="T623" t="str">
        <f>IF(ISBLANK(JP!T627),"","x")</f>
        <v/>
      </c>
      <c r="U623" t="str">
        <f>IF(ISBLANK(JP!U627),"","x")</f>
        <v/>
      </c>
      <c r="V623" t="str">
        <f>IF(ISBLANK(JP!V627),"","x")</f>
        <v/>
      </c>
      <c r="W623" t="str">
        <f>IF(ISBLANK(JP!W627),"","x")</f>
        <v/>
      </c>
      <c r="X623" t="str">
        <f>IF(ISBLANK(JP!X627),"","x")</f>
        <v/>
      </c>
      <c r="Y623" t="str">
        <f>IF(ISBLANK(JP!Y627),"","x")</f>
        <v/>
      </c>
      <c r="Z623" t="str">
        <f>IF(ISBLANK(JP!Z627),"","x")</f>
        <v/>
      </c>
      <c r="AA623" t="str">
        <f>IF(ISBLANK(JP!AB627),"","x")</f>
        <v/>
      </c>
      <c r="AB623" t="str">
        <f>IF(ISBLANK(JP!AC627),"","x")</f>
        <v/>
      </c>
      <c r="AC623" t="str">
        <f>IF(ISBLANK(JP!AD627),"","x")</f>
        <v/>
      </c>
      <c r="AD623" t="str">
        <f>IF(ISBLANK(JP!AE627),"","x")</f>
        <v/>
      </c>
      <c r="AE623" t="str">
        <f>IF(ISBLANK(JP!AF627),"","x")</f>
        <v/>
      </c>
      <c r="AF623" t="str">
        <f>IF(ISBLANK(JP!AG627),"","x")</f>
        <v/>
      </c>
      <c r="AG623" t="str">
        <f>IF(ISBLANK(JP!AH627),"","x")</f>
        <v/>
      </c>
      <c r="AH623" t="str">
        <f>IF(ISBLANK(JP!AJ627),"","x")</f>
        <v/>
      </c>
      <c r="AI623" t="str">
        <f>IF(ISBLANK(JP!AK627),"","x")</f>
        <v/>
      </c>
      <c r="AJ623" t="str">
        <f>IF(ISBLANK(JP!AL627),"","x")</f>
        <v/>
      </c>
      <c r="AK623" t="str">
        <f>IF(ISBLANK(JP!AM627),"","x")</f>
        <v/>
      </c>
      <c r="AL623" t="str">
        <f>IF(ISBLANK(JP!AN627),"","x")</f>
        <v/>
      </c>
      <c r="AM623" t="str">
        <f>IF(ISBLANK(JP!AO627),"","x")</f>
        <v/>
      </c>
      <c r="AN623" t="str">
        <f>IF(ISBLANK(JP!AP627),"","x")</f>
        <v/>
      </c>
      <c r="AO623" t="str">
        <f>IF(ISBLANK(JP!AR627),"","x")</f>
        <v/>
      </c>
      <c r="AP623" t="str">
        <f>IF(ISBLANK(JP!AS627),"","x")</f>
        <v/>
      </c>
      <c r="AQ623" t="str">
        <f>IF(ISBLANK(JP!AT627),"","x")</f>
        <v/>
      </c>
      <c r="AR623" t="str">
        <f>IF(ISBLANK(JP!AU627),"","x")</f>
        <v/>
      </c>
      <c r="AS623" t="str">
        <f>IF(ISBLANK(JP!AV627),"","x")</f>
        <v/>
      </c>
      <c r="AT623" t="str">
        <f>IF(ISBLANK(JP!AW627),"","x")</f>
        <v/>
      </c>
      <c r="AU623" t="str">
        <f>IF(ISBLANK(JP!AX627),"","x")</f>
        <v/>
      </c>
    </row>
    <row r="624" spans="2:47">
      <c r="B624" t="str">
        <f>IF(ISBLANK(JP!AZ628),"",JP!AZ628)</f>
        <v/>
      </c>
      <c r="C624" t="str">
        <f>IF(ISBLANK(JP!BA628),"",JP!BA628)</f>
        <v/>
      </c>
      <c r="D624" t="str">
        <f>IF(ISBLANK(JP!BC628),"",JP!BC628)</f>
        <v/>
      </c>
      <c r="E624" t="str">
        <f>IF(ISBLANK(JP!BB628),"",JP!BB628)</f>
        <v/>
      </c>
      <c r="F624" t="str">
        <f>IF(ISBLANK(JP!D628),"","x")</f>
        <v/>
      </c>
      <c r="G624" t="str">
        <f>IF(ISBLANK(JP!E628),"","x")</f>
        <v/>
      </c>
      <c r="H624" t="str">
        <f>IF(ISBLANK(JP!F628),"","x")</f>
        <v/>
      </c>
      <c r="I624" t="str">
        <f>IF(ISBLANK(JP!G628),"","x")</f>
        <v/>
      </c>
      <c r="J624" t="str">
        <f>IF(ISBLANK(JP!H628),"","x")</f>
        <v/>
      </c>
      <c r="K624" t="str">
        <f>IF(ISBLANK(JP!I628),"","x")</f>
        <v/>
      </c>
      <c r="L624" t="str">
        <f>IF(ISBLANK(JP!J628),"","x")</f>
        <v/>
      </c>
      <c r="M624" t="str">
        <f>IF(ISBLANK(JP!L628),"","x")</f>
        <v/>
      </c>
      <c r="N624" t="str">
        <f>IF(ISBLANK(JP!M628),"","x")</f>
        <v/>
      </c>
      <c r="O624" t="str">
        <f>IF(ISBLANK(JP!N628),"","x")</f>
        <v/>
      </c>
      <c r="P624" t="str">
        <f>IF(ISBLANK(JP!O628),"","x")</f>
        <v/>
      </c>
      <c r="Q624" t="str">
        <f>IF(ISBLANK(JP!P628),"","x")</f>
        <v/>
      </c>
      <c r="R624" t="str">
        <f>IF(ISBLANK(JP!Q628),"","x")</f>
        <v/>
      </c>
      <c r="S624" t="str">
        <f>IF(ISBLANK(JP!R628),"","x")</f>
        <v/>
      </c>
      <c r="T624" t="str">
        <f>IF(ISBLANK(JP!T628),"","x")</f>
        <v/>
      </c>
      <c r="U624" t="str">
        <f>IF(ISBLANK(JP!U628),"","x")</f>
        <v/>
      </c>
      <c r="V624" t="str">
        <f>IF(ISBLANK(JP!V628),"","x")</f>
        <v/>
      </c>
      <c r="W624" t="str">
        <f>IF(ISBLANK(JP!W628),"","x")</f>
        <v/>
      </c>
      <c r="X624" t="str">
        <f>IF(ISBLANK(JP!X628),"","x")</f>
        <v/>
      </c>
      <c r="Y624" t="str">
        <f>IF(ISBLANK(JP!Y628),"","x")</f>
        <v/>
      </c>
      <c r="Z624" t="str">
        <f>IF(ISBLANK(JP!Z628),"","x")</f>
        <v/>
      </c>
      <c r="AA624" t="str">
        <f>IF(ISBLANK(JP!AB628),"","x")</f>
        <v/>
      </c>
      <c r="AB624" t="str">
        <f>IF(ISBLANK(JP!AC628),"","x")</f>
        <v/>
      </c>
      <c r="AC624" t="str">
        <f>IF(ISBLANK(JP!AD628),"","x")</f>
        <v/>
      </c>
      <c r="AD624" t="str">
        <f>IF(ISBLANK(JP!AE628),"","x")</f>
        <v/>
      </c>
      <c r="AE624" t="str">
        <f>IF(ISBLANK(JP!AF628),"","x")</f>
        <v/>
      </c>
      <c r="AF624" t="str">
        <f>IF(ISBLANK(JP!AG628),"","x")</f>
        <v/>
      </c>
      <c r="AG624" t="str">
        <f>IF(ISBLANK(JP!AH628),"","x")</f>
        <v/>
      </c>
      <c r="AH624" t="str">
        <f>IF(ISBLANK(JP!AJ628),"","x")</f>
        <v/>
      </c>
      <c r="AI624" t="str">
        <f>IF(ISBLANK(JP!AK628),"","x")</f>
        <v/>
      </c>
      <c r="AJ624" t="str">
        <f>IF(ISBLANK(JP!AL628),"","x")</f>
        <v/>
      </c>
      <c r="AK624" t="str">
        <f>IF(ISBLANK(JP!AM628),"","x")</f>
        <v/>
      </c>
      <c r="AL624" t="str">
        <f>IF(ISBLANK(JP!AN628),"","x")</f>
        <v/>
      </c>
      <c r="AM624" t="str">
        <f>IF(ISBLANK(JP!AO628),"","x")</f>
        <v/>
      </c>
      <c r="AN624" t="str">
        <f>IF(ISBLANK(JP!AP628),"","x")</f>
        <v/>
      </c>
      <c r="AO624" t="str">
        <f>IF(ISBLANK(JP!AR628),"","x")</f>
        <v/>
      </c>
      <c r="AP624" t="str">
        <f>IF(ISBLANK(JP!AS628),"","x")</f>
        <v/>
      </c>
      <c r="AQ624" t="str">
        <f>IF(ISBLANK(JP!AT628),"","x")</f>
        <v/>
      </c>
      <c r="AR624" t="str">
        <f>IF(ISBLANK(JP!AU628),"","x")</f>
        <v/>
      </c>
      <c r="AS624" t="str">
        <f>IF(ISBLANK(JP!AV628),"","x")</f>
        <v/>
      </c>
      <c r="AT624" t="str">
        <f>IF(ISBLANK(JP!AW628),"","x")</f>
        <v/>
      </c>
      <c r="AU624" t="str">
        <f>IF(ISBLANK(JP!AX628),"","x")</f>
        <v/>
      </c>
    </row>
    <row r="625" spans="2:47">
      <c r="B625" t="str">
        <f>IF(ISBLANK(JP!AZ629),"",JP!AZ629)</f>
        <v/>
      </c>
      <c r="C625" t="str">
        <f>IF(ISBLANK(JP!BA629),"",JP!BA629)</f>
        <v/>
      </c>
      <c r="D625" t="str">
        <f>IF(ISBLANK(JP!BC629),"",JP!BC629)</f>
        <v/>
      </c>
      <c r="E625" t="str">
        <f>IF(ISBLANK(JP!BB629),"",JP!BB629)</f>
        <v/>
      </c>
      <c r="F625" t="str">
        <f>IF(ISBLANK(JP!D629),"","x")</f>
        <v/>
      </c>
      <c r="G625" t="str">
        <f>IF(ISBLANK(JP!E629),"","x")</f>
        <v/>
      </c>
      <c r="H625" t="str">
        <f>IF(ISBLANK(JP!F629),"","x")</f>
        <v/>
      </c>
      <c r="I625" t="str">
        <f>IF(ISBLANK(JP!G629),"","x")</f>
        <v/>
      </c>
      <c r="J625" t="str">
        <f>IF(ISBLANK(JP!H629),"","x")</f>
        <v/>
      </c>
      <c r="K625" t="str">
        <f>IF(ISBLANK(JP!I629),"","x")</f>
        <v/>
      </c>
      <c r="L625" t="str">
        <f>IF(ISBLANK(JP!J629),"","x")</f>
        <v/>
      </c>
      <c r="M625" t="str">
        <f>IF(ISBLANK(JP!L629),"","x")</f>
        <v/>
      </c>
      <c r="N625" t="str">
        <f>IF(ISBLANK(JP!M629),"","x")</f>
        <v/>
      </c>
      <c r="O625" t="str">
        <f>IF(ISBLANK(JP!N629),"","x")</f>
        <v/>
      </c>
      <c r="P625" t="str">
        <f>IF(ISBLANK(JP!O629),"","x")</f>
        <v/>
      </c>
      <c r="Q625" t="str">
        <f>IF(ISBLANK(JP!P629),"","x")</f>
        <v/>
      </c>
      <c r="R625" t="str">
        <f>IF(ISBLANK(JP!Q629),"","x")</f>
        <v/>
      </c>
      <c r="S625" t="str">
        <f>IF(ISBLANK(JP!R629),"","x")</f>
        <v/>
      </c>
      <c r="T625" t="str">
        <f>IF(ISBLANK(JP!T629),"","x")</f>
        <v/>
      </c>
      <c r="U625" t="str">
        <f>IF(ISBLANK(JP!U629),"","x")</f>
        <v/>
      </c>
      <c r="V625" t="str">
        <f>IF(ISBLANK(JP!V629),"","x")</f>
        <v/>
      </c>
      <c r="W625" t="str">
        <f>IF(ISBLANK(JP!W629),"","x")</f>
        <v/>
      </c>
      <c r="X625" t="str">
        <f>IF(ISBLANK(JP!X629),"","x")</f>
        <v/>
      </c>
      <c r="Y625" t="str">
        <f>IF(ISBLANK(JP!Y629),"","x")</f>
        <v/>
      </c>
      <c r="Z625" t="str">
        <f>IF(ISBLANK(JP!Z629),"","x")</f>
        <v/>
      </c>
      <c r="AA625" t="str">
        <f>IF(ISBLANK(JP!AB629),"","x")</f>
        <v/>
      </c>
      <c r="AB625" t="str">
        <f>IF(ISBLANK(JP!AC629),"","x")</f>
        <v/>
      </c>
      <c r="AC625" t="str">
        <f>IF(ISBLANK(JP!AD629),"","x")</f>
        <v/>
      </c>
      <c r="AD625" t="str">
        <f>IF(ISBLANK(JP!AE629),"","x")</f>
        <v/>
      </c>
      <c r="AE625" t="str">
        <f>IF(ISBLANK(JP!AF629),"","x")</f>
        <v/>
      </c>
      <c r="AF625" t="str">
        <f>IF(ISBLANK(JP!AG629),"","x")</f>
        <v/>
      </c>
      <c r="AG625" t="str">
        <f>IF(ISBLANK(JP!AH629),"","x")</f>
        <v/>
      </c>
      <c r="AH625" t="str">
        <f>IF(ISBLANK(JP!AJ629),"","x")</f>
        <v/>
      </c>
      <c r="AI625" t="str">
        <f>IF(ISBLANK(JP!AK629),"","x")</f>
        <v/>
      </c>
      <c r="AJ625" t="str">
        <f>IF(ISBLANK(JP!AL629),"","x")</f>
        <v/>
      </c>
      <c r="AK625" t="str">
        <f>IF(ISBLANK(JP!AM629),"","x")</f>
        <v/>
      </c>
      <c r="AL625" t="str">
        <f>IF(ISBLANK(JP!AN629),"","x")</f>
        <v/>
      </c>
      <c r="AM625" t="str">
        <f>IF(ISBLANK(JP!AO629),"","x")</f>
        <v/>
      </c>
      <c r="AN625" t="str">
        <f>IF(ISBLANK(JP!AP629),"","x")</f>
        <v/>
      </c>
      <c r="AO625" t="str">
        <f>IF(ISBLANK(JP!AR629),"","x")</f>
        <v/>
      </c>
      <c r="AP625" t="str">
        <f>IF(ISBLANK(JP!AS629),"","x")</f>
        <v/>
      </c>
      <c r="AQ625" t="str">
        <f>IF(ISBLANK(JP!AT629),"","x")</f>
        <v/>
      </c>
      <c r="AR625" t="str">
        <f>IF(ISBLANK(JP!AU629),"","x")</f>
        <v/>
      </c>
      <c r="AS625" t="str">
        <f>IF(ISBLANK(JP!AV629),"","x")</f>
        <v/>
      </c>
      <c r="AT625" t="str">
        <f>IF(ISBLANK(JP!AW629),"","x")</f>
        <v/>
      </c>
      <c r="AU625" t="str">
        <f>IF(ISBLANK(JP!AX629),"","x")</f>
        <v/>
      </c>
    </row>
    <row r="626" spans="2:47">
      <c r="B626" t="str">
        <f>IF(ISBLANK(JP!AZ630),"",JP!AZ630)</f>
        <v/>
      </c>
      <c r="C626" t="str">
        <f>IF(ISBLANK(JP!BA630),"",JP!BA630)</f>
        <v/>
      </c>
      <c r="D626" t="str">
        <f>IF(ISBLANK(JP!BC630),"",JP!BC630)</f>
        <v/>
      </c>
      <c r="E626" t="str">
        <f>IF(ISBLANK(JP!BB630),"",JP!BB630)</f>
        <v/>
      </c>
      <c r="F626" t="str">
        <f>IF(ISBLANK(JP!D630),"","x")</f>
        <v/>
      </c>
      <c r="G626" t="str">
        <f>IF(ISBLANK(JP!E630),"","x")</f>
        <v/>
      </c>
      <c r="H626" t="str">
        <f>IF(ISBLANK(JP!F630),"","x")</f>
        <v/>
      </c>
      <c r="I626" t="str">
        <f>IF(ISBLANK(JP!G630),"","x")</f>
        <v/>
      </c>
      <c r="J626" t="str">
        <f>IF(ISBLANK(JP!H630),"","x")</f>
        <v/>
      </c>
      <c r="K626" t="str">
        <f>IF(ISBLANK(JP!I630),"","x")</f>
        <v/>
      </c>
      <c r="L626" t="str">
        <f>IF(ISBLANK(JP!J630),"","x")</f>
        <v/>
      </c>
      <c r="M626" t="str">
        <f>IF(ISBLANK(JP!L630),"","x")</f>
        <v/>
      </c>
      <c r="N626" t="str">
        <f>IF(ISBLANK(JP!M630),"","x")</f>
        <v/>
      </c>
      <c r="O626" t="str">
        <f>IF(ISBLANK(JP!N630),"","x")</f>
        <v/>
      </c>
      <c r="P626" t="str">
        <f>IF(ISBLANK(JP!O630),"","x")</f>
        <v/>
      </c>
      <c r="Q626" t="str">
        <f>IF(ISBLANK(JP!P630),"","x")</f>
        <v/>
      </c>
      <c r="R626" t="str">
        <f>IF(ISBLANK(JP!Q630),"","x")</f>
        <v/>
      </c>
      <c r="S626" t="str">
        <f>IF(ISBLANK(JP!R630),"","x")</f>
        <v/>
      </c>
      <c r="T626" t="str">
        <f>IF(ISBLANK(JP!T630),"","x")</f>
        <v/>
      </c>
      <c r="U626" t="str">
        <f>IF(ISBLANK(JP!U630),"","x")</f>
        <v/>
      </c>
      <c r="V626" t="str">
        <f>IF(ISBLANK(JP!V630),"","x")</f>
        <v/>
      </c>
      <c r="W626" t="str">
        <f>IF(ISBLANK(JP!W630),"","x")</f>
        <v/>
      </c>
      <c r="X626" t="str">
        <f>IF(ISBLANK(JP!X630),"","x")</f>
        <v/>
      </c>
      <c r="Y626" t="str">
        <f>IF(ISBLANK(JP!Y630),"","x")</f>
        <v/>
      </c>
      <c r="Z626" t="str">
        <f>IF(ISBLANK(JP!Z630),"","x")</f>
        <v/>
      </c>
      <c r="AA626" t="str">
        <f>IF(ISBLANK(JP!AB630),"","x")</f>
        <v/>
      </c>
      <c r="AB626" t="str">
        <f>IF(ISBLANK(JP!AC630),"","x")</f>
        <v/>
      </c>
      <c r="AC626" t="str">
        <f>IF(ISBLANK(JP!AD630),"","x")</f>
        <v/>
      </c>
      <c r="AD626" t="str">
        <f>IF(ISBLANK(JP!AE630),"","x")</f>
        <v/>
      </c>
      <c r="AE626" t="str">
        <f>IF(ISBLANK(JP!AF630),"","x")</f>
        <v/>
      </c>
      <c r="AF626" t="str">
        <f>IF(ISBLANK(JP!AG630),"","x")</f>
        <v/>
      </c>
      <c r="AG626" t="str">
        <f>IF(ISBLANK(JP!AH630),"","x")</f>
        <v/>
      </c>
      <c r="AH626" t="str">
        <f>IF(ISBLANK(JP!AJ630),"","x")</f>
        <v/>
      </c>
      <c r="AI626" t="str">
        <f>IF(ISBLANK(JP!AK630),"","x")</f>
        <v/>
      </c>
      <c r="AJ626" t="str">
        <f>IF(ISBLANK(JP!AL630),"","x")</f>
        <v/>
      </c>
      <c r="AK626" t="str">
        <f>IF(ISBLANK(JP!AM630),"","x")</f>
        <v/>
      </c>
      <c r="AL626" t="str">
        <f>IF(ISBLANK(JP!AN630),"","x")</f>
        <v/>
      </c>
      <c r="AM626" t="str">
        <f>IF(ISBLANK(JP!AO630),"","x")</f>
        <v/>
      </c>
      <c r="AN626" t="str">
        <f>IF(ISBLANK(JP!AP630),"","x")</f>
        <v/>
      </c>
      <c r="AO626" t="str">
        <f>IF(ISBLANK(JP!AR630),"","x")</f>
        <v/>
      </c>
      <c r="AP626" t="str">
        <f>IF(ISBLANK(JP!AS630),"","x")</f>
        <v/>
      </c>
      <c r="AQ626" t="str">
        <f>IF(ISBLANK(JP!AT630),"","x")</f>
        <v/>
      </c>
      <c r="AR626" t="str">
        <f>IF(ISBLANK(JP!AU630),"","x")</f>
        <v/>
      </c>
      <c r="AS626" t="str">
        <f>IF(ISBLANK(JP!AV630),"","x")</f>
        <v/>
      </c>
      <c r="AT626" t="str">
        <f>IF(ISBLANK(JP!AW630),"","x")</f>
        <v/>
      </c>
      <c r="AU626" t="str">
        <f>IF(ISBLANK(JP!AX630),"","x")</f>
        <v/>
      </c>
    </row>
    <row r="627" spans="2:47">
      <c r="B627" t="str">
        <f>IF(ISBLANK(JP!AZ631),"",JP!AZ631)</f>
        <v/>
      </c>
      <c r="C627" t="str">
        <f>IF(ISBLANK(JP!BA631),"",JP!BA631)</f>
        <v/>
      </c>
      <c r="D627" t="str">
        <f>IF(ISBLANK(JP!BC631),"",JP!BC631)</f>
        <v/>
      </c>
      <c r="E627" t="str">
        <f>IF(ISBLANK(JP!BB631),"",JP!BB631)</f>
        <v/>
      </c>
      <c r="F627" t="str">
        <f>IF(ISBLANK(JP!D631),"","x")</f>
        <v/>
      </c>
      <c r="G627" t="str">
        <f>IF(ISBLANK(JP!E631),"","x")</f>
        <v/>
      </c>
      <c r="H627" t="str">
        <f>IF(ISBLANK(JP!F631),"","x")</f>
        <v/>
      </c>
      <c r="I627" t="str">
        <f>IF(ISBLANK(JP!G631),"","x")</f>
        <v/>
      </c>
      <c r="J627" t="str">
        <f>IF(ISBLANK(JP!H631),"","x")</f>
        <v/>
      </c>
      <c r="K627" t="str">
        <f>IF(ISBLANK(JP!I631),"","x")</f>
        <v/>
      </c>
      <c r="L627" t="str">
        <f>IF(ISBLANK(JP!J631),"","x")</f>
        <v/>
      </c>
      <c r="M627" t="str">
        <f>IF(ISBLANK(JP!L631),"","x")</f>
        <v/>
      </c>
      <c r="N627" t="str">
        <f>IF(ISBLANK(JP!M631),"","x")</f>
        <v/>
      </c>
      <c r="O627" t="str">
        <f>IF(ISBLANK(JP!N631),"","x")</f>
        <v/>
      </c>
      <c r="P627" t="str">
        <f>IF(ISBLANK(JP!O631),"","x")</f>
        <v/>
      </c>
      <c r="Q627" t="str">
        <f>IF(ISBLANK(JP!P631),"","x")</f>
        <v/>
      </c>
      <c r="R627" t="str">
        <f>IF(ISBLANK(JP!Q631),"","x")</f>
        <v/>
      </c>
      <c r="S627" t="str">
        <f>IF(ISBLANK(JP!R631),"","x")</f>
        <v/>
      </c>
      <c r="T627" t="str">
        <f>IF(ISBLANK(JP!T631),"","x")</f>
        <v/>
      </c>
      <c r="U627" t="str">
        <f>IF(ISBLANK(JP!U631),"","x")</f>
        <v/>
      </c>
      <c r="V627" t="str">
        <f>IF(ISBLANK(JP!V631),"","x")</f>
        <v/>
      </c>
      <c r="W627" t="str">
        <f>IF(ISBLANK(JP!W631),"","x")</f>
        <v/>
      </c>
      <c r="X627" t="str">
        <f>IF(ISBLANK(JP!X631),"","x")</f>
        <v/>
      </c>
      <c r="Y627" t="str">
        <f>IF(ISBLANK(JP!Y631),"","x")</f>
        <v/>
      </c>
      <c r="Z627" t="str">
        <f>IF(ISBLANK(JP!Z631),"","x")</f>
        <v/>
      </c>
      <c r="AA627" t="str">
        <f>IF(ISBLANK(JP!AB631),"","x")</f>
        <v/>
      </c>
      <c r="AB627" t="str">
        <f>IF(ISBLANK(JP!AC631),"","x")</f>
        <v/>
      </c>
      <c r="AC627" t="str">
        <f>IF(ISBLANK(JP!AD631),"","x")</f>
        <v/>
      </c>
      <c r="AD627" t="str">
        <f>IF(ISBLANK(JP!AE631),"","x")</f>
        <v/>
      </c>
      <c r="AE627" t="str">
        <f>IF(ISBLANK(JP!AF631),"","x")</f>
        <v/>
      </c>
      <c r="AF627" t="str">
        <f>IF(ISBLANK(JP!AG631),"","x")</f>
        <v/>
      </c>
      <c r="AG627" t="str">
        <f>IF(ISBLANK(JP!AH631),"","x")</f>
        <v/>
      </c>
      <c r="AH627" t="str">
        <f>IF(ISBLANK(JP!AJ631),"","x")</f>
        <v/>
      </c>
      <c r="AI627" t="str">
        <f>IF(ISBLANK(JP!AK631),"","x")</f>
        <v/>
      </c>
      <c r="AJ627" t="str">
        <f>IF(ISBLANK(JP!AL631),"","x")</f>
        <v/>
      </c>
      <c r="AK627" t="str">
        <f>IF(ISBLANK(JP!AM631),"","x")</f>
        <v/>
      </c>
      <c r="AL627" t="str">
        <f>IF(ISBLANK(JP!AN631),"","x")</f>
        <v/>
      </c>
      <c r="AM627" t="str">
        <f>IF(ISBLANK(JP!AO631),"","x")</f>
        <v/>
      </c>
      <c r="AN627" t="str">
        <f>IF(ISBLANK(JP!AP631),"","x")</f>
        <v/>
      </c>
      <c r="AO627" t="str">
        <f>IF(ISBLANK(JP!AR631),"","x")</f>
        <v/>
      </c>
      <c r="AP627" t="str">
        <f>IF(ISBLANK(JP!AS631),"","x")</f>
        <v/>
      </c>
      <c r="AQ627" t="str">
        <f>IF(ISBLANK(JP!AT631),"","x")</f>
        <v/>
      </c>
      <c r="AR627" t="str">
        <f>IF(ISBLANK(JP!AU631),"","x")</f>
        <v/>
      </c>
      <c r="AS627" t="str">
        <f>IF(ISBLANK(JP!AV631),"","x")</f>
        <v/>
      </c>
      <c r="AT627" t="str">
        <f>IF(ISBLANK(JP!AW631),"","x")</f>
        <v/>
      </c>
      <c r="AU627" t="str">
        <f>IF(ISBLANK(JP!AX631),"","x")</f>
        <v/>
      </c>
    </row>
  </sheetData>
  <pageMargins left="0.7" right="0.7" top="0.75" bottom="0.75" header="0.3" footer="0.3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8E0E34A-E2B5-4BEC-BB08-D6F53C48F47F}">
  <ds:schemaRefs/>
</ds:datastoreItem>
</file>

<file path=customXml/itemProps2.xml><?xml version="1.0" encoding="utf-8"?>
<ds:datastoreItem xmlns:ds="http://schemas.openxmlformats.org/officeDocument/2006/customXml" ds:itemID="{7BBABFFF-6D84-472B-B8C6-F177771111E4}">
  <ds:schemaRefs/>
</ds:datastoreItem>
</file>

<file path=customXml/itemProps3.xml><?xml version="1.0" encoding="utf-8"?>
<ds:datastoreItem xmlns:ds="http://schemas.openxmlformats.org/officeDocument/2006/customXml" ds:itemID="{E1B53E54-C759-41EA-8F0D-431143D1B89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HP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JP</vt:lpstr>
      <vt:lpstr>Summary</vt:lpstr>
      <vt:lpstr>Uploadsheet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NHPhuc</dc:creator>
  <cp:lastModifiedBy>Benechau07</cp:lastModifiedBy>
  <dcterms:created xsi:type="dcterms:W3CDTF">2010-09-29T10:07:00Z</dcterms:created>
  <cp:lastPrinted>2019-10-01T08:56:00Z</cp:lastPrinted>
  <dcterms:modified xsi:type="dcterms:W3CDTF">2019-12-18T12:50:03Z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0x010100E9959964A68FE144A2D0661B652225BD</vt:lpwstr>
  </property>
  <property fmtid="{D5CDD505-2E9C-101B-9397-08002B2CF9AE}" pid="3" name="KSOProductBuildVer">
    <vt:lpwstr>2057-11.2.0.9075</vt:lpwstr>
  </property>
</Properties>
</file>